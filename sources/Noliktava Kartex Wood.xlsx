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denis\Documents\Studies\RTU\Bakalaurs\20%\datu analize\sources\"/>
    </mc:Choice>
  </mc:AlternateContent>
  <xr:revisionPtr revIDLastSave="0" documentId="13_ncr:1_{29C431F2-5219-4ECD-BFF1-E70B2D6297CC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Доставка" sheetId="1" r:id="rId1"/>
    <sheet name="Virši" sheetId="2" r:id="rId2"/>
    <sheet name="01.2026." sheetId="3" r:id="rId3"/>
    <sheet name="02.2026." sheetId="4" r:id="rId4"/>
    <sheet name="03.2026" sheetId="5" r:id="rId5"/>
  </sheets>
  <calcPr calcId="191029"/>
  <extLst>
    <ext uri="GoogleSheetsCustomDataVersion2">
      <go:sheetsCustomData xmlns:go="http://customooxmlschemas.google.com/" r:id="rId9" roundtripDataChecksum="j1vbQlpAlm/Z1SA6ruRoz25/EI88KF3VWP/5SVX/mXY="/>
    </ext>
  </extLst>
</workbook>
</file>

<file path=xl/calcChain.xml><?xml version="1.0" encoding="utf-8"?>
<calcChain xmlns="http://schemas.openxmlformats.org/spreadsheetml/2006/main">
  <c r="J258" i="5" l="1"/>
  <c r="J256" i="5"/>
  <c r="K256" i="5" s="1"/>
  <c r="L256" i="5" s="1"/>
  <c r="I258" i="5" s="1"/>
  <c r="E256" i="5"/>
  <c r="D256" i="5"/>
  <c r="C256" i="5"/>
  <c r="P248" i="5"/>
  <c r="R248" i="5" s="1"/>
  <c r="O248" i="5"/>
  <c r="N248" i="5"/>
  <c r="M248" i="5"/>
  <c r="P247" i="5"/>
  <c r="R247" i="5" s="1"/>
  <c r="O247" i="5"/>
  <c r="N247" i="5"/>
  <c r="M247" i="5"/>
  <c r="S246" i="5"/>
  <c r="R246" i="5"/>
  <c r="P246" i="5"/>
  <c r="O246" i="5"/>
  <c r="N246" i="5"/>
  <c r="M246" i="5"/>
  <c r="S245" i="5"/>
  <c r="R245" i="5"/>
  <c r="P245" i="5"/>
  <c r="O245" i="5"/>
  <c r="N245" i="5"/>
  <c r="M245" i="5"/>
  <c r="S244" i="5"/>
  <c r="P244" i="5"/>
  <c r="R244" i="5" s="1"/>
  <c r="O244" i="5"/>
  <c r="O249" i="5" s="1"/>
  <c r="N244" i="5"/>
  <c r="M244" i="5"/>
  <c r="R243" i="5"/>
  <c r="P243" i="5"/>
  <c r="O243" i="5"/>
  <c r="N243" i="5"/>
  <c r="N249" i="5" s="1"/>
  <c r="M243" i="5"/>
  <c r="S242" i="5"/>
  <c r="R242" i="5"/>
  <c r="P242" i="5"/>
  <c r="O242" i="5"/>
  <c r="N242" i="5"/>
  <c r="M242" i="5"/>
  <c r="S241" i="5"/>
  <c r="P241" i="5"/>
  <c r="R241" i="5" s="1"/>
  <c r="O241" i="5"/>
  <c r="N241" i="5"/>
  <c r="M241" i="5"/>
  <c r="T240" i="5"/>
  <c r="P240" i="5"/>
  <c r="O240" i="5"/>
  <c r="N240" i="5"/>
  <c r="M240" i="5"/>
  <c r="J240" i="5"/>
  <c r="I240" i="5"/>
  <c r="G240" i="5"/>
  <c r="F240" i="5"/>
  <c r="P233" i="5"/>
  <c r="R233" i="5" s="1"/>
  <c r="O233" i="5"/>
  <c r="N233" i="5"/>
  <c r="M233" i="5"/>
  <c r="L233" i="5"/>
  <c r="P232" i="5"/>
  <c r="R232" i="5" s="1"/>
  <c r="O232" i="5"/>
  <c r="N232" i="5"/>
  <c r="M232" i="5"/>
  <c r="L232" i="5"/>
  <c r="R231" i="5"/>
  <c r="P231" i="5"/>
  <c r="O231" i="5"/>
  <c r="N231" i="5"/>
  <c r="M231" i="5"/>
  <c r="L231" i="5"/>
  <c r="P230" i="5"/>
  <c r="R230" i="5" s="1"/>
  <c r="O230" i="5"/>
  <c r="N230" i="5"/>
  <c r="M230" i="5"/>
  <c r="L230" i="5"/>
  <c r="R229" i="5"/>
  <c r="P229" i="5"/>
  <c r="O229" i="5"/>
  <c r="N229" i="5"/>
  <c r="M229" i="5"/>
  <c r="L229" i="5"/>
  <c r="P228" i="5"/>
  <c r="R228" i="5" s="1"/>
  <c r="O228" i="5"/>
  <c r="N228" i="5"/>
  <c r="M228" i="5"/>
  <c r="L228" i="5"/>
  <c r="P227" i="5"/>
  <c r="R227" i="5" s="1"/>
  <c r="O227" i="5"/>
  <c r="N227" i="5"/>
  <c r="M227" i="5"/>
  <c r="L227" i="5"/>
  <c r="P226" i="5"/>
  <c r="R226" i="5" s="1"/>
  <c r="O226" i="5"/>
  <c r="N226" i="5"/>
  <c r="M226" i="5"/>
  <c r="L226" i="5"/>
  <c r="P225" i="5"/>
  <c r="O225" i="5"/>
  <c r="N225" i="5"/>
  <c r="M225" i="5"/>
  <c r="L225" i="5"/>
  <c r="T218" i="5"/>
  <c r="P218" i="5"/>
  <c r="R218" i="5" s="1"/>
  <c r="O218" i="5"/>
  <c r="N218" i="5"/>
  <c r="M218" i="5"/>
  <c r="R217" i="5"/>
  <c r="P217" i="5"/>
  <c r="O217" i="5"/>
  <c r="N217" i="5"/>
  <c r="M217" i="5"/>
  <c r="P216" i="5"/>
  <c r="R216" i="5" s="1"/>
  <c r="O216" i="5"/>
  <c r="N216" i="5"/>
  <c r="M216" i="5"/>
  <c r="P215" i="5"/>
  <c r="R215" i="5" s="1"/>
  <c r="O215" i="5"/>
  <c r="N215" i="5"/>
  <c r="M215" i="5"/>
  <c r="I215" i="5"/>
  <c r="J215" i="5" s="1"/>
  <c r="G215" i="5"/>
  <c r="F215" i="5"/>
  <c r="P214" i="5"/>
  <c r="R214" i="5" s="1"/>
  <c r="O214" i="5"/>
  <c r="N214" i="5"/>
  <c r="M214" i="5"/>
  <c r="I214" i="5"/>
  <c r="J214" i="5" s="1"/>
  <c r="G214" i="5"/>
  <c r="F214" i="5"/>
  <c r="P213" i="5"/>
  <c r="O213" i="5"/>
  <c r="N213" i="5"/>
  <c r="M213" i="5"/>
  <c r="I213" i="5"/>
  <c r="J213" i="5" s="1"/>
  <c r="G213" i="5"/>
  <c r="F213" i="5"/>
  <c r="P212" i="5"/>
  <c r="R212" i="5" s="1"/>
  <c r="O212" i="5"/>
  <c r="N212" i="5"/>
  <c r="M212" i="5"/>
  <c r="J212" i="5"/>
  <c r="I212" i="5"/>
  <c r="G212" i="5"/>
  <c r="F212" i="5"/>
  <c r="R211" i="5"/>
  <c r="P211" i="5"/>
  <c r="O211" i="5"/>
  <c r="N211" i="5"/>
  <c r="M211" i="5"/>
  <c r="I211" i="5"/>
  <c r="J211" i="5" s="1"/>
  <c r="G211" i="5"/>
  <c r="F211" i="5"/>
  <c r="P210" i="5"/>
  <c r="R210" i="5" s="1"/>
  <c r="O210" i="5"/>
  <c r="N210" i="5"/>
  <c r="M210" i="5"/>
  <c r="I210" i="5"/>
  <c r="J210" i="5" s="1"/>
  <c r="G210" i="5"/>
  <c r="F210" i="5"/>
  <c r="W198" i="5"/>
  <c r="W197" i="5"/>
  <c r="Q197" i="5"/>
  <c r="W196" i="5"/>
  <c r="Q196" i="5"/>
  <c r="H196" i="5"/>
  <c r="W195" i="5"/>
  <c r="V195" i="5"/>
  <c r="S195" i="5"/>
  <c r="P195" i="5"/>
  <c r="M195" i="5"/>
  <c r="L195" i="5"/>
  <c r="I195" i="5"/>
  <c r="J195" i="5" s="1"/>
  <c r="K195" i="5" s="1"/>
  <c r="G195" i="5"/>
  <c r="F195" i="5"/>
  <c r="W194" i="5"/>
  <c r="V194" i="5"/>
  <c r="U194" i="5"/>
  <c r="S194" i="5"/>
  <c r="P194" i="5"/>
  <c r="N194" i="5"/>
  <c r="M194" i="5"/>
  <c r="L194" i="5"/>
  <c r="I194" i="5"/>
  <c r="J194" i="5" s="1"/>
  <c r="K194" i="5" s="1"/>
  <c r="G194" i="5"/>
  <c r="F194" i="5"/>
  <c r="W193" i="5"/>
  <c r="V193" i="5"/>
  <c r="N193" i="5"/>
  <c r="M193" i="5"/>
  <c r="L193" i="5"/>
  <c r="I193" i="5"/>
  <c r="J193" i="5" s="1"/>
  <c r="G193" i="5"/>
  <c r="F193" i="5"/>
  <c r="S193" i="5" s="1"/>
  <c r="P192" i="5"/>
  <c r="W191" i="5"/>
  <c r="V191" i="5"/>
  <c r="P191" i="5"/>
  <c r="L191" i="5"/>
  <c r="K191" i="5"/>
  <c r="J191" i="5"/>
  <c r="I191" i="5"/>
  <c r="G191" i="5"/>
  <c r="F191" i="5"/>
  <c r="S191" i="5" s="1"/>
  <c r="W190" i="5"/>
  <c r="P190" i="5"/>
  <c r="W189" i="5"/>
  <c r="P189" i="5"/>
  <c r="W188" i="5"/>
  <c r="V188" i="5"/>
  <c r="S188" i="5"/>
  <c r="P188" i="5"/>
  <c r="L188" i="5"/>
  <c r="I188" i="5"/>
  <c r="J188" i="5" s="1"/>
  <c r="K188" i="5" s="1"/>
  <c r="G188" i="5"/>
  <c r="F188" i="5"/>
  <c r="W187" i="5"/>
  <c r="P187" i="5"/>
  <c r="W186" i="5"/>
  <c r="P186" i="5"/>
  <c r="W185" i="5"/>
  <c r="V185" i="5"/>
  <c r="S185" i="5"/>
  <c r="P185" i="5"/>
  <c r="N185" i="5"/>
  <c r="L185" i="5"/>
  <c r="M185" i="5" s="1"/>
  <c r="I185" i="5"/>
  <c r="J185" i="5" s="1"/>
  <c r="G185" i="5"/>
  <c r="F185" i="5"/>
  <c r="W184" i="5"/>
  <c r="V184" i="5"/>
  <c r="P184" i="5"/>
  <c r="N184" i="5"/>
  <c r="M184" i="5"/>
  <c r="L184" i="5"/>
  <c r="I184" i="5"/>
  <c r="J184" i="5" s="1"/>
  <c r="G184" i="5"/>
  <c r="F184" i="5"/>
  <c r="S184" i="5" s="1"/>
  <c r="W183" i="5"/>
  <c r="V183" i="5"/>
  <c r="P183" i="5"/>
  <c r="L183" i="5"/>
  <c r="J183" i="5"/>
  <c r="I183" i="5"/>
  <c r="G183" i="5"/>
  <c r="F183" i="5"/>
  <c r="S183" i="5" s="1"/>
  <c r="W182" i="5"/>
  <c r="P182" i="5"/>
  <c r="W181" i="5"/>
  <c r="P181" i="5"/>
  <c r="W180" i="5"/>
  <c r="V180" i="5"/>
  <c r="U180" i="5"/>
  <c r="P180" i="5"/>
  <c r="L180" i="5"/>
  <c r="I180" i="5"/>
  <c r="J180" i="5" s="1"/>
  <c r="K180" i="5" s="1"/>
  <c r="G180" i="5"/>
  <c r="F180" i="5"/>
  <c r="S180" i="5" s="1"/>
  <c r="W179" i="5"/>
  <c r="V179" i="5"/>
  <c r="S179" i="5"/>
  <c r="P179" i="5"/>
  <c r="L179" i="5"/>
  <c r="I179" i="5"/>
  <c r="J179" i="5" s="1"/>
  <c r="K179" i="5" s="1"/>
  <c r="G179" i="5"/>
  <c r="F179" i="5"/>
  <c r="W178" i="5"/>
  <c r="V178" i="5"/>
  <c r="P178" i="5"/>
  <c r="N178" i="5"/>
  <c r="L178" i="5"/>
  <c r="I178" i="5"/>
  <c r="J178" i="5" s="1"/>
  <c r="U178" i="5" s="1"/>
  <c r="G178" i="5"/>
  <c r="F178" i="5"/>
  <c r="W177" i="5"/>
  <c r="V177" i="5"/>
  <c r="S177" i="5"/>
  <c r="P177" i="5"/>
  <c r="L177" i="5"/>
  <c r="J177" i="5"/>
  <c r="I177" i="5"/>
  <c r="G177" i="5"/>
  <c r="F177" i="5"/>
  <c r="W176" i="5"/>
  <c r="V176" i="5"/>
  <c r="S176" i="5"/>
  <c r="P176" i="5"/>
  <c r="P196" i="5" s="1"/>
  <c r="L176" i="5"/>
  <c r="N176" i="5" s="1"/>
  <c r="K176" i="5"/>
  <c r="I176" i="5"/>
  <c r="J176" i="5" s="1"/>
  <c r="U176" i="5" s="1"/>
  <c r="G176" i="5"/>
  <c r="F176" i="5"/>
  <c r="W175" i="5"/>
  <c r="V175" i="5"/>
  <c r="S175" i="5"/>
  <c r="P175" i="5"/>
  <c r="N175" i="5"/>
  <c r="L175" i="5"/>
  <c r="M175" i="5" s="1"/>
  <c r="I175" i="5"/>
  <c r="G175" i="5"/>
  <c r="F175" i="5"/>
  <c r="W174" i="5"/>
  <c r="W173" i="5"/>
  <c r="Q173" i="5"/>
  <c r="W172" i="5"/>
  <c r="V172" i="5"/>
  <c r="S172" i="5"/>
  <c r="P172" i="5"/>
  <c r="M172" i="5"/>
  <c r="L172" i="5"/>
  <c r="I172" i="5"/>
  <c r="J172" i="5" s="1"/>
  <c r="G172" i="5"/>
  <c r="F172" i="5"/>
  <c r="W171" i="5"/>
  <c r="V171" i="5"/>
  <c r="S171" i="5"/>
  <c r="P171" i="5"/>
  <c r="M171" i="5"/>
  <c r="L171" i="5"/>
  <c r="I171" i="5"/>
  <c r="J171" i="5" s="1"/>
  <c r="G171" i="5"/>
  <c r="N171" i="5" s="1"/>
  <c r="F171" i="5"/>
  <c r="W170" i="5"/>
  <c r="V170" i="5"/>
  <c r="P170" i="5"/>
  <c r="N170" i="5"/>
  <c r="M170" i="5"/>
  <c r="L170" i="5"/>
  <c r="I170" i="5"/>
  <c r="J170" i="5" s="1"/>
  <c r="K170" i="5" s="1"/>
  <c r="G170" i="5"/>
  <c r="F170" i="5"/>
  <c r="S170" i="5" s="1"/>
  <c r="W169" i="5"/>
  <c r="V169" i="5"/>
  <c r="S169" i="5"/>
  <c r="P169" i="5"/>
  <c r="L169" i="5"/>
  <c r="K169" i="5"/>
  <c r="J169" i="5"/>
  <c r="I169" i="5"/>
  <c r="G169" i="5"/>
  <c r="F169" i="5"/>
  <c r="W168" i="5"/>
  <c r="V168" i="5"/>
  <c r="P168" i="5"/>
  <c r="L168" i="5"/>
  <c r="K168" i="5"/>
  <c r="I168" i="5"/>
  <c r="J168" i="5" s="1"/>
  <c r="G168" i="5"/>
  <c r="F168" i="5"/>
  <c r="S168" i="5" s="1"/>
  <c r="W167" i="5"/>
  <c r="V167" i="5"/>
  <c r="S167" i="5"/>
  <c r="P167" i="5"/>
  <c r="L167" i="5"/>
  <c r="J167" i="5"/>
  <c r="I167" i="5"/>
  <c r="G167" i="5"/>
  <c r="F167" i="5"/>
  <c r="W166" i="5"/>
  <c r="V166" i="5"/>
  <c r="P166" i="5"/>
  <c r="N166" i="5"/>
  <c r="L166" i="5"/>
  <c r="K166" i="5"/>
  <c r="J166" i="5"/>
  <c r="U166" i="5" s="1"/>
  <c r="I166" i="5"/>
  <c r="G166" i="5"/>
  <c r="F166" i="5"/>
  <c r="W165" i="5"/>
  <c r="V165" i="5"/>
  <c r="P165" i="5"/>
  <c r="N165" i="5"/>
  <c r="L165" i="5"/>
  <c r="M165" i="5" s="1"/>
  <c r="J165" i="5"/>
  <c r="I165" i="5"/>
  <c r="G165" i="5"/>
  <c r="F165" i="5"/>
  <c r="S165" i="5" s="1"/>
  <c r="W164" i="5"/>
  <c r="V164" i="5"/>
  <c r="P164" i="5"/>
  <c r="M164" i="5"/>
  <c r="L164" i="5"/>
  <c r="I164" i="5"/>
  <c r="J164" i="5" s="1"/>
  <c r="G164" i="5"/>
  <c r="F164" i="5"/>
  <c r="S164" i="5" s="1"/>
  <c r="W163" i="5"/>
  <c r="V163" i="5"/>
  <c r="U163" i="5"/>
  <c r="S163" i="5"/>
  <c r="P163" i="5"/>
  <c r="M163" i="5"/>
  <c r="L163" i="5"/>
  <c r="I163" i="5"/>
  <c r="J163" i="5" s="1"/>
  <c r="K163" i="5" s="1"/>
  <c r="G163" i="5"/>
  <c r="N163" i="5" s="1"/>
  <c r="F163" i="5"/>
  <c r="W162" i="5"/>
  <c r="V162" i="5"/>
  <c r="P162" i="5"/>
  <c r="N162" i="5"/>
  <c r="M162" i="5"/>
  <c r="L162" i="5"/>
  <c r="I162" i="5"/>
  <c r="J162" i="5" s="1"/>
  <c r="G162" i="5"/>
  <c r="F162" i="5"/>
  <c r="S162" i="5" s="1"/>
  <c r="W161" i="5"/>
  <c r="V161" i="5"/>
  <c r="S161" i="5"/>
  <c r="P161" i="5"/>
  <c r="L161" i="5"/>
  <c r="K161" i="5"/>
  <c r="J161" i="5"/>
  <c r="I161" i="5"/>
  <c r="G161" i="5"/>
  <c r="F161" i="5"/>
  <c r="W160" i="5"/>
  <c r="V160" i="5"/>
  <c r="U160" i="5"/>
  <c r="S160" i="5"/>
  <c r="P160" i="5"/>
  <c r="L160" i="5"/>
  <c r="K160" i="5"/>
  <c r="I160" i="5"/>
  <c r="J160" i="5" s="1"/>
  <c r="G160" i="5"/>
  <c r="F160" i="5"/>
  <c r="W159" i="5"/>
  <c r="V159" i="5"/>
  <c r="S159" i="5"/>
  <c r="P159" i="5"/>
  <c r="L159" i="5"/>
  <c r="J159" i="5"/>
  <c r="I159" i="5"/>
  <c r="G159" i="5"/>
  <c r="F159" i="5"/>
  <c r="W158" i="5"/>
  <c r="V158" i="5"/>
  <c r="P158" i="5"/>
  <c r="N158" i="5"/>
  <c r="L158" i="5"/>
  <c r="K158" i="5"/>
  <c r="J158" i="5"/>
  <c r="U158" i="5" s="1"/>
  <c r="I158" i="5"/>
  <c r="G158" i="5"/>
  <c r="F158" i="5"/>
  <c r="W157" i="5"/>
  <c r="V157" i="5"/>
  <c r="P157" i="5"/>
  <c r="N157" i="5"/>
  <c r="L157" i="5"/>
  <c r="M157" i="5" s="1"/>
  <c r="J157" i="5"/>
  <c r="I157" i="5"/>
  <c r="G157" i="5"/>
  <c r="F157" i="5"/>
  <c r="S157" i="5" s="1"/>
  <c r="W156" i="5"/>
  <c r="V156" i="5"/>
  <c r="P156" i="5"/>
  <c r="M156" i="5"/>
  <c r="L156" i="5"/>
  <c r="I156" i="5"/>
  <c r="J156" i="5" s="1"/>
  <c r="G156" i="5"/>
  <c r="F156" i="5"/>
  <c r="S156" i="5" s="1"/>
  <c r="W155" i="5"/>
  <c r="V155" i="5"/>
  <c r="U155" i="5"/>
  <c r="S155" i="5"/>
  <c r="P155" i="5"/>
  <c r="M155" i="5"/>
  <c r="L155" i="5"/>
  <c r="I155" i="5"/>
  <c r="J155" i="5" s="1"/>
  <c r="K155" i="5" s="1"/>
  <c r="G155" i="5"/>
  <c r="N155" i="5" s="1"/>
  <c r="F155" i="5"/>
  <c r="W154" i="5"/>
  <c r="V154" i="5"/>
  <c r="P154" i="5"/>
  <c r="N154" i="5"/>
  <c r="M154" i="5"/>
  <c r="L154" i="5"/>
  <c r="I154" i="5"/>
  <c r="J154" i="5" s="1"/>
  <c r="G154" i="5"/>
  <c r="F154" i="5"/>
  <c r="S154" i="5" s="1"/>
  <c r="W153" i="5"/>
  <c r="V153" i="5"/>
  <c r="P153" i="5"/>
  <c r="L153" i="5"/>
  <c r="K153" i="5"/>
  <c r="J153" i="5"/>
  <c r="I153" i="5"/>
  <c r="G153" i="5"/>
  <c r="F153" i="5"/>
  <c r="S153" i="5" s="1"/>
  <c r="W152" i="5"/>
  <c r="V152" i="5"/>
  <c r="U152" i="5"/>
  <c r="S152" i="5"/>
  <c r="P152" i="5"/>
  <c r="L152" i="5"/>
  <c r="K152" i="5"/>
  <c r="I152" i="5"/>
  <c r="J152" i="5" s="1"/>
  <c r="G152" i="5"/>
  <c r="F152" i="5"/>
  <c r="W151" i="5"/>
  <c r="V151" i="5"/>
  <c r="S151" i="5"/>
  <c r="P151" i="5"/>
  <c r="L151" i="5"/>
  <c r="J151" i="5"/>
  <c r="I151" i="5"/>
  <c r="G151" i="5"/>
  <c r="F151" i="5"/>
  <c r="W150" i="5"/>
  <c r="V150" i="5"/>
  <c r="P150" i="5"/>
  <c r="N150" i="5"/>
  <c r="L150" i="5"/>
  <c r="J150" i="5"/>
  <c r="U150" i="5" s="1"/>
  <c r="I150" i="5"/>
  <c r="G150" i="5"/>
  <c r="F150" i="5"/>
  <c r="W149" i="5"/>
  <c r="V149" i="5"/>
  <c r="P149" i="5"/>
  <c r="N149" i="5"/>
  <c r="L149" i="5"/>
  <c r="M149" i="5" s="1"/>
  <c r="J149" i="5"/>
  <c r="I149" i="5"/>
  <c r="G149" i="5"/>
  <c r="F149" i="5"/>
  <c r="S149" i="5" s="1"/>
  <c r="W148" i="5"/>
  <c r="V148" i="5"/>
  <c r="P148" i="5"/>
  <c r="M148" i="5"/>
  <c r="L148" i="5"/>
  <c r="I148" i="5"/>
  <c r="J148" i="5" s="1"/>
  <c r="G148" i="5"/>
  <c r="F148" i="5"/>
  <c r="S148" i="5" s="1"/>
  <c r="W147" i="5"/>
  <c r="V147" i="5"/>
  <c r="P147" i="5"/>
  <c r="M147" i="5"/>
  <c r="L147" i="5"/>
  <c r="I147" i="5"/>
  <c r="J147" i="5" s="1"/>
  <c r="K147" i="5" s="1"/>
  <c r="G147" i="5"/>
  <c r="N147" i="5" s="1"/>
  <c r="F147" i="5"/>
  <c r="S147" i="5" s="1"/>
  <c r="W146" i="5"/>
  <c r="V146" i="5"/>
  <c r="U146" i="5"/>
  <c r="S146" i="5"/>
  <c r="P146" i="5"/>
  <c r="N146" i="5"/>
  <c r="M146" i="5"/>
  <c r="L146" i="5"/>
  <c r="I146" i="5"/>
  <c r="J146" i="5" s="1"/>
  <c r="K146" i="5" s="1"/>
  <c r="G146" i="5"/>
  <c r="F146" i="5"/>
  <c r="W145" i="5"/>
  <c r="V145" i="5"/>
  <c r="P145" i="5"/>
  <c r="N145" i="5"/>
  <c r="L145" i="5"/>
  <c r="J145" i="5"/>
  <c r="I145" i="5"/>
  <c r="G145" i="5"/>
  <c r="F145" i="5"/>
  <c r="W144" i="5"/>
  <c r="V144" i="5"/>
  <c r="P144" i="5"/>
  <c r="L144" i="5"/>
  <c r="K144" i="5"/>
  <c r="J144" i="5"/>
  <c r="I144" i="5"/>
  <c r="G144" i="5"/>
  <c r="F144" i="5"/>
  <c r="S144" i="5" s="1"/>
  <c r="W143" i="5"/>
  <c r="V143" i="5"/>
  <c r="S143" i="5"/>
  <c r="P143" i="5"/>
  <c r="L143" i="5"/>
  <c r="I143" i="5"/>
  <c r="J143" i="5" s="1"/>
  <c r="K143" i="5" s="1"/>
  <c r="G143" i="5"/>
  <c r="F143" i="5"/>
  <c r="W142" i="5"/>
  <c r="V142" i="5"/>
  <c r="S142" i="5"/>
  <c r="P142" i="5"/>
  <c r="N142" i="5"/>
  <c r="M142" i="5"/>
  <c r="L142" i="5"/>
  <c r="I142" i="5"/>
  <c r="J142" i="5" s="1"/>
  <c r="G142" i="5"/>
  <c r="F142" i="5"/>
  <c r="W141" i="5"/>
  <c r="V141" i="5"/>
  <c r="P141" i="5"/>
  <c r="N141" i="5"/>
  <c r="L141" i="5"/>
  <c r="K141" i="5"/>
  <c r="J141" i="5"/>
  <c r="U141" i="5" s="1"/>
  <c r="I141" i="5"/>
  <c r="G141" i="5"/>
  <c r="F141" i="5"/>
  <c r="W140" i="5"/>
  <c r="V140" i="5"/>
  <c r="S140" i="5"/>
  <c r="P140" i="5"/>
  <c r="L140" i="5"/>
  <c r="K140" i="5"/>
  <c r="J140" i="5"/>
  <c r="U140" i="5" s="1"/>
  <c r="I140" i="5"/>
  <c r="G140" i="5"/>
  <c r="F140" i="5"/>
  <c r="W139" i="5"/>
  <c r="V139" i="5"/>
  <c r="S139" i="5"/>
  <c r="P139" i="5"/>
  <c r="M139" i="5"/>
  <c r="L139" i="5"/>
  <c r="I139" i="5"/>
  <c r="J139" i="5" s="1"/>
  <c r="K139" i="5" s="1"/>
  <c r="G139" i="5"/>
  <c r="F139" i="5"/>
  <c r="W138" i="5"/>
  <c r="V138" i="5"/>
  <c r="S138" i="5"/>
  <c r="P138" i="5"/>
  <c r="N138" i="5"/>
  <c r="M138" i="5"/>
  <c r="L138" i="5"/>
  <c r="I138" i="5"/>
  <c r="J138" i="5" s="1"/>
  <c r="G138" i="5"/>
  <c r="F138" i="5"/>
  <c r="W137" i="5"/>
  <c r="V137" i="5"/>
  <c r="P137" i="5"/>
  <c r="N137" i="5"/>
  <c r="L137" i="5"/>
  <c r="J137" i="5"/>
  <c r="I137" i="5"/>
  <c r="G137" i="5"/>
  <c r="F137" i="5"/>
  <c r="W136" i="5"/>
  <c r="V136" i="5"/>
  <c r="P136" i="5"/>
  <c r="L136" i="5"/>
  <c r="K136" i="5"/>
  <c r="J136" i="5"/>
  <c r="I136" i="5"/>
  <c r="G136" i="5"/>
  <c r="F136" i="5"/>
  <c r="S136" i="5" s="1"/>
  <c r="P135" i="5"/>
  <c r="N135" i="5"/>
  <c r="M135" i="5"/>
  <c r="L135" i="5"/>
  <c r="J135" i="5"/>
  <c r="I135" i="5"/>
  <c r="G135" i="5"/>
  <c r="F135" i="5"/>
  <c r="S135" i="5" s="1"/>
  <c r="W134" i="5"/>
  <c r="V134" i="5"/>
  <c r="P134" i="5"/>
  <c r="L134" i="5"/>
  <c r="M134" i="5" s="1"/>
  <c r="J134" i="5"/>
  <c r="I134" i="5"/>
  <c r="G134" i="5"/>
  <c r="N134" i="5" s="1"/>
  <c r="F134" i="5"/>
  <c r="S134" i="5" s="1"/>
  <c r="W133" i="5"/>
  <c r="V133" i="5"/>
  <c r="U133" i="5"/>
  <c r="P133" i="5"/>
  <c r="L133" i="5"/>
  <c r="I133" i="5"/>
  <c r="J133" i="5" s="1"/>
  <c r="K133" i="5" s="1"/>
  <c r="G133" i="5"/>
  <c r="F133" i="5"/>
  <c r="S133" i="5" s="1"/>
  <c r="W132" i="5"/>
  <c r="V132" i="5"/>
  <c r="U132" i="5"/>
  <c r="S132" i="5"/>
  <c r="P132" i="5"/>
  <c r="L132" i="5"/>
  <c r="I132" i="5"/>
  <c r="J132" i="5" s="1"/>
  <c r="K132" i="5" s="1"/>
  <c r="G132" i="5"/>
  <c r="F132" i="5"/>
  <c r="S131" i="5"/>
  <c r="P131" i="5"/>
  <c r="M131" i="5"/>
  <c r="L131" i="5"/>
  <c r="I131" i="5"/>
  <c r="J131" i="5" s="1"/>
  <c r="G131" i="5"/>
  <c r="F131" i="5"/>
  <c r="P130" i="5"/>
  <c r="N130" i="5"/>
  <c r="L130" i="5"/>
  <c r="J130" i="5"/>
  <c r="I130" i="5"/>
  <c r="G130" i="5"/>
  <c r="F130" i="5"/>
  <c r="S130" i="5" s="1"/>
  <c r="W129" i="5"/>
  <c r="V129" i="5"/>
  <c r="S129" i="5"/>
  <c r="P129" i="5"/>
  <c r="M129" i="5"/>
  <c r="L129" i="5"/>
  <c r="I129" i="5"/>
  <c r="J129" i="5" s="1"/>
  <c r="G129" i="5"/>
  <c r="F129" i="5"/>
  <c r="W128" i="5"/>
  <c r="V128" i="5"/>
  <c r="P128" i="5"/>
  <c r="M128" i="5"/>
  <c r="L128" i="5"/>
  <c r="I128" i="5"/>
  <c r="J128" i="5" s="1"/>
  <c r="K128" i="5" s="1"/>
  <c r="G128" i="5"/>
  <c r="N128" i="5" s="1"/>
  <c r="F128" i="5"/>
  <c r="S128" i="5" s="1"/>
  <c r="W127" i="5"/>
  <c r="S127" i="5"/>
  <c r="P127" i="5"/>
  <c r="L127" i="5"/>
  <c r="I127" i="5"/>
  <c r="J127" i="5" s="1"/>
  <c r="G127" i="5"/>
  <c r="F127" i="5"/>
  <c r="W126" i="5"/>
  <c r="V126" i="5"/>
  <c r="P126" i="5"/>
  <c r="N126" i="5"/>
  <c r="M126" i="5"/>
  <c r="I126" i="5"/>
  <c r="J126" i="5" s="1"/>
  <c r="K126" i="5" s="1"/>
  <c r="G126" i="5"/>
  <c r="F126" i="5"/>
  <c r="S126" i="5" s="1"/>
  <c r="W125" i="5"/>
  <c r="V125" i="5"/>
  <c r="P125" i="5"/>
  <c r="N125" i="5"/>
  <c r="M125" i="5"/>
  <c r="L125" i="5"/>
  <c r="I125" i="5"/>
  <c r="J125" i="5" s="1"/>
  <c r="G125" i="5"/>
  <c r="F125" i="5"/>
  <c r="S125" i="5" s="1"/>
  <c r="W124" i="5"/>
  <c r="V124" i="5"/>
  <c r="P124" i="5"/>
  <c r="N124" i="5"/>
  <c r="L124" i="5"/>
  <c r="J124" i="5"/>
  <c r="I124" i="5"/>
  <c r="G124" i="5"/>
  <c r="F124" i="5"/>
  <c r="S124" i="5" s="1"/>
  <c r="W123" i="5"/>
  <c r="V123" i="5"/>
  <c r="P123" i="5"/>
  <c r="L123" i="5"/>
  <c r="I123" i="5"/>
  <c r="J123" i="5" s="1"/>
  <c r="G123" i="5"/>
  <c r="F123" i="5"/>
  <c r="S123" i="5" s="1"/>
  <c r="W122" i="5"/>
  <c r="V122" i="5"/>
  <c r="S122" i="5"/>
  <c r="P122" i="5"/>
  <c r="L122" i="5"/>
  <c r="I122" i="5"/>
  <c r="J122" i="5" s="1"/>
  <c r="K122" i="5" s="1"/>
  <c r="G122" i="5"/>
  <c r="F122" i="5"/>
  <c r="W121" i="5"/>
  <c r="V121" i="5"/>
  <c r="P121" i="5"/>
  <c r="N121" i="5"/>
  <c r="M121" i="5"/>
  <c r="L121" i="5"/>
  <c r="I121" i="5"/>
  <c r="J121" i="5" s="1"/>
  <c r="G121" i="5"/>
  <c r="F121" i="5"/>
  <c r="S121" i="5" s="1"/>
  <c r="W120" i="5"/>
  <c r="V120" i="5"/>
  <c r="P120" i="5"/>
  <c r="N120" i="5"/>
  <c r="L120" i="5"/>
  <c r="K120" i="5"/>
  <c r="J120" i="5"/>
  <c r="U120" i="5" s="1"/>
  <c r="I120" i="5"/>
  <c r="G120" i="5"/>
  <c r="F120" i="5"/>
  <c r="S120" i="5" s="1"/>
  <c r="W119" i="5"/>
  <c r="V119" i="5"/>
  <c r="P119" i="5"/>
  <c r="L119" i="5"/>
  <c r="I119" i="5"/>
  <c r="J119" i="5" s="1"/>
  <c r="G119" i="5"/>
  <c r="F119" i="5"/>
  <c r="S119" i="5" s="1"/>
  <c r="W118" i="5"/>
  <c r="V118" i="5"/>
  <c r="S118" i="5"/>
  <c r="P118" i="5"/>
  <c r="L118" i="5"/>
  <c r="I118" i="5"/>
  <c r="J118" i="5" s="1"/>
  <c r="K118" i="5" s="1"/>
  <c r="G118" i="5"/>
  <c r="F118" i="5"/>
  <c r="W117" i="5"/>
  <c r="V117" i="5"/>
  <c r="P117" i="5"/>
  <c r="N117" i="5"/>
  <c r="M117" i="5"/>
  <c r="L117" i="5"/>
  <c r="I117" i="5"/>
  <c r="J117" i="5" s="1"/>
  <c r="G117" i="5"/>
  <c r="F117" i="5"/>
  <c r="S117" i="5" s="1"/>
  <c r="W116" i="5"/>
  <c r="V116" i="5"/>
  <c r="P116" i="5"/>
  <c r="N116" i="5"/>
  <c r="L116" i="5"/>
  <c r="K116" i="5"/>
  <c r="J116" i="5"/>
  <c r="U116" i="5" s="1"/>
  <c r="I116" i="5"/>
  <c r="G116" i="5"/>
  <c r="F116" i="5"/>
  <c r="S116" i="5" s="1"/>
  <c r="W115" i="5"/>
  <c r="V115" i="5"/>
  <c r="P115" i="5"/>
  <c r="L115" i="5"/>
  <c r="I115" i="5"/>
  <c r="J115" i="5" s="1"/>
  <c r="G115" i="5"/>
  <c r="F115" i="5"/>
  <c r="S115" i="5" s="1"/>
  <c r="W114" i="5"/>
  <c r="V114" i="5"/>
  <c r="S114" i="5"/>
  <c r="P114" i="5"/>
  <c r="L114" i="5"/>
  <c r="I114" i="5"/>
  <c r="J114" i="5" s="1"/>
  <c r="K114" i="5" s="1"/>
  <c r="G114" i="5"/>
  <c r="F114" i="5"/>
  <c r="W113" i="5"/>
  <c r="V113" i="5"/>
  <c r="P113" i="5"/>
  <c r="N113" i="5"/>
  <c r="M113" i="5"/>
  <c r="L113" i="5"/>
  <c r="I113" i="5"/>
  <c r="J113" i="5" s="1"/>
  <c r="G113" i="5"/>
  <c r="F113" i="5"/>
  <c r="S113" i="5" s="1"/>
  <c r="W112" i="5"/>
  <c r="V112" i="5"/>
  <c r="P112" i="5"/>
  <c r="N112" i="5"/>
  <c r="L112" i="5"/>
  <c r="K112" i="5"/>
  <c r="J112" i="5"/>
  <c r="U112" i="5" s="1"/>
  <c r="I112" i="5"/>
  <c r="G112" i="5"/>
  <c r="F112" i="5"/>
  <c r="S112" i="5" s="1"/>
  <c r="W111" i="5"/>
  <c r="V111" i="5"/>
  <c r="S111" i="5"/>
  <c r="P111" i="5"/>
  <c r="P173" i="5" s="1"/>
  <c r="P197" i="5" s="1"/>
  <c r="L111" i="5"/>
  <c r="H111" i="5"/>
  <c r="G111" i="5"/>
  <c r="F111" i="5"/>
  <c r="W110" i="5"/>
  <c r="V110" i="5"/>
  <c r="G110" i="5"/>
  <c r="F110" i="5"/>
  <c r="W109" i="5"/>
  <c r="V109" i="5"/>
  <c r="W108" i="5"/>
  <c r="V108" i="5"/>
  <c r="Q108" i="5"/>
  <c r="W107" i="5"/>
  <c r="V107" i="5"/>
  <c r="U107" i="5"/>
  <c r="P107" i="5"/>
  <c r="M107" i="5"/>
  <c r="L107" i="5"/>
  <c r="K107" i="5"/>
  <c r="I107" i="5"/>
  <c r="J107" i="5" s="1"/>
  <c r="H107" i="5"/>
  <c r="G107" i="5"/>
  <c r="N107" i="5" s="1"/>
  <c r="F107" i="5"/>
  <c r="S107" i="5" s="1"/>
  <c r="W106" i="5"/>
  <c r="V106" i="5"/>
  <c r="S106" i="5"/>
  <c r="P106" i="5"/>
  <c r="L106" i="5"/>
  <c r="N106" i="5" s="1"/>
  <c r="I106" i="5"/>
  <c r="J106" i="5" s="1"/>
  <c r="K106" i="5" s="1"/>
  <c r="H106" i="5"/>
  <c r="G106" i="5"/>
  <c r="F106" i="5"/>
  <c r="W105" i="5"/>
  <c r="V105" i="5"/>
  <c r="P105" i="5"/>
  <c r="N105" i="5"/>
  <c r="L105" i="5"/>
  <c r="I105" i="5"/>
  <c r="J105" i="5" s="1"/>
  <c r="H105" i="5"/>
  <c r="G105" i="5"/>
  <c r="F105" i="5"/>
  <c r="W104" i="5"/>
  <c r="V104" i="5"/>
  <c r="S104" i="5"/>
  <c r="P104" i="5"/>
  <c r="M104" i="5"/>
  <c r="L104" i="5"/>
  <c r="H104" i="5"/>
  <c r="H108" i="5" s="1"/>
  <c r="G104" i="5"/>
  <c r="F104" i="5"/>
  <c r="W103" i="5"/>
  <c r="V103" i="5"/>
  <c r="P103" i="5"/>
  <c r="M103" i="5"/>
  <c r="L103" i="5"/>
  <c r="J103" i="5"/>
  <c r="G103" i="5"/>
  <c r="N103" i="5" s="1"/>
  <c r="F103" i="5"/>
  <c r="S103" i="5" s="1"/>
  <c r="W102" i="5"/>
  <c r="V102" i="5"/>
  <c r="P102" i="5"/>
  <c r="M102" i="5"/>
  <c r="L102" i="5"/>
  <c r="J102" i="5"/>
  <c r="K102" i="5" s="1"/>
  <c r="G102" i="5"/>
  <c r="N102" i="5" s="1"/>
  <c r="F102" i="5"/>
  <c r="S102" i="5" s="1"/>
  <c r="W101" i="5"/>
  <c r="V101" i="5"/>
  <c r="W100" i="5"/>
  <c r="V100" i="5"/>
  <c r="W99" i="5"/>
  <c r="V99" i="5"/>
  <c r="S99" i="5"/>
  <c r="Q99" i="5"/>
  <c r="W98" i="5"/>
  <c r="V98" i="5"/>
  <c r="L98" i="5"/>
  <c r="U98" i="5" s="1"/>
  <c r="W97" i="5"/>
  <c r="V97" i="5"/>
  <c r="L97" i="5"/>
  <c r="U97" i="5" s="1"/>
  <c r="W96" i="5"/>
  <c r="V96" i="5"/>
  <c r="L96" i="5"/>
  <c r="U96" i="5" s="1"/>
  <c r="W95" i="5"/>
  <c r="V95" i="5"/>
  <c r="L95" i="5"/>
  <c r="U95" i="5" s="1"/>
  <c r="W94" i="5"/>
  <c r="V94" i="5"/>
  <c r="L94" i="5"/>
  <c r="U94" i="5" s="1"/>
  <c r="W93" i="5"/>
  <c r="V93" i="5"/>
  <c r="L93" i="5"/>
  <c r="U93" i="5" s="1"/>
  <c r="W92" i="5"/>
  <c r="V92" i="5"/>
  <c r="L92" i="5"/>
  <c r="U92" i="5" s="1"/>
  <c r="W91" i="5"/>
  <c r="V91" i="5"/>
  <c r="L91" i="5"/>
  <c r="U91" i="5" s="1"/>
  <c r="U99" i="5" s="1"/>
  <c r="W90" i="5"/>
  <c r="V90" i="5"/>
  <c r="W89" i="5"/>
  <c r="V89" i="5"/>
  <c r="Q89" i="5"/>
  <c r="I89" i="5"/>
  <c r="H89" i="5"/>
  <c r="W88" i="5"/>
  <c r="V88" i="5"/>
  <c r="U88" i="5"/>
  <c r="U89" i="5" s="1"/>
  <c r="P88" i="5"/>
  <c r="P89" i="5" s="1"/>
  <c r="M88" i="5"/>
  <c r="M89" i="5" s="1"/>
  <c r="L88" i="5"/>
  <c r="K88" i="5"/>
  <c r="K89" i="5" s="1"/>
  <c r="I88" i="5"/>
  <c r="J88" i="5" s="1"/>
  <c r="G88" i="5"/>
  <c r="F88" i="5"/>
  <c r="S88" i="5" s="1"/>
  <c r="S89" i="5" s="1"/>
  <c r="W87" i="5"/>
  <c r="V87" i="5"/>
  <c r="W86" i="5"/>
  <c r="V86" i="5"/>
  <c r="S86" i="5"/>
  <c r="Q86" i="5"/>
  <c r="P86" i="5"/>
  <c r="H86" i="5"/>
  <c r="W85" i="5"/>
  <c r="V85" i="5"/>
  <c r="S85" i="5"/>
  <c r="P85" i="5"/>
  <c r="N85" i="5"/>
  <c r="M85" i="5"/>
  <c r="L85" i="5"/>
  <c r="I85" i="5"/>
  <c r="J85" i="5" s="1"/>
  <c r="G85" i="5"/>
  <c r="F85" i="5"/>
  <c r="W84" i="5"/>
  <c r="V84" i="5"/>
  <c r="P84" i="5"/>
  <c r="N84" i="5"/>
  <c r="M84" i="5"/>
  <c r="M86" i="5" s="1"/>
  <c r="L84" i="5"/>
  <c r="I84" i="5"/>
  <c r="J84" i="5" s="1"/>
  <c r="K84" i="5" s="1"/>
  <c r="G84" i="5"/>
  <c r="F84" i="5"/>
  <c r="S84" i="5" s="1"/>
  <c r="W83" i="5"/>
  <c r="V83" i="5"/>
  <c r="W82" i="5"/>
  <c r="V82" i="5"/>
  <c r="Q82" i="5"/>
  <c r="H82" i="5"/>
  <c r="W81" i="5"/>
  <c r="V81" i="5"/>
  <c r="P81" i="5"/>
  <c r="L81" i="5"/>
  <c r="K81" i="5"/>
  <c r="J81" i="5"/>
  <c r="I81" i="5"/>
  <c r="G81" i="5"/>
  <c r="F81" i="5"/>
  <c r="S81" i="5" s="1"/>
  <c r="W80" i="5"/>
  <c r="V80" i="5"/>
  <c r="P80" i="5"/>
  <c r="L80" i="5"/>
  <c r="K80" i="5"/>
  <c r="I80" i="5"/>
  <c r="J80" i="5" s="1"/>
  <c r="G80" i="5"/>
  <c r="F80" i="5"/>
  <c r="S80" i="5" s="1"/>
  <c r="W79" i="5"/>
  <c r="V79" i="5"/>
  <c r="S79" i="5"/>
  <c r="P79" i="5"/>
  <c r="N79" i="5"/>
  <c r="L79" i="5"/>
  <c r="M79" i="5" s="1"/>
  <c r="I79" i="5"/>
  <c r="J79" i="5" s="1"/>
  <c r="G79" i="5"/>
  <c r="F79" i="5"/>
  <c r="W78" i="5"/>
  <c r="V78" i="5"/>
  <c r="P78" i="5"/>
  <c r="N78" i="5"/>
  <c r="L78" i="5"/>
  <c r="J78" i="5"/>
  <c r="I78" i="5"/>
  <c r="G78" i="5"/>
  <c r="F78" i="5"/>
  <c r="W77" i="5"/>
  <c r="V77" i="5"/>
  <c r="P77" i="5"/>
  <c r="L77" i="5"/>
  <c r="J77" i="5"/>
  <c r="I77" i="5"/>
  <c r="G77" i="5"/>
  <c r="F77" i="5"/>
  <c r="S77" i="5" s="1"/>
  <c r="W76" i="5"/>
  <c r="V76" i="5"/>
  <c r="P76" i="5"/>
  <c r="L76" i="5"/>
  <c r="I76" i="5"/>
  <c r="J76" i="5" s="1"/>
  <c r="K76" i="5" s="1"/>
  <c r="G76" i="5"/>
  <c r="F76" i="5"/>
  <c r="S76" i="5" s="1"/>
  <c r="W75" i="5"/>
  <c r="V75" i="5"/>
  <c r="S75" i="5"/>
  <c r="P75" i="5"/>
  <c r="M75" i="5"/>
  <c r="L75" i="5"/>
  <c r="I75" i="5"/>
  <c r="G75" i="5"/>
  <c r="N75" i="5" s="1"/>
  <c r="F75" i="5"/>
  <c r="W74" i="5"/>
  <c r="V74" i="5"/>
  <c r="W73" i="5"/>
  <c r="V73" i="5"/>
  <c r="Q73" i="5"/>
  <c r="I73" i="5"/>
  <c r="H73" i="5"/>
  <c r="W72" i="5"/>
  <c r="V72" i="5"/>
  <c r="U72" i="5"/>
  <c r="P72" i="5"/>
  <c r="N72" i="5"/>
  <c r="L72" i="5"/>
  <c r="K72" i="5"/>
  <c r="J72" i="5"/>
  <c r="I72" i="5"/>
  <c r="G72" i="5"/>
  <c r="F72" i="5"/>
  <c r="W71" i="5"/>
  <c r="V71" i="5"/>
  <c r="P71" i="5"/>
  <c r="N71" i="5"/>
  <c r="L71" i="5"/>
  <c r="K71" i="5"/>
  <c r="J71" i="5"/>
  <c r="U71" i="5" s="1"/>
  <c r="I71" i="5"/>
  <c r="G71" i="5"/>
  <c r="F71" i="5"/>
  <c r="S71" i="5" s="1"/>
  <c r="W70" i="5"/>
  <c r="V70" i="5"/>
  <c r="S70" i="5"/>
  <c r="P70" i="5"/>
  <c r="P73" i="5" s="1"/>
  <c r="M70" i="5"/>
  <c r="J70" i="5"/>
  <c r="I70" i="5"/>
  <c r="G70" i="5"/>
  <c r="N70" i="5" s="1"/>
  <c r="F70" i="5"/>
  <c r="W69" i="5"/>
  <c r="V69" i="5"/>
  <c r="W68" i="5"/>
  <c r="V68" i="5"/>
  <c r="Q68" i="5"/>
  <c r="I68" i="5"/>
  <c r="H68" i="5"/>
  <c r="W67" i="5"/>
  <c r="V67" i="5"/>
  <c r="U67" i="5"/>
  <c r="N67" i="5"/>
  <c r="L67" i="5"/>
  <c r="K67" i="5"/>
  <c r="J67" i="5"/>
  <c r="I67" i="5"/>
  <c r="G67" i="5"/>
  <c r="F67" i="5"/>
  <c r="S67" i="5" s="1"/>
  <c r="W66" i="5"/>
  <c r="V66" i="5"/>
  <c r="S66" i="5"/>
  <c r="P66" i="5"/>
  <c r="P68" i="5" s="1"/>
  <c r="M66" i="5"/>
  <c r="L66" i="5"/>
  <c r="I66" i="5"/>
  <c r="J66" i="5" s="1"/>
  <c r="G66" i="5"/>
  <c r="F66" i="5"/>
  <c r="W65" i="5"/>
  <c r="V65" i="5"/>
  <c r="W64" i="5"/>
  <c r="V64" i="5"/>
  <c r="Q64" i="5"/>
  <c r="H64" i="5"/>
  <c r="W63" i="5"/>
  <c r="V63" i="5"/>
  <c r="S63" i="5"/>
  <c r="P63" i="5"/>
  <c r="L63" i="5"/>
  <c r="J63" i="5"/>
  <c r="K63" i="5" s="1"/>
  <c r="I63" i="5"/>
  <c r="G63" i="5"/>
  <c r="F63" i="5"/>
  <c r="W62" i="5"/>
  <c r="V62" i="5"/>
  <c r="P62" i="5"/>
  <c r="N62" i="5"/>
  <c r="L62" i="5"/>
  <c r="J62" i="5"/>
  <c r="I62" i="5"/>
  <c r="G62" i="5"/>
  <c r="F62" i="5"/>
  <c r="W61" i="5"/>
  <c r="V61" i="5"/>
  <c r="P61" i="5"/>
  <c r="N61" i="5"/>
  <c r="L61" i="5"/>
  <c r="K61" i="5"/>
  <c r="J61" i="5"/>
  <c r="U61" i="5" s="1"/>
  <c r="I61" i="5"/>
  <c r="G61" i="5"/>
  <c r="F61" i="5"/>
  <c r="S61" i="5" s="1"/>
  <c r="W60" i="5"/>
  <c r="V60" i="5"/>
  <c r="S60" i="5"/>
  <c r="P60" i="5"/>
  <c r="P64" i="5" s="1"/>
  <c r="M60" i="5"/>
  <c r="L60" i="5"/>
  <c r="I60" i="5"/>
  <c r="J60" i="5" s="1"/>
  <c r="G60" i="5"/>
  <c r="F60" i="5"/>
  <c r="W59" i="5"/>
  <c r="V59" i="5"/>
  <c r="W58" i="5"/>
  <c r="V58" i="5"/>
  <c r="Q58" i="5"/>
  <c r="Q100" i="5" s="1"/>
  <c r="Q199" i="5" s="1"/>
  <c r="H58" i="5"/>
  <c r="W57" i="5"/>
  <c r="V57" i="5"/>
  <c r="S57" i="5"/>
  <c r="P57" i="5"/>
  <c r="L57" i="5"/>
  <c r="J57" i="5"/>
  <c r="K57" i="5" s="1"/>
  <c r="I57" i="5"/>
  <c r="G57" i="5"/>
  <c r="F57" i="5"/>
  <c r="W56" i="5"/>
  <c r="V56" i="5"/>
  <c r="P56" i="5"/>
  <c r="N56" i="5"/>
  <c r="L56" i="5"/>
  <c r="J56" i="5"/>
  <c r="I56" i="5"/>
  <c r="G56" i="5"/>
  <c r="F56" i="5"/>
  <c r="W55" i="5"/>
  <c r="V55" i="5"/>
  <c r="P55" i="5"/>
  <c r="N55" i="5"/>
  <c r="L55" i="5"/>
  <c r="K55" i="5"/>
  <c r="J55" i="5"/>
  <c r="U55" i="5" s="1"/>
  <c r="I55" i="5"/>
  <c r="G55" i="5"/>
  <c r="F55" i="5"/>
  <c r="S55" i="5" s="1"/>
  <c r="W54" i="5"/>
  <c r="V54" i="5"/>
  <c r="S54" i="5"/>
  <c r="P54" i="5"/>
  <c r="M54" i="5"/>
  <c r="L54" i="5"/>
  <c r="I54" i="5"/>
  <c r="J54" i="5" s="1"/>
  <c r="G54" i="5"/>
  <c r="F54" i="5"/>
  <c r="W53" i="5"/>
  <c r="V53" i="5"/>
  <c r="S53" i="5"/>
  <c r="P53" i="5"/>
  <c r="N53" i="5"/>
  <c r="M53" i="5"/>
  <c r="L53" i="5"/>
  <c r="I53" i="5"/>
  <c r="J53" i="5" s="1"/>
  <c r="G53" i="5"/>
  <c r="F53" i="5"/>
  <c r="W52" i="5"/>
  <c r="V52" i="5"/>
  <c r="P52" i="5"/>
  <c r="N52" i="5"/>
  <c r="M52" i="5"/>
  <c r="L52" i="5"/>
  <c r="J52" i="5"/>
  <c r="I52" i="5"/>
  <c r="G52" i="5"/>
  <c r="F52" i="5"/>
  <c r="S52" i="5" s="1"/>
  <c r="W51" i="5"/>
  <c r="V51" i="5"/>
  <c r="P51" i="5"/>
  <c r="N51" i="5"/>
  <c r="L51" i="5"/>
  <c r="M51" i="5" s="1"/>
  <c r="K51" i="5"/>
  <c r="J51" i="5"/>
  <c r="I51" i="5"/>
  <c r="G51" i="5"/>
  <c r="F51" i="5"/>
  <c r="S51" i="5" s="1"/>
  <c r="W50" i="5"/>
  <c r="V50" i="5"/>
  <c r="P50" i="5"/>
  <c r="L50" i="5"/>
  <c r="N50" i="5" s="1"/>
  <c r="K50" i="5"/>
  <c r="I50" i="5"/>
  <c r="J50" i="5" s="1"/>
  <c r="G50" i="5"/>
  <c r="F50" i="5"/>
  <c r="S50" i="5" s="1"/>
  <c r="W49" i="5"/>
  <c r="V49" i="5"/>
  <c r="S49" i="5"/>
  <c r="P49" i="5"/>
  <c r="L49" i="5"/>
  <c r="J49" i="5"/>
  <c r="K49" i="5" s="1"/>
  <c r="I49" i="5"/>
  <c r="G49" i="5"/>
  <c r="F49" i="5"/>
  <c r="W48" i="5"/>
  <c r="V48" i="5"/>
  <c r="P48" i="5"/>
  <c r="N48" i="5"/>
  <c r="L48" i="5"/>
  <c r="J48" i="5"/>
  <c r="I48" i="5"/>
  <c r="G48" i="5"/>
  <c r="F48" i="5"/>
  <c r="W47" i="5"/>
  <c r="V47" i="5"/>
  <c r="P47" i="5"/>
  <c r="N47" i="5"/>
  <c r="L47" i="5"/>
  <c r="K47" i="5"/>
  <c r="J47" i="5"/>
  <c r="U47" i="5" s="1"/>
  <c r="I47" i="5"/>
  <c r="G47" i="5"/>
  <c r="F47" i="5"/>
  <c r="S47" i="5" s="1"/>
  <c r="W46" i="5"/>
  <c r="V46" i="5"/>
  <c r="S46" i="5"/>
  <c r="P46" i="5"/>
  <c r="M46" i="5"/>
  <c r="L46" i="5"/>
  <c r="I46" i="5"/>
  <c r="J46" i="5" s="1"/>
  <c r="U46" i="5" s="1"/>
  <c r="G46" i="5"/>
  <c r="F46" i="5"/>
  <c r="W45" i="5"/>
  <c r="V45" i="5"/>
  <c r="S45" i="5"/>
  <c r="P45" i="5"/>
  <c r="N45" i="5"/>
  <c r="M45" i="5"/>
  <c r="L45" i="5"/>
  <c r="J45" i="5"/>
  <c r="I45" i="5"/>
  <c r="G45" i="5"/>
  <c r="F45" i="5"/>
  <c r="W44" i="5"/>
  <c r="V44" i="5"/>
  <c r="P44" i="5"/>
  <c r="N44" i="5"/>
  <c r="M44" i="5"/>
  <c r="L44" i="5"/>
  <c r="I44" i="5"/>
  <c r="J44" i="5" s="1"/>
  <c r="G44" i="5"/>
  <c r="F44" i="5"/>
  <c r="S44" i="5" s="1"/>
  <c r="W43" i="5"/>
  <c r="V43" i="5"/>
  <c r="P43" i="5"/>
  <c r="L43" i="5"/>
  <c r="K43" i="5"/>
  <c r="J43" i="5"/>
  <c r="I43" i="5"/>
  <c r="G43" i="5"/>
  <c r="F43" i="5"/>
  <c r="S43" i="5" s="1"/>
  <c r="W42" i="5"/>
  <c r="V42" i="5"/>
  <c r="U42" i="5"/>
  <c r="S42" i="5"/>
  <c r="P42" i="5"/>
  <c r="L42" i="5"/>
  <c r="K42" i="5"/>
  <c r="I42" i="5"/>
  <c r="J42" i="5" s="1"/>
  <c r="G42" i="5"/>
  <c r="F42" i="5"/>
  <c r="W41" i="5"/>
  <c r="V41" i="5"/>
  <c r="S41" i="5"/>
  <c r="P41" i="5"/>
  <c r="L41" i="5"/>
  <c r="J41" i="5"/>
  <c r="K41" i="5" s="1"/>
  <c r="I41" i="5"/>
  <c r="G41" i="5"/>
  <c r="F41" i="5"/>
  <c r="W40" i="5"/>
  <c r="V40" i="5"/>
  <c r="P40" i="5"/>
  <c r="N40" i="5"/>
  <c r="L40" i="5"/>
  <c r="J40" i="5"/>
  <c r="I40" i="5"/>
  <c r="G40" i="5"/>
  <c r="F40" i="5"/>
  <c r="W39" i="5"/>
  <c r="V39" i="5"/>
  <c r="P39" i="5"/>
  <c r="N39" i="5"/>
  <c r="L39" i="5"/>
  <c r="K39" i="5"/>
  <c r="J39" i="5"/>
  <c r="U39" i="5" s="1"/>
  <c r="I39" i="5"/>
  <c r="G39" i="5"/>
  <c r="F39" i="5"/>
  <c r="S39" i="5" s="1"/>
  <c r="W38" i="5"/>
  <c r="V38" i="5"/>
  <c r="S38" i="5"/>
  <c r="P38" i="5"/>
  <c r="M38" i="5"/>
  <c r="L38" i="5"/>
  <c r="K38" i="5"/>
  <c r="I38" i="5"/>
  <c r="J38" i="5" s="1"/>
  <c r="U38" i="5" s="1"/>
  <c r="G38" i="5"/>
  <c r="F38" i="5"/>
  <c r="W37" i="5"/>
  <c r="V37" i="5"/>
  <c r="S37" i="5"/>
  <c r="P37" i="5"/>
  <c r="N37" i="5"/>
  <c r="M37" i="5"/>
  <c r="L37" i="5"/>
  <c r="J37" i="5"/>
  <c r="I37" i="5"/>
  <c r="G37" i="5"/>
  <c r="F37" i="5"/>
  <c r="W36" i="5"/>
  <c r="V36" i="5"/>
  <c r="L36" i="5"/>
  <c r="N36" i="5" s="1"/>
  <c r="J36" i="5"/>
  <c r="I36" i="5"/>
  <c r="G36" i="5"/>
  <c r="F36" i="5"/>
  <c r="S36" i="5" s="1"/>
  <c r="W35" i="5"/>
  <c r="V35" i="5"/>
  <c r="P35" i="5"/>
  <c r="N35" i="5"/>
  <c r="L35" i="5"/>
  <c r="J35" i="5"/>
  <c r="U35" i="5" s="1"/>
  <c r="I35" i="5"/>
  <c r="G35" i="5"/>
  <c r="F35" i="5"/>
  <c r="W34" i="5"/>
  <c r="V34" i="5"/>
  <c r="P34" i="5"/>
  <c r="N34" i="5"/>
  <c r="L34" i="5"/>
  <c r="J34" i="5"/>
  <c r="I34" i="5"/>
  <c r="G34" i="5"/>
  <c r="F34" i="5"/>
  <c r="S34" i="5" s="1"/>
  <c r="W33" i="5"/>
  <c r="V33" i="5"/>
  <c r="S33" i="5"/>
  <c r="P33" i="5"/>
  <c r="M33" i="5"/>
  <c r="L33" i="5"/>
  <c r="K33" i="5"/>
  <c r="I33" i="5"/>
  <c r="J33" i="5" s="1"/>
  <c r="U33" i="5" s="1"/>
  <c r="G33" i="5"/>
  <c r="F33" i="5"/>
  <c r="W32" i="5"/>
  <c r="V32" i="5"/>
  <c r="U32" i="5"/>
  <c r="S32" i="5"/>
  <c r="P32" i="5"/>
  <c r="M32" i="5"/>
  <c r="L32" i="5"/>
  <c r="J32" i="5"/>
  <c r="K32" i="5" s="1"/>
  <c r="I32" i="5"/>
  <c r="G32" i="5"/>
  <c r="N32" i="5" s="1"/>
  <c r="F32" i="5"/>
  <c r="W31" i="5"/>
  <c r="V31" i="5"/>
  <c r="P31" i="5"/>
  <c r="N31" i="5"/>
  <c r="M31" i="5"/>
  <c r="L31" i="5"/>
  <c r="J31" i="5"/>
  <c r="I31" i="5"/>
  <c r="G31" i="5"/>
  <c r="F31" i="5"/>
  <c r="S31" i="5" s="1"/>
  <c r="W30" i="5"/>
  <c r="V30" i="5"/>
  <c r="W29" i="5"/>
  <c r="V29" i="5"/>
  <c r="Q29" i="5"/>
  <c r="H29" i="5"/>
  <c r="H100" i="5" s="1"/>
  <c r="W28" i="5"/>
  <c r="V28" i="5"/>
  <c r="S28" i="5"/>
  <c r="P28" i="5"/>
  <c r="L28" i="5"/>
  <c r="J28" i="5"/>
  <c r="I28" i="5"/>
  <c r="G28" i="5"/>
  <c r="F28" i="5"/>
  <c r="W27" i="5"/>
  <c r="V27" i="5"/>
  <c r="P27" i="5"/>
  <c r="L27" i="5"/>
  <c r="I27" i="5"/>
  <c r="J27" i="5" s="1"/>
  <c r="G27" i="5"/>
  <c r="F27" i="5"/>
  <c r="S27" i="5" s="1"/>
  <c r="W26" i="5"/>
  <c r="V26" i="5"/>
  <c r="S26" i="5"/>
  <c r="P26" i="5"/>
  <c r="L26" i="5"/>
  <c r="J26" i="5"/>
  <c r="I26" i="5"/>
  <c r="G26" i="5"/>
  <c r="F26" i="5"/>
  <c r="W25" i="5"/>
  <c r="V25" i="5"/>
  <c r="P25" i="5"/>
  <c r="N25" i="5"/>
  <c r="M25" i="5"/>
  <c r="L25" i="5"/>
  <c r="I25" i="5"/>
  <c r="J25" i="5" s="1"/>
  <c r="G25" i="5"/>
  <c r="F25" i="5"/>
  <c r="S25" i="5" s="1"/>
  <c r="W24" i="5"/>
  <c r="V24" i="5"/>
  <c r="P24" i="5"/>
  <c r="L24" i="5"/>
  <c r="J24" i="5"/>
  <c r="I24" i="5"/>
  <c r="G24" i="5"/>
  <c r="F24" i="5"/>
  <c r="S24" i="5" s="1"/>
  <c r="W23" i="5"/>
  <c r="V23" i="5"/>
  <c r="P23" i="5"/>
  <c r="L23" i="5"/>
  <c r="I23" i="5"/>
  <c r="J23" i="5" s="1"/>
  <c r="K23" i="5" s="1"/>
  <c r="G23" i="5"/>
  <c r="F23" i="5"/>
  <c r="S23" i="5" s="1"/>
  <c r="W22" i="5"/>
  <c r="V22" i="5"/>
  <c r="S22" i="5"/>
  <c r="P22" i="5"/>
  <c r="L22" i="5"/>
  <c r="N22" i="5" s="1"/>
  <c r="I22" i="5"/>
  <c r="J22" i="5" s="1"/>
  <c r="K22" i="5" s="1"/>
  <c r="G22" i="5"/>
  <c r="F22" i="5"/>
  <c r="W21" i="5"/>
  <c r="V21" i="5"/>
  <c r="P21" i="5"/>
  <c r="N21" i="5"/>
  <c r="M21" i="5"/>
  <c r="L21" i="5"/>
  <c r="I21" i="5"/>
  <c r="J21" i="5" s="1"/>
  <c r="G21" i="5"/>
  <c r="F21" i="5"/>
  <c r="S21" i="5" s="1"/>
  <c r="W20" i="5"/>
  <c r="V20" i="5"/>
  <c r="S20" i="5"/>
  <c r="P20" i="5"/>
  <c r="L20" i="5"/>
  <c r="J20" i="5"/>
  <c r="U20" i="5" s="1"/>
  <c r="I20" i="5"/>
  <c r="G20" i="5"/>
  <c r="F20" i="5"/>
  <c r="W19" i="5"/>
  <c r="V19" i="5"/>
  <c r="U19" i="5"/>
  <c r="S19" i="5"/>
  <c r="P19" i="5"/>
  <c r="J19" i="5"/>
  <c r="K19" i="5" s="1"/>
  <c r="I19" i="5"/>
  <c r="G19" i="5"/>
  <c r="N19" i="5" s="1"/>
  <c r="F19" i="5"/>
  <c r="M19" i="5" s="1"/>
  <c r="W18" i="5"/>
  <c r="V18" i="5"/>
  <c r="S18" i="5"/>
  <c r="P18" i="5"/>
  <c r="M18" i="5"/>
  <c r="L18" i="5"/>
  <c r="K18" i="5"/>
  <c r="I18" i="5"/>
  <c r="J18" i="5" s="1"/>
  <c r="U18" i="5" s="1"/>
  <c r="G18" i="5"/>
  <c r="F18" i="5"/>
  <c r="W17" i="5"/>
  <c r="V17" i="5"/>
  <c r="S17" i="5"/>
  <c r="P17" i="5"/>
  <c r="M17" i="5"/>
  <c r="L17" i="5"/>
  <c r="J17" i="5"/>
  <c r="K17" i="5" s="1"/>
  <c r="I17" i="5"/>
  <c r="G17" i="5"/>
  <c r="N17" i="5" s="1"/>
  <c r="F17" i="5"/>
  <c r="W16" i="5"/>
  <c r="V16" i="5"/>
  <c r="P16" i="5"/>
  <c r="N16" i="5"/>
  <c r="M16" i="5"/>
  <c r="L16" i="5"/>
  <c r="I16" i="5"/>
  <c r="J16" i="5" s="1"/>
  <c r="K16" i="5" s="1"/>
  <c r="G16" i="5"/>
  <c r="F16" i="5"/>
  <c r="S16" i="5" s="1"/>
  <c r="W15" i="5"/>
  <c r="V15" i="5"/>
  <c r="P15" i="5"/>
  <c r="N15" i="5"/>
  <c r="L15" i="5"/>
  <c r="M15" i="5" s="1"/>
  <c r="K15" i="5"/>
  <c r="J15" i="5"/>
  <c r="I15" i="5"/>
  <c r="G15" i="5"/>
  <c r="F15" i="5"/>
  <c r="S15" i="5" s="1"/>
  <c r="W14" i="5"/>
  <c r="V14" i="5"/>
  <c r="P14" i="5"/>
  <c r="L14" i="5"/>
  <c r="M14" i="5" s="1"/>
  <c r="K14" i="5"/>
  <c r="I14" i="5"/>
  <c r="J14" i="5" s="1"/>
  <c r="G14" i="5"/>
  <c r="F14" i="5"/>
  <c r="S14" i="5" s="1"/>
  <c r="W13" i="5"/>
  <c r="V13" i="5"/>
  <c r="S13" i="5"/>
  <c r="P13" i="5"/>
  <c r="L13" i="5"/>
  <c r="J13" i="5"/>
  <c r="K13" i="5" s="1"/>
  <c r="I13" i="5"/>
  <c r="G13" i="5"/>
  <c r="F13" i="5"/>
  <c r="W12" i="5"/>
  <c r="V12" i="5"/>
  <c r="P12" i="5"/>
  <c r="N12" i="5"/>
  <c r="L12" i="5"/>
  <c r="J12" i="5"/>
  <c r="I12" i="5"/>
  <c r="G12" i="5"/>
  <c r="F12" i="5"/>
  <c r="W11" i="5"/>
  <c r="V11" i="5"/>
  <c r="P11" i="5"/>
  <c r="N11" i="5"/>
  <c r="L11" i="5"/>
  <c r="J11" i="5"/>
  <c r="I11" i="5"/>
  <c r="G11" i="5"/>
  <c r="F11" i="5"/>
  <c r="S11" i="5" s="1"/>
  <c r="W10" i="5"/>
  <c r="V10" i="5"/>
  <c r="S10" i="5"/>
  <c r="P10" i="5"/>
  <c r="M10" i="5"/>
  <c r="L10" i="5"/>
  <c r="K10" i="5"/>
  <c r="I10" i="5"/>
  <c r="J10" i="5" s="1"/>
  <c r="U10" i="5" s="1"/>
  <c r="G10" i="5"/>
  <c r="F10" i="5"/>
  <c r="W9" i="5"/>
  <c r="V9" i="5"/>
  <c r="U9" i="5"/>
  <c r="S9" i="5"/>
  <c r="P9" i="5"/>
  <c r="M9" i="5"/>
  <c r="L9" i="5"/>
  <c r="J9" i="5"/>
  <c r="K9" i="5" s="1"/>
  <c r="I9" i="5"/>
  <c r="G9" i="5"/>
  <c r="N9" i="5" s="1"/>
  <c r="F9" i="5"/>
  <c r="W8" i="5"/>
  <c r="V8" i="5"/>
  <c r="U8" i="5"/>
  <c r="P8" i="5"/>
  <c r="N8" i="5"/>
  <c r="M8" i="5"/>
  <c r="L8" i="5"/>
  <c r="J8" i="5"/>
  <c r="K8" i="5" s="1"/>
  <c r="I8" i="5"/>
  <c r="G8" i="5"/>
  <c r="F8" i="5"/>
  <c r="S8" i="5" s="1"/>
  <c r="W7" i="5"/>
  <c r="V7" i="5"/>
  <c r="P7" i="5"/>
  <c r="N7" i="5"/>
  <c r="L7" i="5"/>
  <c r="H7" i="5"/>
  <c r="I7" i="5" s="1"/>
  <c r="J7" i="5" s="1"/>
  <c r="G7" i="5"/>
  <c r="F7" i="5"/>
  <c r="S7" i="5" s="1"/>
  <c r="W6" i="5"/>
  <c r="V6" i="5"/>
  <c r="S6" i="5"/>
  <c r="P6" i="5"/>
  <c r="L6" i="5"/>
  <c r="I6" i="5"/>
  <c r="J6" i="5" s="1"/>
  <c r="K6" i="5" s="1"/>
  <c r="G6" i="5"/>
  <c r="F6" i="5"/>
  <c r="W5" i="5"/>
  <c r="V5" i="5"/>
  <c r="P5" i="5"/>
  <c r="N5" i="5"/>
  <c r="L5" i="5"/>
  <c r="I5" i="5"/>
  <c r="J5" i="5" s="1"/>
  <c r="U5" i="5" s="1"/>
  <c r="G5" i="5"/>
  <c r="F5" i="5"/>
  <c r="W4" i="5"/>
  <c r="V4" i="5"/>
  <c r="P4" i="5"/>
  <c r="L4" i="5"/>
  <c r="K4" i="5"/>
  <c r="J4" i="5"/>
  <c r="I4" i="5"/>
  <c r="G4" i="5"/>
  <c r="F4" i="5"/>
  <c r="S4" i="5" s="1"/>
  <c r="W3" i="5"/>
  <c r="V3" i="5"/>
  <c r="P3" i="5"/>
  <c r="L3" i="5"/>
  <c r="I3" i="5"/>
  <c r="G3" i="5"/>
  <c r="F3" i="5"/>
  <c r="S3" i="5" s="1"/>
  <c r="J258" i="4"/>
  <c r="J256" i="4"/>
  <c r="E256" i="4"/>
  <c r="D256" i="4"/>
  <c r="C256" i="4"/>
  <c r="R248" i="4"/>
  <c r="P248" i="4"/>
  <c r="O248" i="4"/>
  <c r="N248" i="4"/>
  <c r="M248" i="4"/>
  <c r="P247" i="4"/>
  <c r="R247" i="4" s="1"/>
  <c r="O247" i="4"/>
  <c r="N247" i="4"/>
  <c r="M247" i="4"/>
  <c r="S246" i="4"/>
  <c r="P246" i="4"/>
  <c r="R246" i="4" s="1"/>
  <c r="O246" i="4"/>
  <c r="N246" i="4"/>
  <c r="M246" i="4"/>
  <c r="S245" i="4"/>
  <c r="R245" i="4"/>
  <c r="P245" i="4"/>
  <c r="O245" i="4"/>
  <c r="N245" i="4"/>
  <c r="M245" i="4"/>
  <c r="S244" i="4"/>
  <c r="R244" i="4"/>
  <c r="P244" i="4"/>
  <c r="O244" i="4"/>
  <c r="N244" i="4"/>
  <c r="M244" i="4"/>
  <c r="P243" i="4"/>
  <c r="R243" i="4" s="1"/>
  <c r="O243" i="4"/>
  <c r="N243" i="4"/>
  <c r="M243" i="4"/>
  <c r="S242" i="4"/>
  <c r="R242" i="4"/>
  <c r="P242" i="4"/>
  <c r="O242" i="4"/>
  <c r="O249" i="4" s="1"/>
  <c r="N242" i="4"/>
  <c r="M242" i="4"/>
  <c r="S241" i="4"/>
  <c r="R241" i="4"/>
  <c r="P241" i="4"/>
  <c r="O241" i="4"/>
  <c r="N241" i="4"/>
  <c r="M241" i="4"/>
  <c r="M249" i="4" s="1"/>
  <c r="T240" i="4"/>
  <c r="P240" i="4"/>
  <c r="R240" i="4" s="1"/>
  <c r="O240" i="4"/>
  <c r="N240" i="4"/>
  <c r="M240" i="4"/>
  <c r="I240" i="4"/>
  <c r="J240" i="4" s="1"/>
  <c r="G240" i="4"/>
  <c r="F240" i="4"/>
  <c r="P234" i="4"/>
  <c r="R233" i="4"/>
  <c r="P233" i="4"/>
  <c r="O233" i="4"/>
  <c r="N233" i="4"/>
  <c r="M233" i="4"/>
  <c r="L233" i="4"/>
  <c r="R232" i="4"/>
  <c r="P232" i="4"/>
  <c r="O232" i="4"/>
  <c r="N232" i="4"/>
  <c r="M232" i="4"/>
  <c r="L232" i="4"/>
  <c r="R231" i="4"/>
  <c r="P231" i="4"/>
  <c r="O231" i="4"/>
  <c r="N231" i="4"/>
  <c r="M231" i="4"/>
  <c r="L231" i="4"/>
  <c r="R230" i="4"/>
  <c r="P230" i="4"/>
  <c r="O230" i="4"/>
  <c r="N230" i="4"/>
  <c r="M230" i="4"/>
  <c r="L230" i="4"/>
  <c r="R229" i="4"/>
  <c r="P229" i="4"/>
  <c r="O229" i="4"/>
  <c r="N229" i="4"/>
  <c r="M229" i="4"/>
  <c r="L229" i="4"/>
  <c r="R228" i="4"/>
  <c r="P228" i="4"/>
  <c r="O228" i="4"/>
  <c r="N228" i="4"/>
  <c r="M228" i="4"/>
  <c r="L228" i="4"/>
  <c r="R227" i="4"/>
  <c r="P227" i="4"/>
  <c r="O227" i="4"/>
  <c r="N227" i="4"/>
  <c r="M227" i="4"/>
  <c r="L227" i="4"/>
  <c r="R226" i="4"/>
  <c r="R234" i="4" s="1"/>
  <c r="P226" i="4"/>
  <c r="O226" i="4"/>
  <c r="N226" i="4"/>
  <c r="M226" i="4"/>
  <c r="L226" i="4"/>
  <c r="L234" i="4" s="1"/>
  <c r="L236" i="4" s="1"/>
  <c r="R225" i="4"/>
  <c r="P225" i="4"/>
  <c r="O225" i="4"/>
  <c r="O234" i="4" s="1"/>
  <c r="N225" i="4"/>
  <c r="N234" i="4" s="1"/>
  <c r="M225" i="4"/>
  <c r="M234" i="4" s="1"/>
  <c r="L225" i="4"/>
  <c r="T218" i="4"/>
  <c r="P218" i="4"/>
  <c r="R218" i="4" s="1"/>
  <c r="O218" i="4"/>
  <c r="N218" i="4"/>
  <c r="M218" i="4"/>
  <c r="R217" i="4"/>
  <c r="P217" i="4"/>
  <c r="O217" i="4"/>
  <c r="N217" i="4"/>
  <c r="M217" i="4"/>
  <c r="R216" i="4"/>
  <c r="P216" i="4"/>
  <c r="O216" i="4"/>
  <c r="N216" i="4"/>
  <c r="M216" i="4"/>
  <c r="R215" i="4"/>
  <c r="P215" i="4"/>
  <c r="O215" i="4"/>
  <c r="N215" i="4"/>
  <c r="M215" i="4"/>
  <c r="I215" i="4"/>
  <c r="J215" i="4" s="1"/>
  <c r="G215" i="4"/>
  <c r="F215" i="4"/>
  <c r="P214" i="4"/>
  <c r="R214" i="4" s="1"/>
  <c r="O214" i="4"/>
  <c r="N214" i="4"/>
  <c r="M214" i="4"/>
  <c r="J214" i="4"/>
  <c r="I214" i="4"/>
  <c r="G214" i="4"/>
  <c r="F214" i="4"/>
  <c r="R213" i="4"/>
  <c r="P213" i="4"/>
  <c r="O213" i="4"/>
  <c r="N213" i="4"/>
  <c r="M213" i="4"/>
  <c r="I213" i="4"/>
  <c r="J213" i="4" s="1"/>
  <c r="G213" i="4"/>
  <c r="F213" i="4"/>
  <c r="P212" i="4"/>
  <c r="R212" i="4" s="1"/>
  <c r="O212" i="4"/>
  <c r="N212" i="4"/>
  <c r="M212" i="4"/>
  <c r="J212" i="4"/>
  <c r="I212" i="4"/>
  <c r="G212" i="4"/>
  <c r="F212" i="4"/>
  <c r="R211" i="4"/>
  <c r="P211" i="4"/>
  <c r="O211" i="4"/>
  <c r="N211" i="4"/>
  <c r="N219" i="4" s="1"/>
  <c r="M211" i="4"/>
  <c r="M219" i="4" s="1"/>
  <c r="I211" i="4"/>
  <c r="J211" i="4" s="1"/>
  <c r="G211" i="4"/>
  <c r="F211" i="4"/>
  <c r="P210" i="4"/>
  <c r="O210" i="4"/>
  <c r="N210" i="4"/>
  <c r="M210" i="4"/>
  <c r="J210" i="4"/>
  <c r="I210" i="4"/>
  <c r="G210" i="4"/>
  <c r="F210" i="4"/>
  <c r="W198" i="4"/>
  <c r="W197" i="4"/>
  <c r="W196" i="4"/>
  <c r="Q196" i="4"/>
  <c r="H196" i="4"/>
  <c r="W195" i="4"/>
  <c r="V195" i="4"/>
  <c r="P195" i="4"/>
  <c r="N195" i="4"/>
  <c r="L195" i="4"/>
  <c r="J195" i="4"/>
  <c r="U195" i="4" s="1"/>
  <c r="I195" i="4"/>
  <c r="G195" i="4"/>
  <c r="F195" i="4"/>
  <c r="W194" i="4"/>
  <c r="V194" i="4"/>
  <c r="P194" i="4"/>
  <c r="N194" i="4"/>
  <c r="L194" i="4"/>
  <c r="J194" i="4"/>
  <c r="I194" i="4"/>
  <c r="G194" i="4"/>
  <c r="F194" i="4"/>
  <c r="S194" i="4" s="1"/>
  <c r="W193" i="4"/>
  <c r="V193" i="4"/>
  <c r="S193" i="4"/>
  <c r="L193" i="4"/>
  <c r="J193" i="4"/>
  <c r="I193" i="4"/>
  <c r="G193" i="4"/>
  <c r="F193" i="4"/>
  <c r="P192" i="4"/>
  <c r="W191" i="4"/>
  <c r="V191" i="4"/>
  <c r="S191" i="4"/>
  <c r="P191" i="4"/>
  <c r="L191" i="4"/>
  <c r="M191" i="4" s="1"/>
  <c r="I191" i="4"/>
  <c r="J191" i="4" s="1"/>
  <c r="G191" i="4"/>
  <c r="F191" i="4"/>
  <c r="W190" i="4"/>
  <c r="P190" i="4"/>
  <c r="W189" i="4"/>
  <c r="P189" i="4"/>
  <c r="W188" i="4"/>
  <c r="V188" i="4"/>
  <c r="P188" i="4"/>
  <c r="N188" i="4"/>
  <c r="M188" i="4"/>
  <c r="L188" i="4"/>
  <c r="I188" i="4"/>
  <c r="J188" i="4" s="1"/>
  <c r="G188" i="4"/>
  <c r="F188" i="4"/>
  <c r="S188" i="4" s="1"/>
  <c r="W187" i="4"/>
  <c r="P187" i="4"/>
  <c r="W186" i="4"/>
  <c r="P186" i="4"/>
  <c r="W185" i="4"/>
  <c r="V185" i="4"/>
  <c r="P185" i="4"/>
  <c r="L185" i="4"/>
  <c r="M185" i="4" s="1"/>
  <c r="J185" i="4"/>
  <c r="I185" i="4"/>
  <c r="G185" i="4"/>
  <c r="F185" i="4"/>
  <c r="S185" i="4" s="1"/>
  <c r="W184" i="4"/>
  <c r="V184" i="4"/>
  <c r="P184" i="4"/>
  <c r="L184" i="4"/>
  <c r="N184" i="4" s="1"/>
  <c r="I184" i="4"/>
  <c r="J184" i="4" s="1"/>
  <c r="K184" i="4" s="1"/>
  <c r="G184" i="4"/>
  <c r="F184" i="4"/>
  <c r="S184" i="4" s="1"/>
  <c r="W183" i="4"/>
  <c r="V183" i="4"/>
  <c r="S183" i="4"/>
  <c r="P183" i="4"/>
  <c r="L183" i="4"/>
  <c r="I183" i="4"/>
  <c r="J183" i="4" s="1"/>
  <c r="G183" i="4"/>
  <c r="F183" i="4"/>
  <c r="W182" i="4"/>
  <c r="P182" i="4"/>
  <c r="W181" i="4"/>
  <c r="P181" i="4"/>
  <c r="W180" i="4"/>
  <c r="V180" i="4"/>
  <c r="P180" i="4"/>
  <c r="N180" i="4"/>
  <c r="M180" i="4"/>
  <c r="L180" i="4"/>
  <c r="I180" i="4"/>
  <c r="J180" i="4" s="1"/>
  <c r="G180" i="4"/>
  <c r="F180" i="4"/>
  <c r="S180" i="4" s="1"/>
  <c r="W179" i="4"/>
  <c r="V179" i="4"/>
  <c r="P179" i="4"/>
  <c r="L179" i="4"/>
  <c r="K179" i="4"/>
  <c r="J179" i="4"/>
  <c r="U179" i="4" s="1"/>
  <c r="I179" i="4"/>
  <c r="G179" i="4"/>
  <c r="F179" i="4"/>
  <c r="S179" i="4" s="1"/>
  <c r="W178" i="4"/>
  <c r="V178" i="4"/>
  <c r="S178" i="4"/>
  <c r="P178" i="4"/>
  <c r="L178" i="4"/>
  <c r="I178" i="4"/>
  <c r="J178" i="4" s="1"/>
  <c r="G178" i="4"/>
  <c r="F178" i="4"/>
  <c r="W177" i="4"/>
  <c r="V177" i="4"/>
  <c r="S177" i="4"/>
  <c r="P177" i="4"/>
  <c r="L177" i="4"/>
  <c r="J177" i="4"/>
  <c r="I177" i="4"/>
  <c r="G177" i="4"/>
  <c r="F177" i="4"/>
  <c r="W176" i="4"/>
  <c r="V176" i="4"/>
  <c r="P176" i="4"/>
  <c r="N176" i="4"/>
  <c r="M176" i="4"/>
  <c r="L176" i="4"/>
  <c r="J176" i="4"/>
  <c r="I176" i="4"/>
  <c r="I196" i="4" s="1"/>
  <c r="G176" i="4"/>
  <c r="F176" i="4"/>
  <c r="S176" i="4" s="1"/>
  <c r="W175" i="4"/>
  <c r="V175" i="4"/>
  <c r="P175" i="4"/>
  <c r="L175" i="4"/>
  <c r="J175" i="4"/>
  <c r="I175" i="4"/>
  <c r="G175" i="4"/>
  <c r="F175" i="4"/>
  <c r="S175" i="4" s="1"/>
  <c r="W174" i="4"/>
  <c r="W173" i="4"/>
  <c r="Q173" i="4"/>
  <c r="Q197" i="4" s="1"/>
  <c r="W172" i="4"/>
  <c r="V172" i="4"/>
  <c r="P172" i="4"/>
  <c r="N172" i="4"/>
  <c r="M172" i="4"/>
  <c r="L172" i="4"/>
  <c r="I172" i="4"/>
  <c r="J172" i="4" s="1"/>
  <c r="K172" i="4" s="1"/>
  <c r="G172" i="4"/>
  <c r="F172" i="4"/>
  <c r="S172" i="4" s="1"/>
  <c r="W171" i="4"/>
  <c r="V171" i="4"/>
  <c r="P171" i="4"/>
  <c r="L171" i="4"/>
  <c r="K171" i="4"/>
  <c r="J171" i="4"/>
  <c r="I171" i="4"/>
  <c r="G171" i="4"/>
  <c r="F171" i="4"/>
  <c r="S171" i="4" s="1"/>
  <c r="W170" i="4"/>
  <c r="V170" i="4"/>
  <c r="S170" i="4"/>
  <c r="P170" i="4"/>
  <c r="L170" i="4"/>
  <c r="N170" i="4" s="1"/>
  <c r="K170" i="4"/>
  <c r="I170" i="4"/>
  <c r="J170" i="4" s="1"/>
  <c r="G170" i="4"/>
  <c r="F170" i="4"/>
  <c r="W169" i="4"/>
  <c r="V169" i="4"/>
  <c r="S169" i="4"/>
  <c r="P169" i="4"/>
  <c r="M169" i="4"/>
  <c r="L169" i="4"/>
  <c r="J169" i="4"/>
  <c r="K169" i="4" s="1"/>
  <c r="I169" i="4"/>
  <c r="G169" i="4"/>
  <c r="F169" i="4"/>
  <c r="W168" i="4"/>
  <c r="V168" i="4"/>
  <c r="U168" i="4"/>
  <c r="P168" i="4"/>
  <c r="N168" i="4"/>
  <c r="L168" i="4"/>
  <c r="K168" i="4"/>
  <c r="J168" i="4"/>
  <c r="I168" i="4"/>
  <c r="G168" i="4"/>
  <c r="F168" i="4"/>
  <c r="W167" i="4"/>
  <c r="V167" i="4"/>
  <c r="P167" i="4"/>
  <c r="N167" i="4"/>
  <c r="L167" i="4"/>
  <c r="K167" i="4"/>
  <c r="J167" i="4"/>
  <c r="U167" i="4" s="1"/>
  <c r="I167" i="4"/>
  <c r="G167" i="4"/>
  <c r="F167" i="4"/>
  <c r="S167" i="4" s="1"/>
  <c r="W166" i="4"/>
  <c r="V166" i="4"/>
  <c r="S166" i="4"/>
  <c r="P166" i="4"/>
  <c r="M166" i="4"/>
  <c r="L166" i="4"/>
  <c r="I166" i="4"/>
  <c r="J166" i="4" s="1"/>
  <c r="G166" i="4"/>
  <c r="F166" i="4"/>
  <c r="W165" i="4"/>
  <c r="V165" i="4"/>
  <c r="S165" i="4"/>
  <c r="P165" i="4"/>
  <c r="M165" i="4"/>
  <c r="L165" i="4"/>
  <c r="I165" i="4"/>
  <c r="J165" i="4" s="1"/>
  <c r="K165" i="4" s="1"/>
  <c r="G165" i="4"/>
  <c r="N165" i="4" s="1"/>
  <c r="F165" i="4"/>
  <c r="W164" i="4"/>
  <c r="V164" i="4"/>
  <c r="U164" i="4"/>
  <c r="P164" i="4"/>
  <c r="N164" i="4"/>
  <c r="M164" i="4"/>
  <c r="L164" i="4"/>
  <c r="I164" i="4"/>
  <c r="J164" i="4" s="1"/>
  <c r="K164" i="4" s="1"/>
  <c r="G164" i="4"/>
  <c r="F164" i="4"/>
  <c r="S164" i="4" s="1"/>
  <c r="W163" i="4"/>
  <c r="V163" i="4"/>
  <c r="P163" i="4"/>
  <c r="L163" i="4"/>
  <c r="K163" i="4"/>
  <c r="J163" i="4"/>
  <c r="I163" i="4"/>
  <c r="G163" i="4"/>
  <c r="F163" i="4"/>
  <c r="S163" i="4" s="1"/>
  <c r="L162" i="4"/>
  <c r="K162" i="4"/>
  <c r="I162" i="4"/>
  <c r="J162" i="4" s="1"/>
  <c r="G162" i="4"/>
  <c r="F162" i="4"/>
  <c r="W161" i="4"/>
  <c r="V161" i="4"/>
  <c r="S161" i="4"/>
  <c r="P161" i="4"/>
  <c r="N161" i="4"/>
  <c r="L161" i="4"/>
  <c r="M161" i="4" s="1"/>
  <c r="I161" i="4"/>
  <c r="J161" i="4" s="1"/>
  <c r="G161" i="4"/>
  <c r="F161" i="4"/>
  <c r="W160" i="4"/>
  <c r="V160" i="4"/>
  <c r="P160" i="4"/>
  <c r="N160" i="4"/>
  <c r="L160" i="4"/>
  <c r="I160" i="4"/>
  <c r="J160" i="4" s="1"/>
  <c r="U160" i="4" s="1"/>
  <c r="G160" i="4"/>
  <c r="F160" i="4"/>
  <c r="W159" i="4"/>
  <c r="V159" i="4"/>
  <c r="P159" i="4"/>
  <c r="L159" i="4"/>
  <c r="M159" i="4" s="1"/>
  <c r="J159" i="4"/>
  <c r="I159" i="4"/>
  <c r="G159" i="4"/>
  <c r="N159" i="4" s="1"/>
  <c r="F159" i="4"/>
  <c r="S159" i="4" s="1"/>
  <c r="U158" i="4"/>
  <c r="S158" i="4"/>
  <c r="L158" i="4"/>
  <c r="N158" i="4" s="1"/>
  <c r="K158" i="4"/>
  <c r="I158" i="4"/>
  <c r="J158" i="4" s="1"/>
  <c r="G158" i="4"/>
  <c r="F158" i="4"/>
  <c r="W157" i="4"/>
  <c r="V157" i="4"/>
  <c r="S157" i="4"/>
  <c r="P157" i="4"/>
  <c r="M157" i="4"/>
  <c r="L157" i="4"/>
  <c r="J157" i="4"/>
  <c r="K157" i="4" s="1"/>
  <c r="I157" i="4"/>
  <c r="G157" i="4"/>
  <c r="F157" i="4"/>
  <c r="U156" i="4"/>
  <c r="N156" i="4"/>
  <c r="L156" i="4"/>
  <c r="K156" i="4"/>
  <c r="J156" i="4"/>
  <c r="I156" i="4"/>
  <c r="G156" i="4"/>
  <c r="F156" i="4"/>
  <c r="W155" i="4"/>
  <c r="V155" i="4"/>
  <c r="P155" i="4"/>
  <c r="N155" i="4"/>
  <c r="L155" i="4"/>
  <c r="J155" i="4"/>
  <c r="I155" i="4"/>
  <c r="G155" i="4"/>
  <c r="F155" i="4"/>
  <c r="S155" i="4" s="1"/>
  <c r="W154" i="4"/>
  <c r="V154" i="4"/>
  <c r="S154" i="4"/>
  <c r="P154" i="4"/>
  <c r="M154" i="4"/>
  <c r="L154" i="4"/>
  <c r="I154" i="4"/>
  <c r="J154" i="4" s="1"/>
  <c r="U154" i="4" s="1"/>
  <c r="G154" i="4"/>
  <c r="F154" i="4"/>
  <c r="W153" i="4"/>
  <c r="V153" i="4"/>
  <c r="U153" i="4"/>
  <c r="S153" i="4"/>
  <c r="P153" i="4"/>
  <c r="M153" i="4"/>
  <c r="L153" i="4"/>
  <c r="I153" i="4"/>
  <c r="J153" i="4" s="1"/>
  <c r="K153" i="4" s="1"/>
  <c r="G153" i="4"/>
  <c r="N153" i="4" s="1"/>
  <c r="F153" i="4"/>
  <c r="W152" i="4"/>
  <c r="V152" i="4"/>
  <c r="P152" i="4"/>
  <c r="N152" i="4"/>
  <c r="M152" i="4"/>
  <c r="L152" i="4"/>
  <c r="J152" i="4"/>
  <c r="K152" i="4" s="1"/>
  <c r="I152" i="4"/>
  <c r="G152" i="4"/>
  <c r="F152" i="4"/>
  <c r="S152" i="4" s="1"/>
  <c r="W151" i="4"/>
  <c r="V151" i="4"/>
  <c r="P151" i="4"/>
  <c r="N151" i="4"/>
  <c r="L151" i="4"/>
  <c r="K151" i="4"/>
  <c r="J151" i="4"/>
  <c r="I151" i="4"/>
  <c r="G151" i="4"/>
  <c r="F151" i="4"/>
  <c r="S151" i="4" s="1"/>
  <c r="S150" i="4"/>
  <c r="L150" i="4"/>
  <c r="I150" i="4"/>
  <c r="J150" i="4" s="1"/>
  <c r="K150" i="4" s="1"/>
  <c r="G150" i="4"/>
  <c r="F150" i="4"/>
  <c r="V150" i="4" s="1"/>
  <c r="W149" i="4"/>
  <c r="V149" i="4"/>
  <c r="S149" i="4"/>
  <c r="P149" i="4"/>
  <c r="L149" i="4"/>
  <c r="M149" i="4" s="1"/>
  <c r="I149" i="4"/>
  <c r="J149" i="4" s="1"/>
  <c r="G149" i="4"/>
  <c r="F149" i="4"/>
  <c r="W148" i="4"/>
  <c r="V148" i="4"/>
  <c r="P148" i="4"/>
  <c r="N148" i="4"/>
  <c r="L148" i="4"/>
  <c r="J148" i="4"/>
  <c r="U148" i="4" s="1"/>
  <c r="I148" i="4"/>
  <c r="G148" i="4"/>
  <c r="F148" i="4"/>
  <c r="W147" i="4"/>
  <c r="V147" i="4"/>
  <c r="P147" i="4"/>
  <c r="L147" i="4"/>
  <c r="M147" i="4" s="1"/>
  <c r="J147" i="4"/>
  <c r="I147" i="4"/>
  <c r="G147" i="4"/>
  <c r="F147" i="4"/>
  <c r="S147" i="4" s="1"/>
  <c r="W146" i="4"/>
  <c r="V146" i="4"/>
  <c r="U146" i="4"/>
  <c r="P146" i="4"/>
  <c r="L146" i="4"/>
  <c r="I146" i="4"/>
  <c r="J146" i="4" s="1"/>
  <c r="K146" i="4" s="1"/>
  <c r="G146" i="4"/>
  <c r="F146" i="4"/>
  <c r="S146" i="4" s="1"/>
  <c r="W145" i="4"/>
  <c r="V145" i="4"/>
  <c r="U145" i="4"/>
  <c r="S145" i="4"/>
  <c r="P145" i="4"/>
  <c r="M145" i="4"/>
  <c r="L145" i="4"/>
  <c r="I145" i="4"/>
  <c r="J145" i="4" s="1"/>
  <c r="K145" i="4" s="1"/>
  <c r="G145" i="4"/>
  <c r="N145" i="4" s="1"/>
  <c r="F145" i="4"/>
  <c r="W144" i="4"/>
  <c r="V144" i="4"/>
  <c r="U144" i="4"/>
  <c r="P144" i="4"/>
  <c r="N144" i="4"/>
  <c r="L144" i="4"/>
  <c r="K144" i="4"/>
  <c r="I144" i="4"/>
  <c r="J144" i="4" s="1"/>
  <c r="G144" i="4"/>
  <c r="F144" i="4"/>
  <c r="L143" i="4"/>
  <c r="K143" i="4"/>
  <c r="J143" i="4"/>
  <c r="I143" i="4"/>
  <c r="G143" i="4"/>
  <c r="F143" i="4"/>
  <c r="W142" i="4"/>
  <c r="V142" i="4"/>
  <c r="S142" i="4"/>
  <c r="P142" i="4"/>
  <c r="L142" i="4"/>
  <c r="I142" i="4"/>
  <c r="J142" i="4" s="1"/>
  <c r="U142" i="4" s="1"/>
  <c r="G142" i="4"/>
  <c r="F142" i="4"/>
  <c r="W141" i="4"/>
  <c r="V141" i="4"/>
  <c r="S141" i="4"/>
  <c r="P141" i="4"/>
  <c r="L141" i="4"/>
  <c r="M141" i="4" s="1"/>
  <c r="I141" i="4"/>
  <c r="J141" i="4" s="1"/>
  <c r="G141" i="4"/>
  <c r="F141" i="4"/>
  <c r="P140" i="4"/>
  <c r="W140" i="4" s="1"/>
  <c r="N140" i="4"/>
  <c r="L140" i="4"/>
  <c r="J140" i="4"/>
  <c r="U140" i="4" s="1"/>
  <c r="I140" i="4"/>
  <c r="G140" i="4"/>
  <c r="F140" i="4"/>
  <c r="W139" i="4"/>
  <c r="V139" i="4"/>
  <c r="P139" i="4"/>
  <c r="L139" i="4"/>
  <c r="M139" i="4" s="1"/>
  <c r="J139" i="4"/>
  <c r="I139" i="4"/>
  <c r="G139" i="4"/>
  <c r="F139" i="4"/>
  <c r="S139" i="4" s="1"/>
  <c r="W138" i="4"/>
  <c r="V138" i="4"/>
  <c r="U138" i="4"/>
  <c r="P138" i="4"/>
  <c r="L138" i="4"/>
  <c r="I138" i="4"/>
  <c r="J138" i="4" s="1"/>
  <c r="K138" i="4" s="1"/>
  <c r="G138" i="4"/>
  <c r="F138" i="4"/>
  <c r="S138" i="4" s="1"/>
  <c r="W137" i="4"/>
  <c r="V137" i="4"/>
  <c r="U137" i="4"/>
  <c r="S137" i="4"/>
  <c r="P137" i="4"/>
  <c r="M137" i="4"/>
  <c r="L137" i="4"/>
  <c r="I137" i="4"/>
  <c r="J137" i="4" s="1"/>
  <c r="K137" i="4" s="1"/>
  <c r="G137" i="4"/>
  <c r="N137" i="4" s="1"/>
  <c r="F137" i="4"/>
  <c r="W136" i="4"/>
  <c r="V136" i="4"/>
  <c r="U136" i="4"/>
  <c r="P136" i="4"/>
  <c r="N136" i="4"/>
  <c r="L136" i="4"/>
  <c r="K136" i="4"/>
  <c r="I136" i="4"/>
  <c r="J136" i="4" s="1"/>
  <c r="G136" i="4"/>
  <c r="F136" i="4"/>
  <c r="S135" i="4"/>
  <c r="P135" i="4"/>
  <c r="L135" i="4"/>
  <c r="J135" i="4"/>
  <c r="I135" i="4"/>
  <c r="G135" i="4"/>
  <c r="F135" i="4"/>
  <c r="W134" i="4"/>
  <c r="V134" i="4"/>
  <c r="P134" i="4"/>
  <c r="N134" i="4"/>
  <c r="M134" i="4"/>
  <c r="L134" i="4"/>
  <c r="I134" i="4"/>
  <c r="J134" i="4" s="1"/>
  <c r="G134" i="4"/>
  <c r="F134" i="4"/>
  <c r="S134" i="4" s="1"/>
  <c r="W133" i="4"/>
  <c r="V133" i="4"/>
  <c r="P133" i="4"/>
  <c r="L133" i="4"/>
  <c r="J133" i="4"/>
  <c r="I133" i="4"/>
  <c r="G133" i="4"/>
  <c r="F133" i="4"/>
  <c r="S133" i="4" s="1"/>
  <c r="W132" i="4"/>
  <c r="V132" i="4"/>
  <c r="P132" i="4"/>
  <c r="L132" i="4"/>
  <c r="I132" i="4"/>
  <c r="J132" i="4" s="1"/>
  <c r="K132" i="4" s="1"/>
  <c r="G132" i="4"/>
  <c r="F132" i="4"/>
  <c r="S132" i="4" s="1"/>
  <c r="P131" i="4"/>
  <c r="L131" i="4"/>
  <c r="J131" i="4"/>
  <c r="I131" i="4"/>
  <c r="G131" i="4"/>
  <c r="F131" i="4"/>
  <c r="S131" i="4" s="1"/>
  <c r="U130" i="4"/>
  <c r="P130" i="4"/>
  <c r="N130" i="4"/>
  <c r="L130" i="4"/>
  <c r="K130" i="4"/>
  <c r="J130" i="4"/>
  <c r="I130" i="4"/>
  <c r="G130" i="4"/>
  <c r="F130" i="4"/>
  <c r="W129" i="4"/>
  <c r="V129" i="4"/>
  <c r="P129" i="4"/>
  <c r="N129" i="4"/>
  <c r="L129" i="4"/>
  <c r="K129" i="4"/>
  <c r="J129" i="4"/>
  <c r="U129" i="4" s="1"/>
  <c r="I129" i="4"/>
  <c r="G129" i="4"/>
  <c r="F129" i="4"/>
  <c r="S129" i="4" s="1"/>
  <c r="W128" i="4"/>
  <c r="V128" i="4"/>
  <c r="S128" i="4"/>
  <c r="P128" i="4"/>
  <c r="M128" i="4"/>
  <c r="L128" i="4"/>
  <c r="I128" i="4"/>
  <c r="J128" i="4" s="1"/>
  <c r="G128" i="4"/>
  <c r="F128" i="4"/>
  <c r="W127" i="4"/>
  <c r="U127" i="4"/>
  <c r="S127" i="4"/>
  <c r="P127" i="4"/>
  <c r="L127" i="4"/>
  <c r="K127" i="4"/>
  <c r="I127" i="4"/>
  <c r="J127" i="4" s="1"/>
  <c r="G127" i="4"/>
  <c r="F127" i="4"/>
  <c r="W126" i="4"/>
  <c r="V126" i="4"/>
  <c r="S126" i="4"/>
  <c r="P126" i="4"/>
  <c r="I126" i="4"/>
  <c r="J126" i="4" s="1"/>
  <c r="G126" i="4"/>
  <c r="N126" i="4" s="1"/>
  <c r="F126" i="4"/>
  <c r="M126" i="4" s="1"/>
  <c r="W125" i="4"/>
  <c r="V125" i="4"/>
  <c r="S125" i="4"/>
  <c r="P125" i="4"/>
  <c r="L125" i="4"/>
  <c r="J125" i="4"/>
  <c r="I125" i="4"/>
  <c r="G125" i="4"/>
  <c r="F125" i="4"/>
  <c r="W124" i="4"/>
  <c r="V124" i="4"/>
  <c r="P124" i="4"/>
  <c r="N124" i="4"/>
  <c r="M124" i="4"/>
  <c r="L124" i="4"/>
  <c r="I124" i="4"/>
  <c r="J124" i="4" s="1"/>
  <c r="G124" i="4"/>
  <c r="F124" i="4"/>
  <c r="S124" i="4" s="1"/>
  <c r="W123" i="4"/>
  <c r="V123" i="4"/>
  <c r="P123" i="4"/>
  <c r="L123" i="4"/>
  <c r="J123" i="4"/>
  <c r="I123" i="4"/>
  <c r="G123" i="4"/>
  <c r="F123" i="4"/>
  <c r="S123" i="4" s="1"/>
  <c r="L122" i="4"/>
  <c r="N122" i="4" s="1"/>
  <c r="I122" i="4"/>
  <c r="J122" i="4" s="1"/>
  <c r="U122" i="4" s="1"/>
  <c r="G122" i="4"/>
  <c r="F122" i="4"/>
  <c r="V121" i="4"/>
  <c r="S121" i="4"/>
  <c r="N121" i="4"/>
  <c r="L121" i="4"/>
  <c r="M121" i="4" s="1"/>
  <c r="I121" i="4"/>
  <c r="J121" i="4" s="1"/>
  <c r="G121" i="4"/>
  <c r="F121" i="4"/>
  <c r="P121" i="4" s="1"/>
  <c r="W121" i="4" s="1"/>
  <c r="V120" i="4"/>
  <c r="N120" i="4"/>
  <c r="M120" i="4"/>
  <c r="L120" i="4"/>
  <c r="J120" i="4"/>
  <c r="I120" i="4"/>
  <c r="G120" i="4"/>
  <c r="F120" i="4"/>
  <c r="S120" i="4" s="1"/>
  <c r="W119" i="4"/>
  <c r="V119" i="4"/>
  <c r="P119" i="4"/>
  <c r="L119" i="4"/>
  <c r="M119" i="4" s="1"/>
  <c r="J119" i="4"/>
  <c r="I119" i="4"/>
  <c r="G119" i="4"/>
  <c r="F119" i="4"/>
  <c r="S119" i="4" s="1"/>
  <c r="W118" i="4"/>
  <c r="V118" i="4"/>
  <c r="U118" i="4"/>
  <c r="P118" i="4"/>
  <c r="L118" i="4"/>
  <c r="I118" i="4"/>
  <c r="J118" i="4" s="1"/>
  <c r="K118" i="4" s="1"/>
  <c r="G118" i="4"/>
  <c r="F118" i="4"/>
  <c r="S118" i="4" s="1"/>
  <c r="V117" i="4"/>
  <c r="S117" i="4"/>
  <c r="N117" i="4"/>
  <c r="L117" i="4"/>
  <c r="M117" i="4" s="1"/>
  <c r="I117" i="4"/>
  <c r="J117" i="4" s="1"/>
  <c r="G117" i="4"/>
  <c r="F117" i="4"/>
  <c r="P117" i="4" s="1"/>
  <c r="W117" i="4" s="1"/>
  <c r="W116" i="4"/>
  <c r="V116" i="4"/>
  <c r="P116" i="4"/>
  <c r="N116" i="4"/>
  <c r="M116" i="4"/>
  <c r="L116" i="4"/>
  <c r="J116" i="4"/>
  <c r="I116" i="4"/>
  <c r="G116" i="4"/>
  <c r="F116" i="4"/>
  <c r="S116" i="4" s="1"/>
  <c r="W115" i="4"/>
  <c r="V115" i="4"/>
  <c r="P115" i="4"/>
  <c r="L115" i="4"/>
  <c r="M115" i="4" s="1"/>
  <c r="J115" i="4"/>
  <c r="I115" i="4"/>
  <c r="G115" i="4"/>
  <c r="F115" i="4"/>
  <c r="S115" i="4" s="1"/>
  <c r="W114" i="4"/>
  <c r="V114" i="4"/>
  <c r="U114" i="4"/>
  <c r="P114" i="4"/>
  <c r="L114" i="4"/>
  <c r="I114" i="4"/>
  <c r="J114" i="4" s="1"/>
  <c r="K114" i="4" s="1"/>
  <c r="G114" i="4"/>
  <c r="F114" i="4"/>
  <c r="S114" i="4" s="1"/>
  <c r="V113" i="4"/>
  <c r="S113" i="4"/>
  <c r="N113" i="4"/>
  <c r="L113" i="4"/>
  <c r="M113" i="4" s="1"/>
  <c r="I113" i="4"/>
  <c r="J113" i="4" s="1"/>
  <c r="G113" i="4"/>
  <c r="F113" i="4"/>
  <c r="P113" i="4" s="1"/>
  <c r="W113" i="4" s="1"/>
  <c r="W112" i="4"/>
  <c r="V112" i="4"/>
  <c r="P112" i="4"/>
  <c r="N112" i="4"/>
  <c r="M112" i="4"/>
  <c r="L112" i="4"/>
  <c r="J112" i="4"/>
  <c r="I112" i="4"/>
  <c r="G112" i="4"/>
  <c r="F112" i="4"/>
  <c r="S112" i="4" s="1"/>
  <c r="W111" i="4"/>
  <c r="V111" i="4"/>
  <c r="P111" i="4"/>
  <c r="L111" i="4"/>
  <c r="M111" i="4" s="1"/>
  <c r="H111" i="4"/>
  <c r="G111" i="4"/>
  <c r="F111" i="4"/>
  <c r="S111" i="4" s="1"/>
  <c r="W110" i="4"/>
  <c r="V110" i="4"/>
  <c r="G110" i="4"/>
  <c r="F110" i="4"/>
  <c r="W109" i="4"/>
  <c r="V109" i="4"/>
  <c r="W108" i="4"/>
  <c r="V108" i="4"/>
  <c r="Q108" i="4"/>
  <c r="H108" i="4"/>
  <c r="W107" i="4"/>
  <c r="V107" i="4"/>
  <c r="P107" i="4"/>
  <c r="L107" i="4"/>
  <c r="J107" i="4"/>
  <c r="H107" i="4"/>
  <c r="I107" i="4" s="1"/>
  <c r="G107" i="4"/>
  <c r="F107" i="4"/>
  <c r="S107" i="4" s="1"/>
  <c r="W106" i="4"/>
  <c r="V106" i="4"/>
  <c r="P106" i="4"/>
  <c r="L106" i="4"/>
  <c r="H106" i="4"/>
  <c r="I106" i="4" s="1"/>
  <c r="G106" i="4"/>
  <c r="F106" i="4"/>
  <c r="S106" i="4" s="1"/>
  <c r="W105" i="4"/>
  <c r="V105" i="4"/>
  <c r="S105" i="4"/>
  <c r="P105" i="4"/>
  <c r="L105" i="4"/>
  <c r="H105" i="4"/>
  <c r="I105" i="4" s="1"/>
  <c r="I108" i="4" s="1"/>
  <c r="G105" i="4"/>
  <c r="F105" i="4"/>
  <c r="W104" i="4"/>
  <c r="V104" i="4"/>
  <c r="P104" i="4"/>
  <c r="P108" i="4" s="1"/>
  <c r="L104" i="4"/>
  <c r="H104" i="4"/>
  <c r="I104" i="4" s="1"/>
  <c r="G104" i="4"/>
  <c r="F104" i="4"/>
  <c r="S104" i="4" s="1"/>
  <c r="W103" i="4"/>
  <c r="V103" i="4"/>
  <c r="S103" i="4"/>
  <c r="P103" i="4"/>
  <c r="L103" i="4"/>
  <c r="J103" i="4"/>
  <c r="G103" i="4"/>
  <c r="F103" i="4"/>
  <c r="W102" i="4"/>
  <c r="V102" i="4"/>
  <c r="S102" i="4"/>
  <c r="P102" i="4"/>
  <c r="L102" i="4"/>
  <c r="M102" i="4" s="1"/>
  <c r="J102" i="4"/>
  <c r="G102" i="4"/>
  <c r="N102" i="4" s="1"/>
  <c r="F102" i="4"/>
  <c r="W101" i="4"/>
  <c r="V101" i="4"/>
  <c r="W100" i="4"/>
  <c r="V100" i="4"/>
  <c r="W99" i="4"/>
  <c r="V99" i="4"/>
  <c r="S99" i="4"/>
  <c r="Q99" i="4"/>
  <c r="W98" i="4"/>
  <c r="V98" i="4"/>
  <c r="U98" i="4"/>
  <c r="L98" i="4"/>
  <c r="W97" i="4"/>
  <c r="V97" i="4"/>
  <c r="U97" i="4"/>
  <c r="L97" i="4"/>
  <c r="W96" i="4"/>
  <c r="V96" i="4"/>
  <c r="U96" i="4"/>
  <c r="L96" i="4"/>
  <c r="W95" i="4"/>
  <c r="V95" i="4"/>
  <c r="U95" i="4"/>
  <c r="L95" i="4"/>
  <c r="W94" i="4"/>
  <c r="V94" i="4"/>
  <c r="U94" i="4"/>
  <c r="L94" i="4"/>
  <c r="W93" i="4"/>
  <c r="V93" i="4"/>
  <c r="U93" i="4"/>
  <c r="L93" i="4"/>
  <c r="W92" i="4"/>
  <c r="V92" i="4"/>
  <c r="U92" i="4"/>
  <c r="L92" i="4"/>
  <c r="W91" i="4"/>
  <c r="V91" i="4"/>
  <c r="U91" i="4"/>
  <c r="U99" i="4" s="1"/>
  <c r="L91" i="4"/>
  <c r="W90" i="4"/>
  <c r="V90" i="4"/>
  <c r="W89" i="4"/>
  <c r="V89" i="4"/>
  <c r="Q89" i="4"/>
  <c r="I89" i="4"/>
  <c r="H89" i="4"/>
  <c r="W88" i="4"/>
  <c r="V88" i="4"/>
  <c r="P88" i="4"/>
  <c r="P89" i="4" s="1"/>
  <c r="N88" i="4"/>
  <c r="L88" i="4"/>
  <c r="J88" i="4"/>
  <c r="U88" i="4" s="1"/>
  <c r="U89" i="4" s="1"/>
  <c r="I88" i="4"/>
  <c r="G88" i="4"/>
  <c r="F88" i="4"/>
  <c r="W87" i="4"/>
  <c r="V87" i="4"/>
  <c r="W86" i="4"/>
  <c r="V86" i="4"/>
  <c r="Q86" i="4"/>
  <c r="H86" i="4"/>
  <c r="W85" i="4"/>
  <c r="V85" i="4"/>
  <c r="P85" i="4"/>
  <c r="L85" i="4"/>
  <c r="M85" i="4" s="1"/>
  <c r="J85" i="4"/>
  <c r="I85" i="4"/>
  <c r="G85" i="4"/>
  <c r="F85" i="4"/>
  <c r="S85" i="4" s="1"/>
  <c r="L84" i="4"/>
  <c r="I84" i="4"/>
  <c r="G84" i="4"/>
  <c r="F84" i="4"/>
  <c r="W83" i="4"/>
  <c r="V83" i="4"/>
  <c r="W82" i="4"/>
  <c r="V82" i="4"/>
  <c r="Q82" i="4"/>
  <c r="H82" i="4"/>
  <c r="W81" i="4"/>
  <c r="V81" i="4"/>
  <c r="U81" i="4"/>
  <c r="S81" i="4"/>
  <c r="P81" i="4"/>
  <c r="M81" i="4"/>
  <c r="L81" i="4"/>
  <c r="I81" i="4"/>
  <c r="J81" i="4" s="1"/>
  <c r="K81" i="4" s="1"/>
  <c r="G81" i="4"/>
  <c r="N81" i="4" s="1"/>
  <c r="F81" i="4"/>
  <c r="W80" i="4"/>
  <c r="V80" i="4"/>
  <c r="P80" i="4"/>
  <c r="N80" i="4"/>
  <c r="M80" i="4"/>
  <c r="L80" i="4"/>
  <c r="I80" i="4"/>
  <c r="J80" i="4" s="1"/>
  <c r="K80" i="4" s="1"/>
  <c r="G80" i="4"/>
  <c r="F80" i="4"/>
  <c r="S80" i="4" s="1"/>
  <c r="W79" i="4"/>
  <c r="V79" i="4"/>
  <c r="S79" i="4"/>
  <c r="P79" i="4"/>
  <c r="L79" i="4"/>
  <c r="K79" i="4"/>
  <c r="J79" i="4"/>
  <c r="I79" i="4"/>
  <c r="G79" i="4"/>
  <c r="F79" i="4"/>
  <c r="W78" i="4"/>
  <c r="V78" i="4"/>
  <c r="U78" i="4"/>
  <c r="S78" i="4"/>
  <c r="P78" i="4"/>
  <c r="L78" i="4"/>
  <c r="K78" i="4"/>
  <c r="I78" i="4"/>
  <c r="J78" i="4" s="1"/>
  <c r="G78" i="4"/>
  <c r="F78" i="4"/>
  <c r="W77" i="4"/>
  <c r="V77" i="4"/>
  <c r="S77" i="4"/>
  <c r="P77" i="4"/>
  <c r="L77" i="4"/>
  <c r="J77" i="4"/>
  <c r="I77" i="4"/>
  <c r="G77" i="4"/>
  <c r="F77" i="4"/>
  <c r="W76" i="4"/>
  <c r="V76" i="4"/>
  <c r="P76" i="4"/>
  <c r="N76" i="4"/>
  <c r="L76" i="4"/>
  <c r="K76" i="4"/>
  <c r="J76" i="4"/>
  <c r="U76" i="4" s="1"/>
  <c r="I76" i="4"/>
  <c r="G76" i="4"/>
  <c r="F76" i="4"/>
  <c r="W75" i="4"/>
  <c r="V75" i="4"/>
  <c r="P75" i="4"/>
  <c r="P82" i="4" s="1"/>
  <c r="N75" i="4"/>
  <c r="L75" i="4"/>
  <c r="J75" i="4"/>
  <c r="I75" i="4"/>
  <c r="G75" i="4"/>
  <c r="F75" i="4"/>
  <c r="S75" i="4" s="1"/>
  <c r="W74" i="4"/>
  <c r="V74" i="4"/>
  <c r="W73" i="4"/>
  <c r="V73" i="4"/>
  <c r="Q73" i="4"/>
  <c r="I73" i="4"/>
  <c r="H73" i="4"/>
  <c r="W72" i="4"/>
  <c r="V72" i="4"/>
  <c r="U72" i="4"/>
  <c r="P72" i="4"/>
  <c r="L72" i="4"/>
  <c r="K72" i="4"/>
  <c r="I72" i="4"/>
  <c r="J72" i="4" s="1"/>
  <c r="G72" i="4"/>
  <c r="F72" i="4"/>
  <c r="S72" i="4" s="1"/>
  <c r="W71" i="4"/>
  <c r="V71" i="4"/>
  <c r="S71" i="4"/>
  <c r="P71" i="4"/>
  <c r="L71" i="4"/>
  <c r="J71" i="4"/>
  <c r="I71" i="4"/>
  <c r="G71" i="4"/>
  <c r="F71" i="4"/>
  <c r="W70" i="4"/>
  <c r="V70" i="4"/>
  <c r="P70" i="4"/>
  <c r="P73" i="4" s="1"/>
  <c r="N70" i="4"/>
  <c r="M70" i="4"/>
  <c r="I70" i="4"/>
  <c r="J70" i="4" s="1"/>
  <c r="G70" i="4"/>
  <c r="F70" i="4"/>
  <c r="S70" i="4" s="1"/>
  <c r="W69" i="4"/>
  <c r="V69" i="4"/>
  <c r="W68" i="4"/>
  <c r="V68" i="4"/>
  <c r="S68" i="4"/>
  <c r="Q68" i="4"/>
  <c r="Q100" i="4" s="1"/>
  <c r="Q199" i="4" s="1"/>
  <c r="H68" i="4"/>
  <c r="W67" i="4"/>
  <c r="V67" i="4"/>
  <c r="N67" i="4"/>
  <c r="L67" i="4"/>
  <c r="M67" i="4" s="1"/>
  <c r="I67" i="4"/>
  <c r="J67" i="4" s="1"/>
  <c r="G67" i="4"/>
  <c r="F67" i="4"/>
  <c r="S67" i="4" s="1"/>
  <c r="W66" i="4"/>
  <c r="V66" i="4"/>
  <c r="P66" i="4"/>
  <c r="P68" i="4" s="1"/>
  <c r="N66" i="4"/>
  <c r="M66" i="4"/>
  <c r="M68" i="4" s="1"/>
  <c r="L66" i="4"/>
  <c r="J66" i="4"/>
  <c r="I66" i="4"/>
  <c r="G66" i="4"/>
  <c r="F66" i="4"/>
  <c r="S66" i="4" s="1"/>
  <c r="W65" i="4"/>
  <c r="V65" i="4"/>
  <c r="W64" i="4"/>
  <c r="V64" i="4"/>
  <c r="Q64" i="4"/>
  <c r="H64" i="4"/>
  <c r="W63" i="4"/>
  <c r="V63" i="4"/>
  <c r="S63" i="4"/>
  <c r="P63" i="4"/>
  <c r="L63" i="4"/>
  <c r="K63" i="4"/>
  <c r="J63" i="4"/>
  <c r="I63" i="4"/>
  <c r="G63" i="4"/>
  <c r="F63" i="4"/>
  <c r="W62" i="4"/>
  <c r="V62" i="4"/>
  <c r="U62" i="4"/>
  <c r="S62" i="4"/>
  <c r="P62" i="4"/>
  <c r="L62" i="4"/>
  <c r="K62" i="4"/>
  <c r="I62" i="4"/>
  <c r="J62" i="4" s="1"/>
  <c r="G62" i="4"/>
  <c r="F62" i="4"/>
  <c r="W61" i="4"/>
  <c r="V61" i="4"/>
  <c r="S61" i="4"/>
  <c r="P61" i="4"/>
  <c r="L61" i="4"/>
  <c r="J61" i="4"/>
  <c r="I61" i="4"/>
  <c r="G61" i="4"/>
  <c r="F61" i="4"/>
  <c r="P60" i="4"/>
  <c r="P64" i="4" s="1"/>
  <c r="N60" i="4"/>
  <c r="L60" i="4"/>
  <c r="J60" i="4"/>
  <c r="U60" i="4" s="1"/>
  <c r="I60" i="4"/>
  <c r="I64" i="4" s="1"/>
  <c r="G60" i="4"/>
  <c r="F60" i="4"/>
  <c r="W59" i="4"/>
  <c r="V59" i="4"/>
  <c r="W58" i="4"/>
  <c r="V58" i="4"/>
  <c r="Q58" i="4"/>
  <c r="H58" i="4"/>
  <c r="W57" i="4"/>
  <c r="V57" i="4"/>
  <c r="P57" i="4"/>
  <c r="L57" i="4"/>
  <c r="M57" i="4" s="1"/>
  <c r="J57" i="4"/>
  <c r="I57" i="4"/>
  <c r="G57" i="4"/>
  <c r="N57" i="4" s="1"/>
  <c r="F57" i="4"/>
  <c r="S57" i="4" s="1"/>
  <c r="W56" i="4"/>
  <c r="V56" i="4"/>
  <c r="U56" i="4"/>
  <c r="P56" i="4"/>
  <c r="L56" i="4"/>
  <c r="N56" i="4" s="1"/>
  <c r="I56" i="4"/>
  <c r="J56" i="4" s="1"/>
  <c r="K56" i="4" s="1"/>
  <c r="G56" i="4"/>
  <c r="F56" i="4"/>
  <c r="S56" i="4" s="1"/>
  <c r="W55" i="4"/>
  <c r="V55" i="4"/>
  <c r="S55" i="4"/>
  <c r="P55" i="4"/>
  <c r="M55" i="4"/>
  <c r="L55" i="4"/>
  <c r="I55" i="4"/>
  <c r="J55" i="4" s="1"/>
  <c r="K55" i="4" s="1"/>
  <c r="G55" i="4"/>
  <c r="F55" i="4"/>
  <c r="W54" i="4"/>
  <c r="V54" i="4"/>
  <c r="P54" i="4"/>
  <c r="N54" i="4"/>
  <c r="L54" i="4"/>
  <c r="I54" i="4"/>
  <c r="J54" i="4" s="1"/>
  <c r="U54" i="4" s="1"/>
  <c r="G54" i="4"/>
  <c r="F54" i="4"/>
  <c r="W53" i="4"/>
  <c r="V53" i="4"/>
  <c r="P53" i="4"/>
  <c r="L53" i="4"/>
  <c r="K53" i="4"/>
  <c r="J53" i="4"/>
  <c r="U53" i="4" s="1"/>
  <c r="I53" i="4"/>
  <c r="G53" i="4"/>
  <c r="F53" i="4"/>
  <c r="S53" i="4" s="1"/>
  <c r="W52" i="4"/>
  <c r="V52" i="4"/>
  <c r="S52" i="4"/>
  <c r="P52" i="4"/>
  <c r="L52" i="4"/>
  <c r="N52" i="4" s="1"/>
  <c r="I52" i="4"/>
  <c r="J52" i="4" s="1"/>
  <c r="U52" i="4" s="1"/>
  <c r="G52" i="4"/>
  <c r="F52" i="4"/>
  <c r="W51" i="4"/>
  <c r="V51" i="4"/>
  <c r="S51" i="4"/>
  <c r="P51" i="4"/>
  <c r="N51" i="4"/>
  <c r="L51" i="4"/>
  <c r="M51" i="4" s="1"/>
  <c r="J51" i="4"/>
  <c r="I51" i="4"/>
  <c r="G51" i="4"/>
  <c r="F51" i="4"/>
  <c r="W50" i="4"/>
  <c r="V50" i="4"/>
  <c r="P50" i="4"/>
  <c r="N50" i="4"/>
  <c r="M50" i="4"/>
  <c r="L50" i="4"/>
  <c r="I50" i="4"/>
  <c r="J50" i="4" s="1"/>
  <c r="G50" i="4"/>
  <c r="F50" i="4"/>
  <c r="S50" i="4" s="1"/>
  <c r="W49" i="4"/>
  <c r="V49" i="4"/>
  <c r="P49" i="4"/>
  <c r="L49" i="4"/>
  <c r="M49" i="4" s="1"/>
  <c r="J49" i="4"/>
  <c r="I49" i="4"/>
  <c r="G49" i="4"/>
  <c r="F49" i="4"/>
  <c r="S49" i="4" s="1"/>
  <c r="W48" i="4"/>
  <c r="V48" i="4"/>
  <c r="P48" i="4"/>
  <c r="L48" i="4"/>
  <c r="N48" i="4" s="1"/>
  <c r="I48" i="4"/>
  <c r="J48" i="4" s="1"/>
  <c r="K48" i="4" s="1"/>
  <c r="G48" i="4"/>
  <c r="F48" i="4"/>
  <c r="S48" i="4" s="1"/>
  <c r="W47" i="4"/>
  <c r="V47" i="4"/>
  <c r="S47" i="4"/>
  <c r="P47" i="4"/>
  <c r="L47" i="4"/>
  <c r="I47" i="4"/>
  <c r="J47" i="4" s="1"/>
  <c r="K47" i="4" s="1"/>
  <c r="G47" i="4"/>
  <c r="F47" i="4"/>
  <c r="W46" i="4"/>
  <c r="V46" i="4"/>
  <c r="U46" i="4"/>
  <c r="P46" i="4"/>
  <c r="N46" i="4"/>
  <c r="L46" i="4"/>
  <c r="K46" i="4"/>
  <c r="I46" i="4"/>
  <c r="J46" i="4" s="1"/>
  <c r="G46" i="4"/>
  <c r="F46" i="4"/>
  <c r="W45" i="4"/>
  <c r="V45" i="4"/>
  <c r="S45" i="4"/>
  <c r="P45" i="4"/>
  <c r="L45" i="4"/>
  <c r="J45" i="4"/>
  <c r="U45" i="4" s="1"/>
  <c r="I45" i="4"/>
  <c r="G45" i="4"/>
  <c r="F45" i="4"/>
  <c r="W44" i="4"/>
  <c r="V44" i="4"/>
  <c r="S44" i="4"/>
  <c r="P44" i="4"/>
  <c r="L44" i="4"/>
  <c r="N44" i="4" s="1"/>
  <c r="I44" i="4"/>
  <c r="J44" i="4" s="1"/>
  <c r="U44" i="4" s="1"/>
  <c r="G44" i="4"/>
  <c r="F44" i="4"/>
  <c r="W43" i="4"/>
  <c r="V43" i="4"/>
  <c r="S43" i="4"/>
  <c r="P43" i="4"/>
  <c r="N43" i="4"/>
  <c r="L43" i="4"/>
  <c r="M43" i="4" s="1"/>
  <c r="I43" i="4"/>
  <c r="J43" i="4" s="1"/>
  <c r="G43" i="4"/>
  <c r="F43" i="4"/>
  <c r="W42" i="4"/>
  <c r="V42" i="4"/>
  <c r="P42" i="4"/>
  <c r="N42" i="4"/>
  <c r="M42" i="4"/>
  <c r="L42" i="4"/>
  <c r="I42" i="4"/>
  <c r="J42" i="4" s="1"/>
  <c r="G42" i="4"/>
  <c r="F42" i="4"/>
  <c r="S42" i="4" s="1"/>
  <c r="W41" i="4"/>
  <c r="V41" i="4"/>
  <c r="P41" i="4"/>
  <c r="L41" i="4"/>
  <c r="M41" i="4" s="1"/>
  <c r="J41" i="4"/>
  <c r="I41" i="4"/>
  <c r="G41" i="4"/>
  <c r="F41" i="4"/>
  <c r="S41" i="4" s="1"/>
  <c r="W40" i="4"/>
  <c r="V40" i="4"/>
  <c r="U40" i="4"/>
  <c r="P40" i="4"/>
  <c r="L40" i="4"/>
  <c r="I40" i="4"/>
  <c r="J40" i="4" s="1"/>
  <c r="K40" i="4" s="1"/>
  <c r="G40" i="4"/>
  <c r="F40" i="4"/>
  <c r="S40" i="4" s="1"/>
  <c r="W39" i="4"/>
  <c r="V39" i="4"/>
  <c r="S39" i="4"/>
  <c r="P39" i="4"/>
  <c r="L39" i="4"/>
  <c r="N39" i="4" s="1"/>
  <c r="I39" i="4"/>
  <c r="J39" i="4" s="1"/>
  <c r="K39" i="4" s="1"/>
  <c r="G39" i="4"/>
  <c r="F39" i="4"/>
  <c r="W38" i="4"/>
  <c r="V38" i="4"/>
  <c r="P38" i="4"/>
  <c r="N38" i="4"/>
  <c r="L38" i="4"/>
  <c r="I38" i="4"/>
  <c r="J38" i="4" s="1"/>
  <c r="U38" i="4" s="1"/>
  <c r="G38" i="4"/>
  <c r="F38" i="4"/>
  <c r="W37" i="4"/>
  <c r="V37" i="4"/>
  <c r="S37" i="4"/>
  <c r="P37" i="4"/>
  <c r="L37" i="4"/>
  <c r="J37" i="4"/>
  <c r="U37" i="4" s="1"/>
  <c r="I37" i="4"/>
  <c r="G37" i="4"/>
  <c r="F37" i="4"/>
  <c r="W36" i="4"/>
  <c r="V36" i="4"/>
  <c r="S36" i="4"/>
  <c r="N36" i="4"/>
  <c r="L36" i="4"/>
  <c r="J36" i="4"/>
  <c r="I36" i="4"/>
  <c r="G36" i="4"/>
  <c r="F36" i="4"/>
  <c r="W35" i="4"/>
  <c r="V35" i="4"/>
  <c r="S35" i="4"/>
  <c r="P35" i="4"/>
  <c r="P58" i="4" s="1"/>
  <c r="M35" i="4"/>
  <c r="L35" i="4"/>
  <c r="I35" i="4"/>
  <c r="J35" i="4" s="1"/>
  <c r="G35" i="4"/>
  <c r="F35" i="4"/>
  <c r="W34" i="4"/>
  <c r="V34" i="4"/>
  <c r="U34" i="4"/>
  <c r="S34" i="4"/>
  <c r="P34" i="4"/>
  <c r="M34" i="4"/>
  <c r="L34" i="4"/>
  <c r="I34" i="4"/>
  <c r="J34" i="4" s="1"/>
  <c r="K34" i="4" s="1"/>
  <c r="G34" i="4"/>
  <c r="N34" i="4" s="1"/>
  <c r="F34" i="4"/>
  <c r="W33" i="4"/>
  <c r="V33" i="4"/>
  <c r="P33" i="4"/>
  <c r="N33" i="4"/>
  <c r="M33" i="4"/>
  <c r="L33" i="4"/>
  <c r="I33" i="4"/>
  <c r="J33" i="4" s="1"/>
  <c r="K33" i="4" s="1"/>
  <c r="G33" i="4"/>
  <c r="F33" i="4"/>
  <c r="S33" i="4" s="1"/>
  <c r="W32" i="4"/>
  <c r="V32" i="4"/>
  <c r="S32" i="4"/>
  <c r="P32" i="4"/>
  <c r="L32" i="4"/>
  <c r="K32" i="4"/>
  <c r="J32" i="4"/>
  <c r="I32" i="4"/>
  <c r="G32" i="4"/>
  <c r="F32" i="4"/>
  <c r="W31" i="4"/>
  <c r="V31" i="4"/>
  <c r="S31" i="4"/>
  <c r="P31" i="4"/>
  <c r="L31" i="4"/>
  <c r="I31" i="4"/>
  <c r="G31" i="4"/>
  <c r="F31" i="4"/>
  <c r="W30" i="4"/>
  <c r="V30" i="4"/>
  <c r="W29" i="4"/>
  <c r="V29" i="4"/>
  <c r="Q29" i="4"/>
  <c r="W28" i="4"/>
  <c r="V28" i="4"/>
  <c r="U28" i="4"/>
  <c r="S28" i="4"/>
  <c r="P28" i="4"/>
  <c r="M28" i="4"/>
  <c r="L28" i="4"/>
  <c r="I28" i="4"/>
  <c r="J28" i="4" s="1"/>
  <c r="K28" i="4" s="1"/>
  <c r="G28" i="4"/>
  <c r="N28" i="4" s="1"/>
  <c r="F28" i="4"/>
  <c r="W27" i="4"/>
  <c r="V27" i="4"/>
  <c r="P27" i="4"/>
  <c r="L27" i="4"/>
  <c r="I27" i="4"/>
  <c r="J27" i="4" s="1"/>
  <c r="K27" i="4" s="1"/>
  <c r="G27" i="4"/>
  <c r="F27" i="4"/>
  <c r="S27" i="4" s="1"/>
  <c r="W26" i="4"/>
  <c r="V26" i="4"/>
  <c r="P26" i="4"/>
  <c r="N26" i="4"/>
  <c r="M26" i="4"/>
  <c r="L26" i="4"/>
  <c r="I26" i="4"/>
  <c r="J26" i="4" s="1"/>
  <c r="G26" i="4"/>
  <c r="F26" i="4"/>
  <c r="S26" i="4" s="1"/>
  <c r="W25" i="4"/>
  <c r="V25" i="4"/>
  <c r="P25" i="4"/>
  <c r="N25" i="4"/>
  <c r="L25" i="4"/>
  <c r="J25" i="4"/>
  <c r="U25" i="4" s="1"/>
  <c r="I25" i="4"/>
  <c r="G25" i="4"/>
  <c r="F25" i="4"/>
  <c r="S25" i="4" s="1"/>
  <c r="W24" i="4"/>
  <c r="V24" i="4"/>
  <c r="P24" i="4"/>
  <c r="L24" i="4"/>
  <c r="K24" i="4"/>
  <c r="I24" i="4"/>
  <c r="J24" i="4" s="1"/>
  <c r="G24" i="4"/>
  <c r="F24" i="4"/>
  <c r="S24" i="4" s="1"/>
  <c r="W23" i="4"/>
  <c r="V23" i="4"/>
  <c r="S23" i="4"/>
  <c r="P23" i="4"/>
  <c r="L23" i="4"/>
  <c r="I23" i="4"/>
  <c r="J23" i="4" s="1"/>
  <c r="K23" i="4" s="1"/>
  <c r="G23" i="4"/>
  <c r="F23" i="4"/>
  <c r="W22" i="4"/>
  <c r="V22" i="4"/>
  <c r="P22" i="4"/>
  <c r="N22" i="4"/>
  <c r="M22" i="4"/>
  <c r="L22" i="4"/>
  <c r="I22" i="4"/>
  <c r="J22" i="4" s="1"/>
  <c r="G22" i="4"/>
  <c r="F22" i="4"/>
  <c r="S22" i="4" s="1"/>
  <c r="W21" i="4"/>
  <c r="V21" i="4"/>
  <c r="P21" i="4"/>
  <c r="N21" i="4"/>
  <c r="L21" i="4"/>
  <c r="J21" i="4"/>
  <c r="U21" i="4" s="1"/>
  <c r="I21" i="4"/>
  <c r="G21" i="4"/>
  <c r="F21" i="4"/>
  <c r="S21" i="4" s="1"/>
  <c r="W20" i="4"/>
  <c r="V20" i="4"/>
  <c r="P20" i="4"/>
  <c r="L20" i="4"/>
  <c r="K20" i="4"/>
  <c r="I20" i="4"/>
  <c r="J20" i="4" s="1"/>
  <c r="G20" i="4"/>
  <c r="F20" i="4"/>
  <c r="S20" i="4" s="1"/>
  <c r="W19" i="4"/>
  <c r="V19" i="4"/>
  <c r="S19" i="4"/>
  <c r="P19" i="4"/>
  <c r="I19" i="4"/>
  <c r="J19" i="4" s="1"/>
  <c r="U19" i="4" s="1"/>
  <c r="G19" i="4"/>
  <c r="N19" i="4" s="1"/>
  <c r="F19" i="4"/>
  <c r="M19" i="4" s="1"/>
  <c r="W18" i="4"/>
  <c r="V18" i="4"/>
  <c r="S18" i="4"/>
  <c r="P18" i="4"/>
  <c r="L18" i="4"/>
  <c r="N18" i="4" s="1"/>
  <c r="I18" i="4"/>
  <c r="J18" i="4" s="1"/>
  <c r="K18" i="4" s="1"/>
  <c r="G18" i="4"/>
  <c r="F18" i="4"/>
  <c r="W17" i="4"/>
  <c r="V17" i="4"/>
  <c r="P17" i="4"/>
  <c r="N17" i="4"/>
  <c r="M17" i="4"/>
  <c r="L17" i="4"/>
  <c r="I17" i="4"/>
  <c r="J17" i="4" s="1"/>
  <c r="G17" i="4"/>
  <c r="F17" i="4"/>
  <c r="S17" i="4" s="1"/>
  <c r="W16" i="4"/>
  <c r="V16" i="4"/>
  <c r="P16" i="4"/>
  <c r="N16" i="4"/>
  <c r="L16" i="4"/>
  <c r="K16" i="4"/>
  <c r="J16" i="4"/>
  <c r="U16" i="4" s="1"/>
  <c r="I16" i="4"/>
  <c r="G16" i="4"/>
  <c r="F16" i="4"/>
  <c r="S16" i="4" s="1"/>
  <c r="W15" i="4"/>
  <c r="V15" i="4"/>
  <c r="S15" i="4"/>
  <c r="P15" i="4"/>
  <c r="L15" i="4"/>
  <c r="I15" i="4"/>
  <c r="J15" i="4" s="1"/>
  <c r="U15" i="4" s="1"/>
  <c r="G15" i="4"/>
  <c r="F15" i="4"/>
  <c r="W14" i="4"/>
  <c r="V14" i="4"/>
  <c r="S14" i="4"/>
  <c r="P14" i="4"/>
  <c r="L14" i="4"/>
  <c r="N14" i="4" s="1"/>
  <c r="I14" i="4"/>
  <c r="J14" i="4" s="1"/>
  <c r="K14" i="4" s="1"/>
  <c r="G14" i="4"/>
  <c r="F14" i="4"/>
  <c r="W13" i="4"/>
  <c r="V13" i="4"/>
  <c r="P13" i="4"/>
  <c r="N13" i="4"/>
  <c r="M13" i="4"/>
  <c r="L13" i="4"/>
  <c r="I13" i="4"/>
  <c r="J13" i="4" s="1"/>
  <c r="G13" i="4"/>
  <c r="F13" i="4"/>
  <c r="S13" i="4" s="1"/>
  <c r="W12" i="4"/>
  <c r="V12" i="4"/>
  <c r="P12" i="4"/>
  <c r="N12" i="4"/>
  <c r="L12" i="4"/>
  <c r="K12" i="4"/>
  <c r="J12" i="4"/>
  <c r="U12" i="4" s="1"/>
  <c r="I12" i="4"/>
  <c r="G12" i="4"/>
  <c r="F12" i="4"/>
  <c r="S12" i="4" s="1"/>
  <c r="W11" i="4"/>
  <c r="V11" i="4"/>
  <c r="S11" i="4"/>
  <c r="P11" i="4"/>
  <c r="L11" i="4"/>
  <c r="I11" i="4"/>
  <c r="J11" i="4" s="1"/>
  <c r="U11" i="4" s="1"/>
  <c r="G11" i="4"/>
  <c r="F11" i="4"/>
  <c r="W10" i="4"/>
  <c r="V10" i="4"/>
  <c r="S10" i="4"/>
  <c r="P10" i="4"/>
  <c r="L10" i="4"/>
  <c r="N10" i="4" s="1"/>
  <c r="I10" i="4"/>
  <c r="J10" i="4" s="1"/>
  <c r="K10" i="4" s="1"/>
  <c r="G10" i="4"/>
  <c r="F10" i="4"/>
  <c r="W9" i="4"/>
  <c r="V9" i="4"/>
  <c r="P9" i="4"/>
  <c r="N9" i="4"/>
  <c r="M9" i="4"/>
  <c r="L9" i="4"/>
  <c r="I9" i="4"/>
  <c r="J9" i="4" s="1"/>
  <c r="G9" i="4"/>
  <c r="F9" i="4"/>
  <c r="S9" i="4" s="1"/>
  <c r="W8" i="4"/>
  <c r="V8" i="4"/>
  <c r="P8" i="4"/>
  <c r="N8" i="4"/>
  <c r="L8" i="4"/>
  <c r="K8" i="4"/>
  <c r="J8" i="4"/>
  <c r="U8" i="4" s="1"/>
  <c r="I8" i="4"/>
  <c r="G8" i="4"/>
  <c r="F8" i="4"/>
  <c r="S8" i="4" s="1"/>
  <c r="W7" i="4"/>
  <c r="V7" i="4"/>
  <c r="S7" i="4"/>
  <c r="P7" i="4"/>
  <c r="L7" i="4"/>
  <c r="H7" i="4"/>
  <c r="G7" i="4"/>
  <c r="F7" i="4"/>
  <c r="W6" i="4"/>
  <c r="V6" i="4"/>
  <c r="P6" i="4"/>
  <c r="N6" i="4"/>
  <c r="M6" i="4"/>
  <c r="L6" i="4"/>
  <c r="I6" i="4"/>
  <c r="J6" i="4" s="1"/>
  <c r="G6" i="4"/>
  <c r="F6" i="4"/>
  <c r="S6" i="4" s="1"/>
  <c r="W5" i="4"/>
  <c r="V5" i="4"/>
  <c r="P5" i="4"/>
  <c r="N5" i="4"/>
  <c r="L5" i="4"/>
  <c r="J5" i="4"/>
  <c r="U5" i="4" s="1"/>
  <c r="I5" i="4"/>
  <c r="G5" i="4"/>
  <c r="F5" i="4"/>
  <c r="S5" i="4" s="1"/>
  <c r="W4" i="4"/>
  <c r="V4" i="4"/>
  <c r="P4" i="4"/>
  <c r="L4" i="4"/>
  <c r="K4" i="4"/>
  <c r="I4" i="4"/>
  <c r="J4" i="4" s="1"/>
  <c r="G4" i="4"/>
  <c r="F4" i="4"/>
  <c r="S4" i="4" s="1"/>
  <c r="W3" i="4"/>
  <c r="V3" i="4"/>
  <c r="S3" i="4"/>
  <c r="P3" i="4"/>
  <c r="L3" i="4"/>
  <c r="I3" i="4"/>
  <c r="J3" i="4" s="1"/>
  <c r="K3" i="4" s="1"/>
  <c r="G3" i="4"/>
  <c r="F3" i="4"/>
  <c r="J257" i="3"/>
  <c r="J255" i="3"/>
  <c r="E255" i="3"/>
  <c r="D255" i="3"/>
  <c r="C255" i="3"/>
  <c r="P247" i="3"/>
  <c r="R247" i="3" s="1"/>
  <c r="O247" i="3"/>
  <c r="N247" i="3"/>
  <c r="M247" i="3"/>
  <c r="P246" i="3"/>
  <c r="R246" i="3" s="1"/>
  <c r="O246" i="3"/>
  <c r="N246" i="3"/>
  <c r="M246" i="3"/>
  <c r="P245" i="3"/>
  <c r="R245" i="3" s="1"/>
  <c r="O245" i="3"/>
  <c r="N245" i="3"/>
  <c r="M245" i="3"/>
  <c r="P244" i="3"/>
  <c r="R244" i="3" s="1"/>
  <c r="O244" i="3"/>
  <c r="N244" i="3"/>
  <c r="M244" i="3"/>
  <c r="P243" i="3"/>
  <c r="R243" i="3" s="1"/>
  <c r="O243" i="3"/>
  <c r="N243" i="3"/>
  <c r="M243" i="3"/>
  <c r="P242" i="3"/>
  <c r="R242" i="3" s="1"/>
  <c r="O242" i="3"/>
  <c r="N242" i="3"/>
  <c r="M242" i="3"/>
  <c r="P241" i="3"/>
  <c r="R241" i="3" s="1"/>
  <c r="O241" i="3"/>
  <c r="N241" i="3"/>
  <c r="M241" i="3"/>
  <c r="P240" i="3"/>
  <c r="P248" i="3" s="1"/>
  <c r="O240" i="3"/>
  <c r="N240" i="3"/>
  <c r="M240" i="3"/>
  <c r="M248" i="3" s="1"/>
  <c r="P239" i="3"/>
  <c r="R239" i="3" s="1"/>
  <c r="O239" i="3"/>
  <c r="N239" i="3"/>
  <c r="N248" i="3" s="1"/>
  <c r="M239" i="3"/>
  <c r="P232" i="3"/>
  <c r="R232" i="3" s="1"/>
  <c r="O232" i="3"/>
  <c r="N232" i="3"/>
  <c r="M232" i="3"/>
  <c r="L232" i="3"/>
  <c r="R231" i="3"/>
  <c r="P231" i="3"/>
  <c r="O231" i="3"/>
  <c r="N231" i="3"/>
  <c r="M231" i="3"/>
  <c r="L231" i="3"/>
  <c r="P230" i="3"/>
  <c r="R230" i="3" s="1"/>
  <c r="O230" i="3"/>
  <c r="N230" i="3"/>
  <c r="M230" i="3"/>
  <c r="L230" i="3"/>
  <c r="R229" i="3"/>
  <c r="P229" i="3"/>
  <c r="O229" i="3"/>
  <c r="N229" i="3"/>
  <c r="M229" i="3"/>
  <c r="L229" i="3"/>
  <c r="P228" i="3"/>
  <c r="R228" i="3" s="1"/>
  <c r="O228" i="3"/>
  <c r="N228" i="3"/>
  <c r="M228" i="3"/>
  <c r="L228" i="3"/>
  <c r="R227" i="3"/>
  <c r="P227" i="3"/>
  <c r="O227" i="3"/>
  <c r="N227" i="3"/>
  <c r="N233" i="3" s="1"/>
  <c r="M227" i="3"/>
  <c r="M233" i="3" s="1"/>
  <c r="L227" i="3"/>
  <c r="P226" i="3"/>
  <c r="R226" i="3" s="1"/>
  <c r="O226" i="3"/>
  <c r="N226" i="3"/>
  <c r="M226" i="3"/>
  <c r="L226" i="3"/>
  <c r="R225" i="3"/>
  <c r="P225" i="3"/>
  <c r="O225" i="3"/>
  <c r="N225" i="3"/>
  <c r="M225" i="3"/>
  <c r="L225" i="3"/>
  <c r="P224" i="3"/>
  <c r="O224" i="3"/>
  <c r="N224" i="3"/>
  <c r="M224" i="3"/>
  <c r="L224" i="3"/>
  <c r="J224" i="3"/>
  <c r="I224" i="3"/>
  <c r="G224" i="3"/>
  <c r="F224" i="3"/>
  <c r="N218" i="3"/>
  <c r="P217" i="3"/>
  <c r="R217" i="3" s="1"/>
  <c r="O217" i="3"/>
  <c r="N217" i="3"/>
  <c r="M217" i="3"/>
  <c r="P216" i="3"/>
  <c r="R216" i="3" s="1"/>
  <c r="O216" i="3"/>
  <c r="N216" i="3"/>
  <c r="M216" i="3"/>
  <c r="P215" i="3"/>
  <c r="R215" i="3" s="1"/>
  <c r="O215" i="3"/>
  <c r="N215" i="3"/>
  <c r="M215" i="3"/>
  <c r="P214" i="3"/>
  <c r="R214" i="3" s="1"/>
  <c r="O214" i="3"/>
  <c r="N214" i="3"/>
  <c r="M214" i="3"/>
  <c r="P213" i="3"/>
  <c r="R213" i="3" s="1"/>
  <c r="O213" i="3"/>
  <c r="N213" i="3"/>
  <c r="M213" i="3"/>
  <c r="P212" i="3"/>
  <c r="R212" i="3" s="1"/>
  <c r="O212" i="3"/>
  <c r="O218" i="3" s="1"/>
  <c r="N212" i="3"/>
  <c r="M212" i="3"/>
  <c r="U211" i="3"/>
  <c r="R211" i="3"/>
  <c r="P211" i="3"/>
  <c r="O211" i="3"/>
  <c r="N211" i="3"/>
  <c r="M211" i="3"/>
  <c r="P210" i="3"/>
  <c r="O210" i="3"/>
  <c r="N210" i="3"/>
  <c r="M210" i="3"/>
  <c r="J210" i="3"/>
  <c r="I210" i="3"/>
  <c r="G210" i="3"/>
  <c r="F210" i="3"/>
  <c r="R209" i="3"/>
  <c r="P209" i="3"/>
  <c r="O209" i="3"/>
  <c r="N209" i="3"/>
  <c r="M209" i="3"/>
  <c r="I209" i="3"/>
  <c r="J209" i="3" s="1"/>
  <c r="G209" i="3"/>
  <c r="F209" i="3"/>
  <c r="W197" i="3"/>
  <c r="W196" i="3"/>
  <c r="W195" i="3"/>
  <c r="Q195" i="3"/>
  <c r="H195" i="3"/>
  <c r="L194" i="3"/>
  <c r="I194" i="3"/>
  <c r="J194" i="3" s="1"/>
  <c r="G194" i="3"/>
  <c r="F194" i="3"/>
  <c r="V194" i="3" s="1"/>
  <c r="W193" i="3"/>
  <c r="V193" i="3"/>
  <c r="S193" i="3"/>
  <c r="P193" i="3"/>
  <c r="L193" i="3"/>
  <c r="N193" i="3" s="1"/>
  <c r="I193" i="3"/>
  <c r="J193" i="3" s="1"/>
  <c r="K193" i="3" s="1"/>
  <c r="G193" i="3"/>
  <c r="F193" i="3"/>
  <c r="W192" i="3"/>
  <c r="V192" i="3"/>
  <c r="L192" i="3"/>
  <c r="N192" i="3" s="1"/>
  <c r="I192" i="3"/>
  <c r="J192" i="3" s="1"/>
  <c r="K192" i="3" s="1"/>
  <c r="G192" i="3"/>
  <c r="F192" i="3"/>
  <c r="S192" i="3" s="1"/>
  <c r="W191" i="3"/>
  <c r="V191" i="3"/>
  <c r="P191" i="3"/>
  <c r="N191" i="3"/>
  <c r="M191" i="3"/>
  <c r="L191" i="3"/>
  <c r="I191" i="3"/>
  <c r="J191" i="3" s="1"/>
  <c r="G191" i="3"/>
  <c r="F191" i="3"/>
  <c r="S191" i="3" s="1"/>
  <c r="W190" i="3"/>
  <c r="P190" i="3"/>
  <c r="W189" i="3"/>
  <c r="P189" i="3"/>
  <c r="W188" i="3"/>
  <c r="P188" i="3"/>
  <c r="W187" i="3"/>
  <c r="P187" i="3"/>
  <c r="W186" i="3"/>
  <c r="V186" i="3"/>
  <c r="P186" i="3"/>
  <c r="N186" i="3"/>
  <c r="L186" i="3"/>
  <c r="J186" i="3"/>
  <c r="U186" i="3" s="1"/>
  <c r="I186" i="3"/>
  <c r="G186" i="3"/>
  <c r="F186" i="3"/>
  <c r="S186" i="3" s="1"/>
  <c r="W185" i="3"/>
  <c r="P185" i="3"/>
  <c r="W184" i="3"/>
  <c r="P184" i="3"/>
  <c r="W183" i="3"/>
  <c r="V183" i="3"/>
  <c r="P183" i="3"/>
  <c r="L183" i="3"/>
  <c r="I183" i="3"/>
  <c r="J183" i="3" s="1"/>
  <c r="G183" i="3"/>
  <c r="F183" i="3"/>
  <c r="S183" i="3" s="1"/>
  <c r="W182" i="3"/>
  <c r="V182" i="3"/>
  <c r="S182" i="3"/>
  <c r="P182" i="3"/>
  <c r="L182" i="3"/>
  <c r="N182" i="3" s="1"/>
  <c r="I182" i="3"/>
  <c r="J182" i="3" s="1"/>
  <c r="K182" i="3" s="1"/>
  <c r="G182" i="3"/>
  <c r="F182" i="3"/>
  <c r="W181" i="3"/>
  <c r="V181" i="3"/>
  <c r="P181" i="3"/>
  <c r="N181" i="3"/>
  <c r="M181" i="3"/>
  <c r="L181" i="3"/>
  <c r="I181" i="3"/>
  <c r="J181" i="3" s="1"/>
  <c r="G181" i="3"/>
  <c r="F181" i="3"/>
  <c r="S181" i="3" s="1"/>
  <c r="W180" i="3"/>
  <c r="P180" i="3"/>
  <c r="W179" i="3"/>
  <c r="P179" i="3"/>
  <c r="W178" i="3"/>
  <c r="V178" i="3"/>
  <c r="P178" i="3"/>
  <c r="N178" i="3"/>
  <c r="L178" i="3"/>
  <c r="J178" i="3"/>
  <c r="U178" i="3" s="1"/>
  <c r="I178" i="3"/>
  <c r="G178" i="3"/>
  <c r="F178" i="3"/>
  <c r="S178" i="3" s="1"/>
  <c r="W177" i="3"/>
  <c r="V177" i="3"/>
  <c r="P177" i="3"/>
  <c r="L177" i="3"/>
  <c r="I177" i="3"/>
  <c r="J177" i="3" s="1"/>
  <c r="G177" i="3"/>
  <c r="F177" i="3"/>
  <c r="S177" i="3" s="1"/>
  <c r="W176" i="3"/>
  <c r="V176" i="3"/>
  <c r="S176" i="3"/>
  <c r="P176" i="3"/>
  <c r="L176" i="3"/>
  <c r="N176" i="3" s="1"/>
  <c r="I176" i="3"/>
  <c r="J176" i="3" s="1"/>
  <c r="K176" i="3" s="1"/>
  <c r="G176" i="3"/>
  <c r="F176" i="3"/>
  <c r="W175" i="3"/>
  <c r="V175" i="3"/>
  <c r="P175" i="3"/>
  <c r="N175" i="3"/>
  <c r="M175" i="3"/>
  <c r="L175" i="3"/>
  <c r="I175" i="3"/>
  <c r="G175" i="3"/>
  <c r="F175" i="3"/>
  <c r="S175" i="3" s="1"/>
  <c r="W174" i="3"/>
  <c r="V174" i="3"/>
  <c r="P174" i="3"/>
  <c r="N174" i="3"/>
  <c r="L174" i="3"/>
  <c r="J174" i="3"/>
  <c r="U174" i="3" s="1"/>
  <c r="I174" i="3"/>
  <c r="G174" i="3"/>
  <c r="F174" i="3"/>
  <c r="S174" i="3" s="1"/>
  <c r="W173" i="3"/>
  <c r="W172" i="3"/>
  <c r="Q172" i="3"/>
  <c r="Q196" i="3" s="1"/>
  <c r="W171" i="3"/>
  <c r="V171" i="3"/>
  <c r="P171" i="3"/>
  <c r="N171" i="3"/>
  <c r="M171" i="3"/>
  <c r="L171" i="3"/>
  <c r="I171" i="3"/>
  <c r="J171" i="3" s="1"/>
  <c r="G171" i="3"/>
  <c r="F171" i="3"/>
  <c r="S171" i="3" s="1"/>
  <c r="W170" i="3"/>
  <c r="V170" i="3"/>
  <c r="P170" i="3"/>
  <c r="N170" i="3"/>
  <c r="L170" i="3"/>
  <c r="J170" i="3"/>
  <c r="U170" i="3" s="1"/>
  <c r="I170" i="3"/>
  <c r="G170" i="3"/>
  <c r="F170" i="3"/>
  <c r="S170" i="3" s="1"/>
  <c r="W169" i="3"/>
  <c r="V169" i="3"/>
  <c r="P169" i="3"/>
  <c r="L169" i="3"/>
  <c r="K169" i="3"/>
  <c r="I169" i="3"/>
  <c r="J169" i="3" s="1"/>
  <c r="G169" i="3"/>
  <c r="F169" i="3"/>
  <c r="S169" i="3" s="1"/>
  <c r="W168" i="3"/>
  <c r="V168" i="3"/>
  <c r="S168" i="3"/>
  <c r="P168" i="3"/>
  <c r="L168" i="3"/>
  <c r="I168" i="3"/>
  <c r="J168" i="3" s="1"/>
  <c r="K168" i="3" s="1"/>
  <c r="G168" i="3"/>
  <c r="F168" i="3"/>
  <c r="W167" i="3"/>
  <c r="V167" i="3"/>
  <c r="P167" i="3"/>
  <c r="N167" i="3"/>
  <c r="M167" i="3"/>
  <c r="L167" i="3"/>
  <c r="I167" i="3"/>
  <c r="J167" i="3" s="1"/>
  <c r="G167" i="3"/>
  <c r="F167" i="3"/>
  <c r="S167" i="3" s="1"/>
  <c r="W166" i="3"/>
  <c r="V166" i="3"/>
  <c r="P166" i="3"/>
  <c r="N166" i="3"/>
  <c r="L166" i="3"/>
  <c r="J166" i="3"/>
  <c r="U166" i="3" s="1"/>
  <c r="I166" i="3"/>
  <c r="G166" i="3"/>
  <c r="F166" i="3"/>
  <c r="S166" i="3" s="1"/>
  <c r="W165" i="3"/>
  <c r="V165" i="3"/>
  <c r="P165" i="3"/>
  <c r="L165" i="3"/>
  <c r="K165" i="3"/>
  <c r="I165" i="3"/>
  <c r="J165" i="3" s="1"/>
  <c r="G165" i="3"/>
  <c r="F165" i="3"/>
  <c r="S165" i="3" s="1"/>
  <c r="W164" i="3"/>
  <c r="V164" i="3"/>
  <c r="S164" i="3"/>
  <c r="P164" i="3"/>
  <c r="L164" i="3"/>
  <c r="I164" i="3"/>
  <c r="J164" i="3" s="1"/>
  <c r="K164" i="3" s="1"/>
  <c r="G164" i="3"/>
  <c r="F164" i="3"/>
  <c r="W163" i="3"/>
  <c r="V163" i="3"/>
  <c r="P163" i="3"/>
  <c r="N163" i="3"/>
  <c r="M163" i="3"/>
  <c r="L163" i="3"/>
  <c r="I163" i="3"/>
  <c r="J163" i="3" s="1"/>
  <c r="G163" i="3"/>
  <c r="F163" i="3"/>
  <c r="S163" i="3" s="1"/>
  <c r="W162" i="3"/>
  <c r="V162" i="3"/>
  <c r="P162" i="3"/>
  <c r="N162" i="3"/>
  <c r="L162" i="3"/>
  <c r="J162" i="3"/>
  <c r="U162" i="3" s="1"/>
  <c r="I162" i="3"/>
  <c r="G162" i="3"/>
  <c r="F162" i="3"/>
  <c r="S162" i="3" s="1"/>
  <c r="W161" i="3"/>
  <c r="V161" i="3"/>
  <c r="P161" i="3"/>
  <c r="L161" i="3"/>
  <c r="K161" i="3"/>
  <c r="I161" i="3"/>
  <c r="J161" i="3" s="1"/>
  <c r="G161" i="3"/>
  <c r="F161" i="3"/>
  <c r="S161" i="3" s="1"/>
  <c r="V160" i="3"/>
  <c r="S160" i="3"/>
  <c r="L160" i="3"/>
  <c r="N160" i="3" s="1"/>
  <c r="I160" i="3"/>
  <c r="J160" i="3" s="1"/>
  <c r="K160" i="3" s="1"/>
  <c r="G160" i="3"/>
  <c r="F160" i="3"/>
  <c r="P160" i="3" s="1"/>
  <c r="W160" i="3" s="1"/>
  <c r="W159" i="3"/>
  <c r="V159" i="3"/>
  <c r="P159" i="3"/>
  <c r="N159" i="3"/>
  <c r="M159" i="3"/>
  <c r="L159" i="3"/>
  <c r="I159" i="3"/>
  <c r="J159" i="3" s="1"/>
  <c r="G159" i="3"/>
  <c r="F159" i="3"/>
  <c r="S159" i="3" s="1"/>
  <c r="N158" i="3"/>
  <c r="L158" i="3"/>
  <c r="K158" i="3"/>
  <c r="J158" i="3"/>
  <c r="U158" i="3" s="1"/>
  <c r="I158" i="3"/>
  <c r="G158" i="3"/>
  <c r="F158" i="3"/>
  <c r="S158" i="3" s="1"/>
  <c r="W157" i="3"/>
  <c r="V157" i="3"/>
  <c r="S157" i="3"/>
  <c r="P157" i="3"/>
  <c r="L157" i="3"/>
  <c r="I157" i="3"/>
  <c r="J157" i="3" s="1"/>
  <c r="U157" i="3" s="1"/>
  <c r="G157" i="3"/>
  <c r="F157" i="3"/>
  <c r="W156" i="3"/>
  <c r="V156" i="3"/>
  <c r="S156" i="3"/>
  <c r="P156" i="3"/>
  <c r="L156" i="3"/>
  <c r="N156" i="3" s="1"/>
  <c r="I156" i="3"/>
  <c r="J156" i="3" s="1"/>
  <c r="K156" i="3" s="1"/>
  <c r="G156" i="3"/>
  <c r="F156" i="3"/>
  <c r="W155" i="3"/>
  <c r="V155" i="3"/>
  <c r="P155" i="3"/>
  <c r="N155" i="3"/>
  <c r="M155" i="3"/>
  <c r="L155" i="3"/>
  <c r="I155" i="3"/>
  <c r="J155" i="3" s="1"/>
  <c r="G155" i="3"/>
  <c r="F155" i="3"/>
  <c r="S155" i="3" s="1"/>
  <c r="N154" i="3"/>
  <c r="L154" i="3"/>
  <c r="K154" i="3"/>
  <c r="J154" i="3"/>
  <c r="U154" i="3" s="1"/>
  <c r="I154" i="3"/>
  <c r="G154" i="3"/>
  <c r="F154" i="3"/>
  <c r="S154" i="3" s="1"/>
  <c r="L153" i="3"/>
  <c r="I153" i="3"/>
  <c r="J153" i="3" s="1"/>
  <c r="G153" i="3"/>
  <c r="F153" i="3"/>
  <c r="V153" i="3" s="1"/>
  <c r="W152" i="3"/>
  <c r="V152" i="3"/>
  <c r="S152" i="3"/>
  <c r="P152" i="3"/>
  <c r="L152" i="3"/>
  <c r="N152" i="3" s="1"/>
  <c r="I152" i="3"/>
  <c r="J152" i="3" s="1"/>
  <c r="K152" i="3" s="1"/>
  <c r="G152" i="3"/>
  <c r="F152" i="3"/>
  <c r="W151" i="3"/>
  <c r="V151" i="3"/>
  <c r="P151" i="3"/>
  <c r="N151" i="3"/>
  <c r="M151" i="3"/>
  <c r="L151" i="3"/>
  <c r="I151" i="3"/>
  <c r="J151" i="3" s="1"/>
  <c r="G151" i="3"/>
  <c r="F151" i="3"/>
  <c r="S151" i="3" s="1"/>
  <c r="W150" i="3"/>
  <c r="V150" i="3"/>
  <c r="P150" i="3"/>
  <c r="N150" i="3"/>
  <c r="L150" i="3"/>
  <c r="J150" i="3"/>
  <c r="U150" i="3" s="1"/>
  <c r="I150" i="3"/>
  <c r="G150" i="3"/>
  <c r="F150" i="3"/>
  <c r="S150" i="3" s="1"/>
  <c r="W149" i="3"/>
  <c r="V149" i="3"/>
  <c r="P149" i="3"/>
  <c r="L149" i="3"/>
  <c r="I149" i="3"/>
  <c r="J149" i="3" s="1"/>
  <c r="G149" i="3"/>
  <c r="F149" i="3"/>
  <c r="S149" i="3" s="1"/>
  <c r="W148" i="3"/>
  <c r="V148" i="3"/>
  <c r="S148" i="3"/>
  <c r="P148" i="3"/>
  <c r="L148" i="3"/>
  <c r="N148" i="3" s="1"/>
  <c r="I148" i="3"/>
  <c r="J148" i="3" s="1"/>
  <c r="K148" i="3" s="1"/>
  <c r="G148" i="3"/>
  <c r="F148" i="3"/>
  <c r="W147" i="3"/>
  <c r="V147" i="3"/>
  <c r="P147" i="3"/>
  <c r="N147" i="3"/>
  <c r="M147" i="3"/>
  <c r="L147" i="3"/>
  <c r="I147" i="3"/>
  <c r="J147" i="3" s="1"/>
  <c r="G147" i="3"/>
  <c r="F147" i="3"/>
  <c r="S147" i="3" s="1"/>
  <c r="W146" i="3"/>
  <c r="V146" i="3"/>
  <c r="P146" i="3"/>
  <c r="N146" i="3"/>
  <c r="L146" i="3"/>
  <c r="J146" i="3"/>
  <c r="U146" i="3" s="1"/>
  <c r="I146" i="3"/>
  <c r="G146" i="3"/>
  <c r="F146" i="3"/>
  <c r="S146" i="3" s="1"/>
  <c r="W145" i="3"/>
  <c r="V145" i="3"/>
  <c r="P145" i="3"/>
  <c r="L145" i="3"/>
  <c r="I145" i="3"/>
  <c r="J145" i="3" s="1"/>
  <c r="G145" i="3"/>
  <c r="F145" i="3"/>
  <c r="S145" i="3" s="1"/>
  <c r="W144" i="3"/>
  <c r="V144" i="3"/>
  <c r="S144" i="3"/>
  <c r="P144" i="3"/>
  <c r="L144" i="3"/>
  <c r="N144" i="3" s="1"/>
  <c r="I144" i="3"/>
  <c r="J144" i="3" s="1"/>
  <c r="K144" i="3" s="1"/>
  <c r="G144" i="3"/>
  <c r="F144" i="3"/>
  <c r="W143" i="3"/>
  <c r="V143" i="3"/>
  <c r="P143" i="3"/>
  <c r="N143" i="3"/>
  <c r="M143" i="3"/>
  <c r="L143" i="3"/>
  <c r="I143" i="3"/>
  <c r="J143" i="3" s="1"/>
  <c r="G143" i="3"/>
  <c r="F143" i="3"/>
  <c r="S143" i="3" s="1"/>
  <c r="W142" i="3"/>
  <c r="V142" i="3"/>
  <c r="P142" i="3"/>
  <c r="N142" i="3"/>
  <c r="L142" i="3"/>
  <c r="J142" i="3"/>
  <c r="U142" i="3" s="1"/>
  <c r="I142" i="3"/>
  <c r="G142" i="3"/>
  <c r="F142" i="3"/>
  <c r="S142" i="3" s="1"/>
  <c r="W141" i="3"/>
  <c r="V141" i="3"/>
  <c r="P141" i="3"/>
  <c r="L141" i="3"/>
  <c r="I141" i="3"/>
  <c r="J141" i="3" s="1"/>
  <c r="G141" i="3"/>
  <c r="F141" i="3"/>
  <c r="S141" i="3" s="1"/>
  <c r="W140" i="3"/>
  <c r="V140" i="3"/>
  <c r="S140" i="3"/>
  <c r="P140" i="3"/>
  <c r="L140" i="3"/>
  <c r="N140" i="3" s="1"/>
  <c r="I140" i="3"/>
  <c r="J140" i="3" s="1"/>
  <c r="K140" i="3" s="1"/>
  <c r="G140" i="3"/>
  <c r="F140" i="3"/>
  <c r="W139" i="3"/>
  <c r="V139" i="3"/>
  <c r="P139" i="3"/>
  <c r="N139" i="3"/>
  <c r="M139" i="3"/>
  <c r="L139" i="3"/>
  <c r="I139" i="3"/>
  <c r="J139" i="3" s="1"/>
  <c r="G139" i="3"/>
  <c r="F139" i="3"/>
  <c r="S139" i="3" s="1"/>
  <c r="W138" i="3"/>
  <c r="V138" i="3"/>
  <c r="P138" i="3"/>
  <c r="N138" i="3"/>
  <c r="L138" i="3"/>
  <c r="J138" i="3"/>
  <c r="U138" i="3" s="1"/>
  <c r="I138" i="3"/>
  <c r="G138" i="3"/>
  <c r="F138" i="3"/>
  <c r="S138" i="3" s="1"/>
  <c r="L137" i="3"/>
  <c r="K137" i="3"/>
  <c r="I137" i="3"/>
  <c r="J137" i="3" s="1"/>
  <c r="G137" i="3"/>
  <c r="F137" i="3"/>
  <c r="V137" i="3" s="1"/>
  <c r="W136" i="3"/>
  <c r="V136" i="3"/>
  <c r="S136" i="3"/>
  <c r="P136" i="3"/>
  <c r="L136" i="3"/>
  <c r="I136" i="3"/>
  <c r="J136" i="3" s="1"/>
  <c r="K136" i="3" s="1"/>
  <c r="G136" i="3"/>
  <c r="F136" i="3"/>
  <c r="W135" i="3"/>
  <c r="V135" i="3"/>
  <c r="P135" i="3"/>
  <c r="N135" i="3"/>
  <c r="M135" i="3"/>
  <c r="L135" i="3"/>
  <c r="I135" i="3"/>
  <c r="J135" i="3" s="1"/>
  <c r="G135" i="3"/>
  <c r="F135" i="3"/>
  <c r="S135" i="3" s="1"/>
  <c r="W134" i="3"/>
  <c r="V134" i="3"/>
  <c r="P134" i="3"/>
  <c r="N134" i="3"/>
  <c r="L134" i="3"/>
  <c r="J134" i="3"/>
  <c r="U134" i="3" s="1"/>
  <c r="I134" i="3"/>
  <c r="G134" i="3"/>
  <c r="F134" i="3"/>
  <c r="S134" i="3" s="1"/>
  <c r="W133" i="3"/>
  <c r="V133" i="3"/>
  <c r="P133" i="3"/>
  <c r="L133" i="3"/>
  <c r="K133" i="3"/>
  <c r="I133" i="3"/>
  <c r="J133" i="3" s="1"/>
  <c r="G133" i="3"/>
  <c r="F133" i="3"/>
  <c r="S133" i="3" s="1"/>
  <c r="V132" i="3"/>
  <c r="S132" i="3"/>
  <c r="L132" i="3"/>
  <c r="N132" i="3" s="1"/>
  <c r="I132" i="3"/>
  <c r="J132" i="3" s="1"/>
  <c r="K132" i="3" s="1"/>
  <c r="G132" i="3"/>
  <c r="F132" i="3"/>
  <c r="P132" i="3" s="1"/>
  <c r="W132" i="3" s="1"/>
  <c r="W131" i="3"/>
  <c r="V131" i="3"/>
  <c r="P131" i="3"/>
  <c r="N131" i="3"/>
  <c r="M131" i="3"/>
  <c r="L131" i="3"/>
  <c r="I131" i="3"/>
  <c r="J131" i="3" s="1"/>
  <c r="G131" i="3"/>
  <c r="F131" i="3"/>
  <c r="S131" i="3" s="1"/>
  <c r="W130" i="3"/>
  <c r="V130" i="3"/>
  <c r="P130" i="3"/>
  <c r="N130" i="3"/>
  <c r="L130" i="3"/>
  <c r="K130" i="3"/>
  <c r="J130" i="3"/>
  <c r="U130" i="3" s="1"/>
  <c r="I130" i="3"/>
  <c r="G130" i="3"/>
  <c r="F130" i="3"/>
  <c r="S130" i="3" s="1"/>
  <c r="W129" i="3"/>
  <c r="V129" i="3"/>
  <c r="S129" i="3"/>
  <c r="P129" i="3"/>
  <c r="L129" i="3"/>
  <c r="I129" i="3"/>
  <c r="J129" i="3" s="1"/>
  <c r="U129" i="3" s="1"/>
  <c r="G129" i="3"/>
  <c r="F129" i="3"/>
  <c r="W128" i="3"/>
  <c r="V128" i="3"/>
  <c r="S128" i="3"/>
  <c r="P128" i="3"/>
  <c r="L128" i="3"/>
  <c r="N128" i="3" s="1"/>
  <c r="I128" i="3"/>
  <c r="J128" i="3" s="1"/>
  <c r="K128" i="3" s="1"/>
  <c r="G128" i="3"/>
  <c r="F128" i="3"/>
  <c r="W127" i="3"/>
  <c r="S127" i="3"/>
  <c r="P127" i="3"/>
  <c r="M127" i="3"/>
  <c r="L127" i="3"/>
  <c r="I127" i="3"/>
  <c r="J127" i="3" s="1"/>
  <c r="K127" i="3" s="1"/>
  <c r="G127" i="3"/>
  <c r="F127" i="3"/>
  <c r="W126" i="3"/>
  <c r="V126" i="3"/>
  <c r="P126" i="3"/>
  <c r="M126" i="3"/>
  <c r="I126" i="3"/>
  <c r="J126" i="3" s="1"/>
  <c r="K126" i="3" s="1"/>
  <c r="G126" i="3"/>
  <c r="N126" i="3" s="1"/>
  <c r="F126" i="3"/>
  <c r="S126" i="3" s="1"/>
  <c r="W125" i="3"/>
  <c r="V125" i="3"/>
  <c r="P125" i="3"/>
  <c r="N125" i="3"/>
  <c r="M125" i="3"/>
  <c r="L125" i="3"/>
  <c r="I125" i="3"/>
  <c r="J125" i="3" s="1"/>
  <c r="G125" i="3"/>
  <c r="F125" i="3"/>
  <c r="S125" i="3" s="1"/>
  <c r="W124" i="3"/>
  <c r="V124" i="3"/>
  <c r="P124" i="3"/>
  <c r="N124" i="3"/>
  <c r="L124" i="3"/>
  <c r="J124" i="3"/>
  <c r="U124" i="3" s="1"/>
  <c r="I124" i="3"/>
  <c r="G124" i="3"/>
  <c r="F124" i="3"/>
  <c r="S124" i="3" s="1"/>
  <c r="W123" i="3"/>
  <c r="V123" i="3"/>
  <c r="P123" i="3"/>
  <c r="L123" i="3"/>
  <c r="K123" i="3"/>
  <c r="I123" i="3"/>
  <c r="J123" i="3" s="1"/>
  <c r="G123" i="3"/>
  <c r="F123" i="3"/>
  <c r="S123" i="3" s="1"/>
  <c r="W122" i="3"/>
  <c r="V122" i="3"/>
  <c r="S122" i="3"/>
  <c r="P122" i="3"/>
  <c r="L122" i="3"/>
  <c r="I122" i="3"/>
  <c r="J122" i="3" s="1"/>
  <c r="K122" i="3" s="1"/>
  <c r="G122" i="3"/>
  <c r="F122" i="3"/>
  <c r="V121" i="3"/>
  <c r="N121" i="3"/>
  <c r="M121" i="3"/>
  <c r="L121" i="3"/>
  <c r="I121" i="3"/>
  <c r="J121" i="3" s="1"/>
  <c r="G121" i="3"/>
  <c r="F121" i="3"/>
  <c r="S121" i="3" s="1"/>
  <c r="N120" i="3"/>
  <c r="L120" i="3"/>
  <c r="K120" i="3"/>
  <c r="J120" i="3"/>
  <c r="U120" i="3" s="1"/>
  <c r="I120" i="3"/>
  <c r="G120" i="3"/>
  <c r="F120" i="3"/>
  <c r="S120" i="3" s="1"/>
  <c r="W119" i="3"/>
  <c r="V119" i="3"/>
  <c r="S119" i="3"/>
  <c r="P119" i="3"/>
  <c r="L119" i="3"/>
  <c r="I119" i="3"/>
  <c r="J119" i="3" s="1"/>
  <c r="U119" i="3" s="1"/>
  <c r="G119" i="3"/>
  <c r="F119" i="3"/>
  <c r="W118" i="3"/>
  <c r="V118" i="3"/>
  <c r="S118" i="3"/>
  <c r="P118" i="3"/>
  <c r="L118" i="3"/>
  <c r="N118" i="3" s="1"/>
  <c r="I118" i="3"/>
  <c r="J118" i="3" s="1"/>
  <c r="K118" i="3" s="1"/>
  <c r="G118" i="3"/>
  <c r="F118" i="3"/>
  <c r="V117" i="3"/>
  <c r="N117" i="3"/>
  <c r="M117" i="3"/>
  <c r="L117" i="3"/>
  <c r="I117" i="3"/>
  <c r="J117" i="3" s="1"/>
  <c r="G117" i="3"/>
  <c r="F117" i="3"/>
  <c r="S117" i="3" s="1"/>
  <c r="W116" i="3"/>
  <c r="V116" i="3"/>
  <c r="P116" i="3"/>
  <c r="N116" i="3"/>
  <c r="L116" i="3"/>
  <c r="J116" i="3"/>
  <c r="U116" i="3" s="1"/>
  <c r="I116" i="3"/>
  <c r="G116" i="3"/>
  <c r="F116" i="3"/>
  <c r="S116" i="3" s="1"/>
  <c r="W115" i="3"/>
  <c r="V115" i="3"/>
  <c r="S115" i="3"/>
  <c r="P115" i="3"/>
  <c r="M115" i="3"/>
  <c r="L115" i="3"/>
  <c r="I115" i="3"/>
  <c r="J115" i="3" s="1"/>
  <c r="U115" i="3" s="1"/>
  <c r="G115" i="3"/>
  <c r="F115" i="3"/>
  <c r="W114" i="3"/>
  <c r="V114" i="3"/>
  <c r="S114" i="3"/>
  <c r="P114" i="3"/>
  <c r="M114" i="3"/>
  <c r="L114" i="3"/>
  <c r="I114" i="3"/>
  <c r="J114" i="3" s="1"/>
  <c r="G114" i="3"/>
  <c r="N114" i="3" s="1"/>
  <c r="F114" i="3"/>
  <c r="V113" i="3"/>
  <c r="N113" i="3"/>
  <c r="M113" i="3"/>
  <c r="L113" i="3"/>
  <c r="I113" i="3"/>
  <c r="J113" i="3" s="1"/>
  <c r="G113" i="3"/>
  <c r="F113" i="3"/>
  <c r="S113" i="3" s="1"/>
  <c r="W112" i="3"/>
  <c r="V112" i="3"/>
  <c r="P112" i="3"/>
  <c r="L112" i="3"/>
  <c r="K112" i="3"/>
  <c r="J112" i="3"/>
  <c r="I112" i="3"/>
  <c r="G112" i="3"/>
  <c r="F112" i="3"/>
  <c r="S112" i="3" s="1"/>
  <c r="W111" i="3"/>
  <c r="V111" i="3"/>
  <c r="S111" i="3"/>
  <c r="P111" i="3"/>
  <c r="L111" i="3"/>
  <c r="H111" i="3"/>
  <c r="H172" i="3" s="1"/>
  <c r="G111" i="3"/>
  <c r="F111" i="3"/>
  <c r="W110" i="3"/>
  <c r="V110" i="3"/>
  <c r="P110" i="3"/>
  <c r="N110" i="3"/>
  <c r="L110" i="3"/>
  <c r="I110" i="3"/>
  <c r="G110" i="3"/>
  <c r="F110" i="3"/>
  <c r="S110" i="3" s="1"/>
  <c r="W109" i="3"/>
  <c r="V109" i="3"/>
  <c r="W108" i="3"/>
  <c r="V108" i="3"/>
  <c r="Q108" i="3"/>
  <c r="P108" i="3"/>
  <c r="W107" i="3"/>
  <c r="V107" i="3"/>
  <c r="P107" i="3"/>
  <c r="N107" i="3"/>
  <c r="L107" i="3"/>
  <c r="H107" i="3"/>
  <c r="I107" i="3" s="1"/>
  <c r="J107" i="3" s="1"/>
  <c r="G107" i="3"/>
  <c r="F107" i="3"/>
  <c r="S107" i="3" s="1"/>
  <c r="W106" i="3"/>
  <c r="V106" i="3"/>
  <c r="P106" i="3"/>
  <c r="N106" i="3"/>
  <c r="L106" i="3"/>
  <c r="M106" i="3" s="1"/>
  <c r="I106" i="3"/>
  <c r="J106" i="3" s="1"/>
  <c r="H106" i="3"/>
  <c r="G106" i="3"/>
  <c r="F106" i="3"/>
  <c r="S106" i="3" s="1"/>
  <c r="W105" i="3"/>
  <c r="V105" i="3"/>
  <c r="P105" i="3"/>
  <c r="N105" i="3"/>
  <c r="L105" i="3"/>
  <c r="H105" i="3"/>
  <c r="I105" i="3" s="1"/>
  <c r="J105" i="3" s="1"/>
  <c r="G105" i="3"/>
  <c r="F105" i="3"/>
  <c r="S105" i="3" s="1"/>
  <c r="W104" i="3"/>
  <c r="V104" i="3"/>
  <c r="P104" i="3"/>
  <c r="N104" i="3"/>
  <c r="L104" i="3"/>
  <c r="M104" i="3" s="1"/>
  <c r="I104" i="3"/>
  <c r="I108" i="3" s="1"/>
  <c r="H104" i="3"/>
  <c r="G104" i="3"/>
  <c r="F104" i="3"/>
  <c r="S104" i="3" s="1"/>
  <c r="S108" i="3" s="1"/>
  <c r="W103" i="3"/>
  <c r="V103" i="3"/>
  <c r="S103" i="3"/>
  <c r="P103" i="3"/>
  <c r="N103" i="3"/>
  <c r="L103" i="3"/>
  <c r="J103" i="3"/>
  <c r="U103" i="3" s="1"/>
  <c r="G103" i="3"/>
  <c r="F103" i="3"/>
  <c r="W102" i="3"/>
  <c r="V102" i="3"/>
  <c r="S102" i="3"/>
  <c r="P102" i="3"/>
  <c r="L102" i="3"/>
  <c r="G102" i="3"/>
  <c r="F102" i="3"/>
  <c r="J102" i="3" s="1"/>
  <c r="W101" i="3"/>
  <c r="V101" i="3"/>
  <c r="W100" i="3"/>
  <c r="V100" i="3"/>
  <c r="W99" i="3"/>
  <c r="V99" i="3"/>
  <c r="S99" i="3"/>
  <c r="Q99" i="3"/>
  <c r="W98" i="3"/>
  <c r="V98" i="3"/>
  <c r="U98" i="3"/>
  <c r="L98" i="3"/>
  <c r="W97" i="3"/>
  <c r="V97" i="3"/>
  <c r="U97" i="3"/>
  <c r="L97" i="3"/>
  <c r="W96" i="3"/>
  <c r="V96" i="3"/>
  <c r="U96" i="3"/>
  <c r="L96" i="3"/>
  <c r="W95" i="3"/>
  <c r="V95" i="3"/>
  <c r="U95" i="3"/>
  <c r="L95" i="3"/>
  <c r="W94" i="3"/>
  <c r="V94" i="3"/>
  <c r="U94" i="3"/>
  <c r="L94" i="3"/>
  <c r="W93" i="3"/>
  <c r="V93" i="3"/>
  <c r="U93" i="3"/>
  <c r="L93" i="3"/>
  <c r="W92" i="3"/>
  <c r="V92" i="3"/>
  <c r="U92" i="3"/>
  <c r="L92" i="3"/>
  <c r="W91" i="3"/>
  <c r="V91" i="3"/>
  <c r="U91" i="3"/>
  <c r="U99" i="3" s="1"/>
  <c r="L91" i="3"/>
  <c r="W90" i="3"/>
  <c r="V90" i="3"/>
  <c r="W89" i="3"/>
  <c r="V89" i="3"/>
  <c r="Q89" i="3"/>
  <c r="H89" i="3"/>
  <c r="W88" i="3"/>
  <c r="V88" i="3"/>
  <c r="P88" i="3"/>
  <c r="P89" i="3" s="1"/>
  <c r="N88" i="3"/>
  <c r="M88" i="3"/>
  <c r="M89" i="3" s="1"/>
  <c r="L88" i="3"/>
  <c r="I88" i="3"/>
  <c r="I89" i="3" s="1"/>
  <c r="G88" i="3"/>
  <c r="F88" i="3"/>
  <c r="S88" i="3" s="1"/>
  <c r="S89" i="3" s="1"/>
  <c r="W87" i="3"/>
  <c r="V87" i="3"/>
  <c r="W86" i="3"/>
  <c r="V86" i="3"/>
  <c r="Q86" i="3"/>
  <c r="H86" i="3"/>
  <c r="W85" i="3"/>
  <c r="V85" i="3"/>
  <c r="P85" i="3"/>
  <c r="N85" i="3"/>
  <c r="L85" i="3"/>
  <c r="M85" i="3" s="1"/>
  <c r="J85" i="3"/>
  <c r="U85" i="3" s="1"/>
  <c r="I85" i="3"/>
  <c r="G85" i="3"/>
  <c r="F85" i="3"/>
  <c r="S85" i="3" s="1"/>
  <c r="W84" i="3"/>
  <c r="V84" i="3"/>
  <c r="P84" i="3"/>
  <c r="P86" i="3" s="1"/>
  <c r="J84" i="3"/>
  <c r="U84" i="3" s="1"/>
  <c r="I84" i="3"/>
  <c r="I86" i="3" s="1"/>
  <c r="G84" i="3"/>
  <c r="N84" i="3" s="1"/>
  <c r="F84" i="3"/>
  <c r="M84" i="3" s="1"/>
  <c r="M86" i="3" s="1"/>
  <c r="W83" i="3"/>
  <c r="V83" i="3"/>
  <c r="W82" i="3"/>
  <c r="V82" i="3"/>
  <c r="Q82" i="3"/>
  <c r="H82" i="3"/>
  <c r="W81" i="3"/>
  <c r="V81" i="3"/>
  <c r="P81" i="3"/>
  <c r="L81" i="3"/>
  <c r="N81" i="3" s="1"/>
  <c r="I81" i="3"/>
  <c r="J81" i="3" s="1"/>
  <c r="G81" i="3"/>
  <c r="F81" i="3"/>
  <c r="S81" i="3" s="1"/>
  <c r="W80" i="3"/>
  <c r="V80" i="3"/>
  <c r="S80" i="3"/>
  <c r="P80" i="3"/>
  <c r="L80" i="3"/>
  <c r="N80" i="3" s="1"/>
  <c r="I80" i="3"/>
  <c r="J80" i="3" s="1"/>
  <c r="G80" i="3"/>
  <c r="F80" i="3"/>
  <c r="W79" i="3"/>
  <c r="V79" i="3"/>
  <c r="P79" i="3"/>
  <c r="N79" i="3"/>
  <c r="M79" i="3"/>
  <c r="L79" i="3"/>
  <c r="I79" i="3"/>
  <c r="J79" i="3" s="1"/>
  <c r="G79" i="3"/>
  <c r="F79" i="3"/>
  <c r="S79" i="3" s="1"/>
  <c r="W78" i="3"/>
  <c r="V78" i="3"/>
  <c r="P78" i="3"/>
  <c r="N78" i="3"/>
  <c r="L78" i="3"/>
  <c r="M78" i="3" s="1"/>
  <c r="J78" i="3"/>
  <c r="U78" i="3" s="1"/>
  <c r="I78" i="3"/>
  <c r="G78" i="3"/>
  <c r="F78" i="3"/>
  <c r="S78" i="3" s="1"/>
  <c r="W77" i="3"/>
  <c r="V77" i="3"/>
  <c r="P77" i="3"/>
  <c r="P82" i="3" s="1"/>
  <c r="L77" i="3"/>
  <c r="N77" i="3" s="1"/>
  <c r="I77" i="3"/>
  <c r="J77" i="3" s="1"/>
  <c r="G77" i="3"/>
  <c r="F77" i="3"/>
  <c r="S77" i="3" s="1"/>
  <c r="W76" i="3"/>
  <c r="V76" i="3"/>
  <c r="S76" i="3"/>
  <c r="P76" i="3"/>
  <c r="L76" i="3"/>
  <c r="N76" i="3" s="1"/>
  <c r="I76" i="3"/>
  <c r="J76" i="3" s="1"/>
  <c r="G76" i="3"/>
  <c r="F76" i="3"/>
  <c r="W75" i="3"/>
  <c r="V75" i="3"/>
  <c r="P75" i="3"/>
  <c r="N75" i="3"/>
  <c r="M75" i="3"/>
  <c r="L75" i="3"/>
  <c r="I75" i="3"/>
  <c r="I82" i="3" s="1"/>
  <c r="G75" i="3"/>
  <c r="F75" i="3"/>
  <c r="S75" i="3" s="1"/>
  <c r="S82" i="3" s="1"/>
  <c r="W74" i="3"/>
  <c r="V74" i="3"/>
  <c r="W73" i="3"/>
  <c r="V73" i="3"/>
  <c r="Q73" i="3"/>
  <c r="H73" i="3"/>
  <c r="W72" i="3"/>
  <c r="V72" i="3"/>
  <c r="P72" i="3"/>
  <c r="N72" i="3"/>
  <c r="L72" i="3"/>
  <c r="M72" i="3" s="1"/>
  <c r="J72" i="3"/>
  <c r="U72" i="3" s="1"/>
  <c r="I72" i="3"/>
  <c r="G72" i="3"/>
  <c r="F72" i="3"/>
  <c r="S72" i="3" s="1"/>
  <c r="W71" i="3"/>
  <c r="V71" i="3"/>
  <c r="P71" i="3"/>
  <c r="P73" i="3" s="1"/>
  <c r="L71" i="3"/>
  <c r="N71" i="3" s="1"/>
  <c r="I71" i="3"/>
  <c r="J71" i="3" s="1"/>
  <c r="G71" i="3"/>
  <c r="F71" i="3"/>
  <c r="S71" i="3" s="1"/>
  <c r="W70" i="3"/>
  <c r="V70" i="3"/>
  <c r="P70" i="3"/>
  <c r="I70" i="3"/>
  <c r="I73" i="3" s="1"/>
  <c r="G70" i="3"/>
  <c r="N70" i="3" s="1"/>
  <c r="F70" i="3"/>
  <c r="S70" i="3" s="1"/>
  <c r="S73" i="3" s="1"/>
  <c r="W69" i="3"/>
  <c r="V69" i="3"/>
  <c r="W68" i="3"/>
  <c r="V68" i="3"/>
  <c r="Q68" i="3"/>
  <c r="P68" i="3"/>
  <c r="H68" i="3"/>
  <c r="W67" i="3"/>
  <c r="V67" i="3"/>
  <c r="L67" i="3"/>
  <c r="N67" i="3" s="1"/>
  <c r="I67" i="3"/>
  <c r="J67" i="3" s="1"/>
  <c r="G67" i="3"/>
  <c r="F67" i="3"/>
  <c r="S67" i="3" s="1"/>
  <c r="W66" i="3"/>
  <c r="V66" i="3"/>
  <c r="S66" i="3"/>
  <c r="P66" i="3"/>
  <c r="L66" i="3"/>
  <c r="N66" i="3" s="1"/>
  <c r="I66" i="3"/>
  <c r="J66" i="3" s="1"/>
  <c r="G66" i="3"/>
  <c r="F66" i="3"/>
  <c r="W65" i="3"/>
  <c r="V65" i="3"/>
  <c r="W64" i="3"/>
  <c r="V64" i="3"/>
  <c r="Q64" i="3"/>
  <c r="H64" i="3"/>
  <c r="W63" i="3"/>
  <c r="V63" i="3"/>
  <c r="P63" i="3"/>
  <c r="N63" i="3"/>
  <c r="M63" i="3"/>
  <c r="L63" i="3"/>
  <c r="I63" i="3"/>
  <c r="I64" i="3" s="1"/>
  <c r="G63" i="3"/>
  <c r="F63" i="3"/>
  <c r="S63" i="3" s="1"/>
  <c r="W62" i="3"/>
  <c r="V62" i="3"/>
  <c r="P62" i="3"/>
  <c r="N62" i="3"/>
  <c r="L62" i="3"/>
  <c r="M62" i="3" s="1"/>
  <c r="J62" i="3"/>
  <c r="U62" i="3" s="1"/>
  <c r="I62" i="3"/>
  <c r="G62" i="3"/>
  <c r="F62" i="3"/>
  <c r="S62" i="3" s="1"/>
  <c r="W61" i="3"/>
  <c r="V61" i="3"/>
  <c r="P61" i="3"/>
  <c r="L61" i="3"/>
  <c r="N61" i="3" s="1"/>
  <c r="I61" i="3"/>
  <c r="J61" i="3" s="1"/>
  <c r="G61" i="3"/>
  <c r="F61" i="3"/>
  <c r="S61" i="3" s="1"/>
  <c r="W60" i="3"/>
  <c r="V60" i="3"/>
  <c r="S60" i="3"/>
  <c r="P60" i="3"/>
  <c r="P64" i="3" s="1"/>
  <c r="L60" i="3"/>
  <c r="N60" i="3" s="1"/>
  <c r="I60" i="3"/>
  <c r="J60" i="3" s="1"/>
  <c r="G60" i="3"/>
  <c r="F60" i="3"/>
  <c r="W59" i="3"/>
  <c r="V59" i="3"/>
  <c r="W58" i="3"/>
  <c r="V58" i="3"/>
  <c r="Q58" i="3"/>
  <c r="H58" i="3"/>
  <c r="W57" i="3"/>
  <c r="V57" i="3"/>
  <c r="P57" i="3"/>
  <c r="N57" i="3"/>
  <c r="M57" i="3"/>
  <c r="L57" i="3"/>
  <c r="I57" i="3"/>
  <c r="J57" i="3" s="1"/>
  <c r="G57" i="3"/>
  <c r="F57" i="3"/>
  <c r="S57" i="3" s="1"/>
  <c r="W56" i="3"/>
  <c r="V56" i="3"/>
  <c r="P56" i="3"/>
  <c r="N56" i="3"/>
  <c r="L56" i="3"/>
  <c r="M56" i="3" s="1"/>
  <c r="J56" i="3"/>
  <c r="U56" i="3" s="1"/>
  <c r="I56" i="3"/>
  <c r="G56" i="3"/>
  <c r="F56" i="3"/>
  <c r="S56" i="3" s="1"/>
  <c r="W55" i="3"/>
  <c r="V55" i="3"/>
  <c r="P55" i="3"/>
  <c r="L55" i="3"/>
  <c r="N55" i="3" s="1"/>
  <c r="I55" i="3"/>
  <c r="J55" i="3" s="1"/>
  <c r="G55" i="3"/>
  <c r="F55" i="3"/>
  <c r="S55" i="3" s="1"/>
  <c r="W54" i="3"/>
  <c r="V54" i="3"/>
  <c r="S54" i="3"/>
  <c r="P54" i="3"/>
  <c r="L54" i="3"/>
  <c r="N54" i="3" s="1"/>
  <c r="I54" i="3"/>
  <c r="J54" i="3" s="1"/>
  <c r="G54" i="3"/>
  <c r="F54" i="3"/>
  <c r="V53" i="3"/>
  <c r="N53" i="3"/>
  <c r="M53" i="3"/>
  <c r="L53" i="3"/>
  <c r="I53" i="3"/>
  <c r="J53" i="3" s="1"/>
  <c r="G53" i="3"/>
  <c r="F53" i="3"/>
  <c r="S53" i="3" s="1"/>
  <c r="W52" i="3"/>
  <c r="V52" i="3"/>
  <c r="P52" i="3"/>
  <c r="N52" i="3"/>
  <c r="L52" i="3"/>
  <c r="M52" i="3" s="1"/>
  <c r="J52" i="3"/>
  <c r="U52" i="3" s="1"/>
  <c r="I52" i="3"/>
  <c r="G52" i="3"/>
  <c r="F52" i="3"/>
  <c r="S52" i="3" s="1"/>
  <c r="W51" i="3"/>
  <c r="V51" i="3"/>
  <c r="P51" i="3"/>
  <c r="L51" i="3"/>
  <c r="N51" i="3" s="1"/>
  <c r="I51" i="3"/>
  <c r="J51" i="3" s="1"/>
  <c r="G51" i="3"/>
  <c r="F51" i="3"/>
  <c r="S51" i="3" s="1"/>
  <c r="W50" i="3"/>
  <c r="V50" i="3"/>
  <c r="S50" i="3"/>
  <c r="P50" i="3"/>
  <c r="L50" i="3"/>
  <c r="N50" i="3" s="1"/>
  <c r="I50" i="3"/>
  <c r="J50" i="3" s="1"/>
  <c r="G50" i="3"/>
  <c r="F50" i="3"/>
  <c r="W49" i="3"/>
  <c r="V49" i="3"/>
  <c r="P49" i="3"/>
  <c r="N49" i="3"/>
  <c r="M49" i="3"/>
  <c r="L49" i="3"/>
  <c r="I49" i="3"/>
  <c r="J49" i="3" s="1"/>
  <c r="G49" i="3"/>
  <c r="F49" i="3"/>
  <c r="S49" i="3" s="1"/>
  <c r="W48" i="3"/>
  <c r="V48" i="3"/>
  <c r="P48" i="3"/>
  <c r="N48" i="3"/>
  <c r="L48" i="3"/>
  <c r="M48" i="3" s="1"/>
  <c r="J48" i="3"/>
  <c r="U48" i="3" s="1"/>
  <c r="I48" i="3"/>
  <c r="G48" i="3"/>
  <c r="F48" i="3"/>
  <c r="S48" i="3" s="1"/>
  <c r="W47" i="3"/>
  <c r="V47" i="3"/>
  <c r="P47" i="3"/>
  <c r="L47" i="3"/>
  <c r="N47" i="3" s="1"/>
  <c r="I47" i="3"/>
  <c r="J47" i="3" s="1"/>
  <c r="G47" i="3"/>
  <c r="F47" i="3"/>
  <c r="S47" i="3" s="1"/>
  <c r="W46" i="3"/>
  <c r="V46" i="3"/>
  <c r="S46" i="3"/>
  <c r="P46" i="3"/>
  <c r="L46" i="3"/>
  <c r="N46" i="3" s="1"/>
  <c r="I46" i="3"/>
  <c r="J46" i="3" s="1"/>
  <c r="G46" i="3"/>
  <c r="F46" i="3"/>
  <c r="W45" i="3"/>
  <c r="V45" i="3"/>
  <c r="P45" i="3"/>
  <c r="N45" i="3"/>
  <c r="M45" i="3"/>
  <c r="L45" i="3"/>
  <c r="I45" i="3"/>
  <c r="J45" i="3" s="1"/>
  <c r="G45" i="3"/>
  <c r="F45" i="3"/>
  <c r="S45" i="3" s="1"/>
  <c r="W44" i="3"/>
  <c r="V44" i="3"/>
  <c r="P44" i="3"/>
  <c r="N44" i="3"/>
  <c r="L44" i="3"/>
  <c r="M44" i="3" s="1"/>
  <c r="J44" i="3"/>
  <c r="U44" i="3" s="1"/>
  <c r="I44" i="3"/>
  <c r="G44" i="3"/>
  <c r="F44" i="3"/>
  <c r="S44" i="3" s="1"/>
  <c r="W43" i="3"/>
  <c r="V43" i="3"/>
  <c r="P43" i="3"/>
  <c r="L43" i="3"/>
  <c r="N43" i="3" s="1"/>
  <c r="I43" i="3"/>
  <c r="J43" i="3" s="1"/>
  <c r="G43" i="3"/>
  <c r="F43" i="3"/>
  <c r="S43" i="3" s="1"/>
  <c r="W42" i="3"/>
  <c r="V42" i="3"/>
  <c r="S42" i="3"/>
  <c r="P42" i="3"/>
  <c r="L42" i="3"/>
  <c r="N42" i="3" s="1"/>
  <c r="I42" i="3"/>
  <c r="J42" i="3" s="1"/>
  <c r="G42" i="3"/>
  <c r="F42" i="3"/>
  <c r="V41" i="3"/>
  <c r="N41" i="3"/>
  <c r="M41" i="3"/>
  <c r="L41" i="3"/>
  <c r="I41" i="3"/>
  <c r="J41" i="3" s="1"/>
  <c r="G41" i="3"/>
  <c r="F41" i="3"/>
  <c r="S41" i="3" s="1"/>
  <c r="W40" i="3"/>
  <c r="V40" i="3"/>
  <c r="P40" i="3"/>
  <c r="N40" i="3"/>
  <c r="L40" i="3"/>
  <c r="J40" i="3"/>
  <c r="U40" i="3" s="1"/>
  <c r="I40" i="3"/>
  <c r="G40" i="3"/>
  <c r="F40" i="3"/>
  <c r="M40" i="3" s="1"/>
  <c r="W39" i="3"/>
  <c r="V39" i="3"/>
  <c r="P39" i="3"/>
  <c r="L39" i="3"/>
  <c r="N39" i="3" s="1"/>
  <c r="K39" i="3"/>
  <c r="J39" i="3"/>
  <c r="U39" i="3" s="1"/>
  <c r="I39" i="3"/>
  <c r="G39" i="3"/>
  <c r="F39" i="3"/>
  <c r="S39" i="3" s="1"/>
  <c r="W38" i="3"/>
  <c r="V38" i="3"/>
  <c r="S38" i="3"/>
  <c r="P38" i="3"/>
  <c r="L38" i="3"/>
  <c r="N38" i="3" s="1"/>
  <c r="I38" i="3"/>
  <c r="J38" i="3" s="1"/>
  <c r="G38" i="3"/>
  <c r="F38" i="3"/>
  <c r="W37" i="3"/>
  <c r="V37" i="3"/>
  <c r="S37" i="3"/>
  <c r="P37" i="3"/>
  <c r="N37" i="3"/>
  <c r="M37" i="3"/>
  <c r="L37" i="3"/>
  <c r="I37" i="3"/>
  <c r="J37" i="3" s="1"/>
  <c r="G37" i="3"/>
  <c r="F37" i="3"/>
  <c r="W36" i="3"/>
  <c r="V36" i="3"/>
  <c r="N36" i="3"/>
  <c r="M36" i="3"/>
  <c r="L36" i="3"/>
  <c r="I36" i="3"/>
  <c r="J36" i="3" s="1"/>
  <c r="G36" i="3"/>
  <c r="F36" i="3"/>
  <c r="S36" i="3" s="1"/>
  <c r="V35" i="3"/>
  <c r="N35" i="3"/>
  <c r="L35" i="3"/>
  <c r="J35" i="3"/>
  <c r="U35" i="3" s="1"/>
  <c r="I35" i="3"/>
  <c r="G35" i="3"/>
  <c r="F35" i="3"/>
  <c r="M35" i="3" s="1"/>
  <c r="W34" i="3"/>
  <c r="V34" i="3"/>
  <c r="P34" i="3"/>
  <c r="L34" i="3"/>
  <c r="N34" i="3" s="1"/>
  <c r="K34" i="3"/>
  <c r="J34" i="3"/>
  <c r="U34" i="3" s="1"/>
  <c r="I34" i="3"/>
  <c r="G34" i="3"/>
  <c r="F34" i="3"/>
  <c r="S34" i="3" s="1"/>
  <c r="W33" i="3"/>
  <c r="V33" i="3"/>
  <c r="S33" i="3"/>
  <c r="P33" i="3"/>
  <c r="L33" i="3"/>
  <c r="N33" i="3" s="1"/>
  <c r="I33" i="3"/>
  <c r="J33" i="3" s="1"/>
  <c r="G33" i="3"/>
  <c r="F33" i="3"/>
  <c r="V32" i="3"/>
  <c r="S32" i="3"/>
  <c r="N32" i="3"/>
  <c r="M32" i="3"/>
  <c r="L32" i="3"/>
  <c r="I32" i="3"/>
  <c r="I58" i="3" s="1"/>
  <c r="G32" i="3"/>
  <c r="F32" i="3"/>
  <c r="P32" i="3" s="1"/>
  <c r="W32" i="3" s="1"/>
  <c r="V31" i="3"/>
  <c r="N31" i="3"/>
  <c r="L31" i="3"/>
  <c r="J31" i="3"/>
  <c r="U31" i="3" s="1"/>
  <c r="I31" i="3"/>
  <c r="G31" i="3"/>
  <c r="F31" i="3"/>
  <c r="M31" i="3" s="1"/>
  <c r="W30" i="3"/>
  <c r="V30" i="3"/>
  <c r="W29" i="3"/>
  <c r="V29" i="3"/>
  <c r="Q29" i="3"/>
  <c r="W28" i="3"/>
  <c r="V28" i="3"/>
  <c r="P28" i="3"/>
  <c r="L28" i="3"/>
  <c r="N28" i="3" s="1"/>
  <c r="K28" i="3"/>
  <c r="J28" i="3"/>
  <c r="U28" i="3" s="1"/>
  <c r="I28" i="3"/>
  <c r="G28" i="3"/>
  <c r="F28" i="3"/>
  <c r="S28" i="3" s="1"/>
  <c r="W27" i="3"/>
  <c r="V27" i="3"/>
  <c r="S27" i="3"/>
  <c r="P27" i="3"/>
  <c r="L27" i="3"/>
  <c r="N27" i="3" s="1"/>
  <c r="I27" i="3"/>
  <c r="J27" i="3" s="1"/>
  <c r="G27" i="3"/>
  <c r="F27" i="3"/>
  <c r="W26" i="3"/>
  <c r="V26" i="3"/>
  <c r="S26" i="3"/>
  <c r="P26" i="3"/>
  <c r="N26" i="3"/>
  <c r="M26" i="3"/>
  <c r="L26" i="3"/>
  <c r="I26" i="3"/>
  <c r="J26" i="3" s="1"/>
  <c r="G26" i="3"/>
  <c r="F26" i="3"/>
  <c r="W25" i="3"/>
  <c r="V25" i="3"/>
  <c r="P25" i="3"/>
  <c r="N25" i="3"/>
  <c r="L25" i="3"/>
  <c r="J25" i="3"/>
  <c r="U25" i="3" s="1"/>
  <c r="I25" i="3"/>
  <c r="G25" i="3"/>
  <c r="F25" i="3"/>
  <c r="M25" i="3" s="1"/>
  <c r="W24" i="3"/>
  <c r="V24" i="3"/>
  <c r="P24" i="3"/>
  <c r="L24" i="3"/>
  <c r="N24" i="3" s="1"/>
  <c r="K24" i="3"/>
  <c r="J24" i="3"/>
  <c r="U24" i="3" s="1"/>
  <c r="I24" i="3"/>
  <c r="G24" i="3"/>
  <c r="F24" i="3"/>
  <c r="S24" i="3" s="1"/>
  <c r="W23" i="3"/>
  <c r="V23" i="3"/>
  <c r="S23" i="3"/>
  <c r="P23" i="3"/>
  <c r="L23" i="3"/>
  <c r="N23" i="3" s="1"/>
  <c r="I23" i="3"/>
  <c r="J23" i="3" s="1"/>
  <c r="G23" i="3"/>
  <c r="F23" i="3"/>
  <c r="W22" i="3"/>
  <c r="V22" i="3"/>
  <c r="S22" i="3"/>
  <c r="P22" i="3"/>
  <c r="N22" i="3"/>
  <c r="M22" i="3"/>
  <c r="L22" i="3"/>
  <c r="I22" i="3"/>
  <c r="J22" i="3" s="1"/>
  <c r="G22" i="3"/>
  <c r="F22" i="3"/>
  <c r="W21" i="3"/>
  <c r="V21" i="3"/>
  <c r="P21" i="3"/>
  <c r="N21" i="3"/>
  <c r="L21" i="3"/>
  <c r="J21" i="3"/>
  <c r="U21" i="3" s="1"/>
  <c r="I21" i="3"/>
  <c r="G21" i="3"/>
  <c r="F21" i="3"/>
  <c r="M21" i="3" s="1"/>
  <c r="W20" i="3"/>
  <c r="V20" i="3"/>
  <c r="P20" i="3"/>
  <c r="L20" i="3"/>
  <c r="N20" i="3" s="1"/>
  <c r="K20" i="3"/>
  <c r="J20" i="3"/>
  <c r="U20" i="3" s="1"/>
  <c r="I20" i="3"/>
  <c r="G20" i="3"/>
  <c r="F20" i="3"/>
  <c r="S20" i="3" s="1"/>
  <c r="W19" i="3"/>
  <c r="V19" i="3"/>
  <c r="U19" i="3"/>
  <c r="P19" i="3"/>
  <c r="K19" i="3"/>
  <c r="J19" i="3"/>
  <c r="I19" i="3"/>
  <c r="G19" i="3"/>
  <c r="N19" i="3" s="1"/>
  <c r="F19" i="3"/>
  <c r="M19" i="3" s="1"/>
  <c r="W18" i="3"/>
  <c r="V18" i="3"/>
  <c r="S18" i="3"/>
  <c r="P18" i="3"/>
  <c r="L18" i="3"/>
  <c r="N18" i="3" s="1"/>
  <c r="I18" i="3"/>
  <c r="J18" i="3" s="1"/>
  <c r="G18" i="3"/>
  <c r="F18" i="3"/>
  <c r="W17" i="3"/>
  <c r="V17" i="3"/>
  <c r="S17" i="3"/>
  <c r="P17" i="3"/>
  <c r="N17" i="3"/>
  <c r="M17" i="3"/>
  <c r="L17" i="3"/>
  <c r="I17" i="3"/>
  <c r="J17" i="3" s="1"/>
  <c r="G17" i="3"/>
  <c r="F17" i="3"/>
  <c r="W16" i="3"/>
  <c r="V16" i="3"/>
  <c r="P16" i="3"/>
  <c r="N16" i="3"/>
  <c r="L16" i="3"/>
  <c r="J16" i="3"/>
  <c r="U16" i="3" s="1"/>
  <c r="I16" i="3"/>
  <c r="G16" i="3"/>
  <c r="F16" i="3"/>
  <c r="M16" i="3" s="1"/>
  <c r="W15" i="3"/>
  <c r="V15" i="3"/>
  <c r="P15" i="3"/>
  <c r="L15" i="3"/>
  <c r="N15" i="3" s="1"/>
  <c r="K15" i="3"/>
  <c r="J15" i="3"/>
  <c r="U15" i="3" s="1"/>
  <c r="I15" i="3"/>
  <c r="G15" i="3"/>
  <c r="F15" i="3"/>
  <c r="S15" i="3" s="1"/>
  <c r="W14" i="3"/>
  <c r="V14" i="3"/>
  <c r="S14" i="3"/>
  <c r="P14" i="3"/>
  <c r="L14" i="3"/>
  <c r="N14" i="3" s="1"/>
  <c r="I14" i="3"/>
  <c r="J14" i="3" s="1"/>
  <c r="G14" i="3"/>
  <c r="F14" i="3"/>
  <c r="W13" i="3"/>
  <c r="V13" i="3"/>
  <c r="S13" i="3"/>
  <c r="P13" i="3"/>
  <c r="N13" i="3"/>
  <c r="M13" i="3"/>
  <c r="L13" i="3"/>
  <c r="I13" i="3"/>
  <c r="J13" i="3" s="1"/>
  <c r="G13" i="3"/>
  <c r="F13" i="3"/>
  <c r="W12" i="3"/>
  <c r="V12" i="3"/>
  <c r="P12" i="3"/>
  <c r="N12" i="3"/>
  <c r="L12" i="3"/>
  <c r="J12" i="3"/>
  <c r="U12" i="3" s="1"/>
  <c r="I12" i="3"/>
  <c r="G12" i="3"/>
  <c r="F12" i="3"/>
  <c r="M12" i="3" s="1"/>
  <c r="W11" i="3"/>
  <c r="V11" i="3"/>
  <c r="P11" i="3"/>
  <c r="L11" i="3"/>
  <c r="N11" i="3" s="1"/>
  <c r="K11" i="3"/>
  <c r="J11" i="3"/>
  <c r="U11" i="3" s="1"/>
  <c r="I11" i="3"/>
  <c r="G11" i="3"/>
  <c r="F11" i="3"/>
  <c r="S11" i="3" s="1"/>
  <c r="W10" i="3"/>
  <c r="V10" i="3"/>
  <c r="S10" i="3"/>
  <c r="P10" i="3"/>
  <c r="L10" i="3"/>
  <c r="M10" i="3" s="1"/>
  <c r="I10" i="3"/>
  <c r="J10" i="3" s="1"/>
  <c r="G10" i="3"/>
  <c r="F10" i="3"/>
  <c r="W9" i="3"/>
  <c r="V9" i="3"/>
  <c r="S9" i="3"/>
  <c r="P9" i="3"/>
  <c r="N9" i="3"/>
  <c r="M9" i="3"/>
  <c r="L9" i="3"/>
  <c r="I9" i="3"/>
  <c r="J9" i="3" s="1"/>
  <c r="G9" i="3"/>
  <c r="F9" i="3"/>
  <c r="W8" i="3"/>
  <c r="V8" i="3"/>
  <c r="P8" i="3"/>
  <c r="N8" i="3"/>
  <c r="L8" i="3"/>
  <c r="J8" i="3"/>
  <c r="U8" i="3" s="1"/>
  <c r="I8" i="3"/>
  <c r="G8" i="3"/>
  <c r="F8" i="3"/>
  <c r="M8" i="3" s="1"/>
  <c r="W7" i="3"/>
  <c r="V7" i="3"/>
  <c r="S7" i="3"/>
  <c r="P7" i="3"/>
  <c r="L7" i="3"/>
  <c r="N7" i="3" s="1"/>
  <c r="H7" i="3"/>
  <c r="I7" i="3" s="1"/>
  <c r="J7" i="3" s="1"/>
  <c r="G7" i="3"/>
  <c r="F7" i="3"/>
  <c r="W6" i="3"/>
  <c r="V6" i="3"/>
  <c r="S6" i="3"/>
  <c r="P6" i="3"/>
  <c r="N6" i="3"/>
  <c r="M6" i="3"/>
  <c r="L6" i="3"/>
  <c r="I6" i="3"/>
  <c r="J6" i="3" s="1"/>
  <c r="G6" i="3"/>
  <c r="F6" i="3"/>
  <c r="W5" i="3"/>
  <c r="V5" i="3"/>
  <c r="P5" i="3"/>
  <c r="N5" i="3"/>
  <c r="L5" i="3"/>
  <c r="J5" i="3"/>
  <c r="U5" i="3" s="1"/>
  <c r="I5" i="3"/>
  <c r="G5" i="3"/>
  <c r="F5" i="3"/>
  <c r="M5" i="3" s="1"/>
  <c r="W4" i="3"/>
  <c r="V4" i="3"/>
  <c r="P4" i="3"/>
  <c r="P29" i="3" s="1"/>
  <c r="L4" i="3"/>
  <c r="N4" i="3" s="1"/>
  <c r="K4" i="3"/>
  <c r="J4" i="3"/>
  <c r="U4" i="3" s="1"/>
  <c r="I4" i="3"/>
  <c r="G4" i="3"/>
  <c r="F4" i="3"/>
  <c r="S4" i="3" s="1"/>
  <c r="W3" i="3"/>
  <c r="V3" i="3"/>
  <c r="S3" i="3"/>
  <c r="P3" i="3"/>
  <c r="L3" i="3"/>
  <c r="N3" i="3" s="1"/>
  <c r="I3" i="3"/>
  <c r="I29" i="3" s="1"/>
  <c r="G3" i="3"/>
  <c r="F3" i="3"/>
  <c r="F25" i="2"/>
  <c r="H25" i="2" s="1"/>
  <c r="H24" i="2"/>
  <c r="F24" i="2"/>
  <c r="F22" i="2"/>
  <c r="H22" i="2" s="1"/>
  <c r="H21" i="2"/>
  <c r="F21" i="2"/>
  <c r="F19" i="2"/>
  <c r="H19" i="2" s="1"/>
  <c r="H18" i="2"/>
  <c r="F18" i="2"/>
  <c r="H10" i="2"/>
  <c r="H11" i="2" s="1"/>
  <c r="F10" i="2"/>
  <c r="F23" i="1"/>
  <c r="E23" i="1"/>
  <c r="D23" i="1"/>
  <c r="C23" i="1"/>
  <c r="G23" i="1" s="1"/>
  <c r="F18" i="1"/>
  <c r="C18" i="1"/>
  <c r="D17" i="1"/>
  <c r="D18" i="1" s="1"/>
  <c r="G16" i="1"/>
  <c r="E16" i="1"/>
  <c r="D16" i="1"/>
  <c r="E15" i="1"/>
  <c r="G15" i="1" s="1"/>
  <c r="D15" i="1"/>
  <c r="K17" i="3" l="1"/>
  <c r="U17" i="3"/>
  <c r="K33" i="3"/>
  <c r="U33" i="3"/>
  <c r="U36" i="3"/>
  <c r="K36" i="3"/>
  <c r="K46" i="3"/>
  <c r="U46" i="3"/>
  <c r="K54" i="3"/>
  <c r="U54" i="3"/>
  <c r="K57" i="3"/>
  <c r="U57" i="3"/>
  <c r="U77" i="3"/>
  <c r="K77" i="3"/>
  <c r="K113" i="3"/>
  <c r="U113" i="3"/>
  <c r="K155" i="3"/>
  <c r="U155" i="3"/>
  <c r="K163" i="3"/>
  <c r="U163" i="3"/>
  <c r="K9" i="4"/>
  <c r="U9" i="4"/>
  <c r="U42" i="4"/>
  <c r="K42" i="4"/>
  <c r="U134" i="4"/>
  <c r="K134" i="4"/>
  <c r="H26" i="2"/>
  <c r="U6" i="3"/>
  <c r="K6" i="3"/>
  <c r="U22" i="3"/>
  <c r="K22" i="3"/>
  <c r="K26" i="3"/>
  <c r="U26" i="3"/>
  <c r="K50" i="3"/>
  <c r="U50" i="3"/>
  <c r="U51" i="3"/>
  <c r="K51" i="3"/>
  <c r="K53" i="3"/>
  <c r="U53" i="3"/>
  <c r="S68" i="3"/>
  <c r="U71" i="3"/>
  <c r="K71" i="3"/>
  <c r="K80" i="3"/>
  <c r="U80" i="3"/>
  <c r="U81" i="3"/>
  <c r="K81" i="3"/>
  <c r="U102" i="3"/>
  <c r="K102" i="3"/>
  <c r="K106" i="3"/>
  <c r="U106" i="3"/>
  <c r="U107" i="3"/>
  <c r="K107" i="3"/>
  <c r="K139" i="3"/>
  <c r="U139" i="3"/>
  <c r="K6" i="4"/>
  <c r="U6" i="4"/>
  <c r="K26" i="4"/>
  <c r="U26" i="4"/>
  <c r="K43" i="4"/>
  <c r="U43" i="4"/>
  <c r="U124" i="4"/>
  <c r="K124" i="4"/>
  <c r="K191" i="4"/>
  <c r="U191" i="4"/>
  <c r="U13" i="3"/>
  <c r="K13" i="3"/>
  <c r="U41" i="3"/>
  <c r="K41" i="3"/>
  <c r="K125" i="3"/>
  <c r="U125" i="3"/>
  <c r="K151" i="3"/>
  <c r="U151" i="3"/>
  <c r="K171" i="3"/>
  <c r="U171" i="3"/>
  <c r="L247" i="3"/>
  <c r="L245" i="3"/>
  <c r="L243" i="3"/>
  <c r="L241" i="3"/>
  <c r="L239" i="3"/>
  <c r="L246" i="3"/>
  <c r="L242" i="3"/>
  <c r="L244" i="3"/>
  <c r="L240" i="3"/>
  <c r="K85" i="5"/>
  <c r="K86" i="5" s="1"/>
  <c r="U85" i="5"/>
  <c r="K10" i="3"/>
  <c r="U10" i="3"/>
  <c r="K14" i="3"/>
  <c r="U14" i="3"/>
  <c r="K18" i="3"/>
  <c r="U18" i="3"/>
  <c r="K38" i="3"/>
  <c r="U38" i="3"/>
  <c r="S64" i="3"/>
  <c r="K66" i="3"/>
  <c r="U66" i="3"/>
  <c r="K67" i="3"/>
  <c r="U67" i="3"/>
  <c r="K117" i="3"/>
  <c r="U117" i="3"/>
  <c r="K131" i="3"/>
  <c r="U131" i="3"/>
  <c r="K135" i="3"/>
  <c r="U135" i="3"/>
  <c r="K143" i="3"/>
  <c r="U143" i="3"/>
  <c r="K167" i="3"/>
  <c r="U167" i="3"/>
  <c r="K181" i="3"/>
  <c r="U181" i="3"/>
  <c r="K17" i="4"/>
  <c r="U17" i="4"/>
  <c r="K113" i="4"/>
  <c r="U113" i="4"/>
  <c r="K121" i="4"/>
  <c r="U121" i="4"/>
  <c r="K9" i="3"/>
  <c r="U9" i="3"/>
  <c r="K37" i="3"/>
  <c r="U37" i="3"/>
  <c r="U47" i="3"/>
  <c r="K47" i="3"/>
  <c r="U49" i="3"/>
  <c r="K49" i="3"/>
  <c r="U55" i="3"/>
  <c r="K55" i="3"/>
  <c r="K76" i="3"/>
  <c r="U76" i="3"/>
  <c r="K79" i="3"/>
  <c r="U79" i="3"/>
  <c r="U105" i="3"/>
  <c r="K105" i="3"/>
  <c r="K121" i="3"/>
  <c r="U121" i="3"/>
  <c r="K159" i="3"/>
  <c r="U159" i="3"/>
  <c r="U50" i="4"/>
  <c r="K50" i="4"/>
  <c r="U7" i="3"/>
  <c r="K7" i="3"/>
  <c r="K23" i="3"/>
  <c r="U23" i="3"/>
  <c r="K27" i="3"/>
  <c r="U27" i="3"/>
  <c r="K42" i="3"/>
  <c r="U42" i="3"/>
  <c r="U43" i="3"/>
  <c r="K43" i="3"/>
  <c r="K45" i="3"/>
  <c r="U45" i="3"/>
  <c r="K60" i="3"/>
  <c r="U60" i="3"/>
  <c r="U61" i="3"/>
  <c r="K61" i="3"/>
  <c r="U86" i="3"/>
  <c r="K114" i="3"/>
  <c r="U114" i="3"/>
  <c r="K147" i="3"/>
  <c r="U147" i="3"/>
  <c r="K191" i="3"/>
  <c r="U191" i="3"/>
  <c r="S29" i="4"/>
  <c r="K13" i="4"/>
  <c r="U13" i="4"/>
  <c r="K22" i="4"/>
  <c r="U22" i="4"/>
  <c r="K67" i="4"/>
  <c r="U67" i="4"/>
  <c r="S108" i="4"/>
  <c r="K117" i="4"/>
  <c r="U117" i="4"/>
  <c r="R210" i="4"/>
  <c r="R219" i="4" s="1"/>
  <c r="P219" i="4"/>
  <c r="M130" i="3"/>
  <c r="U140" i="3"/>
  <c r="K142" i="3"/>
  <c r="K146" i="3"/>
  <c r="U152" i="3"/>
  <c r="M154" i="3"/>
  <c r="M160" i="3"/>
  <c r="N165" i="3"/>
  <c r="M165" i="3"/>
  <c r="P194" i="3"/>
  <c r="W194" i="3" s="1"/>
  <c r="R240" i="3"/>
  <c r="R248" i="3" s="1"/>
  <c r="N4" i="4"/>
  <c r="M4" i="4"/>
  <c r="M10" i="4"/>
  <c r="M12" i="4"/>
  <c r="M14" i="4"/>
  <c r="N24" i="4"/>
  <c r="M24" i="4"/>
  <c r="U27" i="4"/>
  <c r="S46" i="4"/>
  <c r="M46" i="4"/>
  <c r="K54" i="4"/>
  <c r="S60" i="4"/>
  <c r="S64" i="4" s="1"/>
  <c r="V60" i="4"/>
  <c r="M60" i="4"/>
  <c r="K60" i="4"/>
  <c r="W60" i="4"/>
  <c r="N72" i="4"/>
  <c r="M72" i="4"/>
  <c r="K77" i="4"/>
  <c r="U77" i="4"/>
  <c r="I82" i="4"/>
  <c r="V84" i="4"/>
  <c r="P84" i="4"/>
  <c r="N107" i="4"/>
  <c r="M107" i="4"/>
  <c r="U128" i="4"/>
  <c r="K128" i="4"/>
  <c r="U133" i="4"/>
  <c r="K133" i="4"/>
  <c r="N139" i="4"/>
  <c r="K140" i="4"/>
  <c r="K142" i="4"/>
  <c r="M143" i="4"/>
  <c r="N143" i="4"/>
  <c r="K149" i="4"/>
  <c r="U149" i="4"/>
  <c r="U152" i="4"/>
  <c r="V162" i="4"/>
  <c r="S162" i="4"/>
  <c r="P162" i="4"/>
  <c r="W162" i="4" s="1"/>
  <c r="N162" i="4"/>
  <c r="M162" i="4"/>
  <c r="K177" i="4"/>
  <c r="U177" i="4"/>
  <c r="U178" i="4"/>
  <c r="K178" i="4"/>
  <c r="N183" i="4"/>
  <c r="M183" i="4"/>
  <c r="U185" i="4"/>
  <c r="K185" i="4"/>
  <c r="M193" i="4"/>
  <c r="N193" i="4"/>
  <c r="U13" i="5"/>
  <c r="M22" i="5"/>
  <c r="K36" i="5"/>
  <c r="U36" i="5"/>
  <c r="M43" i="5"/>
  <c r="N43" i="5"/>
  <c r="U49" i="5"/>
  <c r="M50" i="5"/>
  <c r="N57" i="5"/>
  <c r="M57" i="5"/>
  <c r="U78" i="5"/>
  <c r="K78" i="5"/>
  <c r="K105" i="5"/>
  <c r="U105" i="5"/>
  <c r="R213" i="5"/>
  <c r="P219" i="5"/>
  <c r="S19" i="3"/>
  <c r="N149" i="3"/>
  <c r="M149" i="3"/>
  <c r="N153" i="3"/>
  <c r="M153" i="3"/>
  <c r="U156" i="3"/>
  <c r="V158" i="3"/>
  <c r="N177" i="3"/>
  <c r="M177" i="3"/>
  <c r="N183" i="3"/>
  <c r="M183" i="3"/>
  <c r="N194" i="3"/>
  <c r="M194" i="3"/>
  <c r="U10" i="4"/>
  <c r="U14" i="4"/>
  <c r="U18" i="4"/>
  <c r="U36" i="4"/>
  <c r="K36" i="4"/>
  <c r="S38" i="4"/>
  <c r="S58" i="4" s="1"/>
  <c r="M38" i="4"/>
  <c r="M40" i="4"/>
  <c r="K51" i="4"/>
  <c r="U51" i="4"/>
  <c r="U66" i="4"/>
  <c r="K66" i="4"/>
  <c r="K68" i="4" s="1"/>
  <c r="N71" i="4"/>
  <c r="M71" i="4"/>
  <c r="M73" i="4" s="1"/>
  <c r="S76" i="4"/>
  <c r="S82" i="4" s="1"/>
  <c r="M76" i="4"/>
  <c r="K107" i="4"/>
  <c r="U107" i="4"/>
  <c r="U112" i="4"/>
  <c r="K112" i="4"/>
  <c r="U116" i="4"/>
  <c r="K116" i="4"/>
  <c r="U120" i="4"/>
  <c r="K120" i="4"/>
  <c r="M123" i="4"/>
  <c r="N123" i="4"/>
  <c r="M131" i="4"/>
  <c r="N131" i="4"/>
  <c r="M135" i="4"/>
  <c r="N135" i="4"/>
  <c r="S143" i="4"/>
  <c r="P143" i="4"/>
  <c r="W143" i="4" s="1"/>
  <c r="S156" i="4"/>
  <c r="V156" i="4"/>
  <c r="M156" i="4"/>
  <c r="U166" i="4"/>
  <c r="K166" i="4"/>
  <c r="M175" i="4"/>
  <c r="N175" i="4"/>
  <c r="K183" i="4"/>
  <c r="U183" i="4"/>
  <c r="U188" i="4"/>
  <c r="K188" i="4"/>
  <c r="U193" i="4"/>
  <c r="K193" i="4"/>
  <c r="U194" i="4"/>
  <c r="K194" i="4"/>
  <c r="P249" i="4"/>
  <c r="M4" i="5"/>
  <c r="N4" i="5"/>
  <c r="S5" i="5"/>
  <c r="M5" i="5"/>
  <c r="U12" i="5"/>
  <c r="K12" i="5"/>
  <c r="N14" i="5"/>
  <c r="U14" i="5"/>
  <c r="U22" i="5"/>
  <c r="U25" i="5"/>
  <c r="K25" i="5"/>
  <c r="K31" i="5"/>
  <c r="U31" i="5"/>
  <c r="K37" i="5"/>
  <c r="U37" i="5"/>
  <c r="K44" i="5"/>
  <c r="U44" i="5"/>
  <c r="U48" i="5"/>
  <c r="K48" i="5"/>
  <c r="K53" i="5"/>
  <c r="U53" i="5"/>
  <c r="U57" i="5"/>
  <c r="I58" i="5"/>
  <c r="U60" i="5"/>
  <c r="K60" i="5"/>
  <c r="K64" i="5" s="1"/>
  <c r="I82" i="5"/>
  <c r="J75" i="5"/>
  <c r="N80" i="5"/>
  <c r="M80" i="5"/>
  <c r="I100" i="5"/>
  <c r="U102" i="5"/>
  <c r="M3" i="3"/>
  <c r="K5" i="3"/>
  <c r="K8" i="3"/>
  <c r="K12" i="3"/>
  <c r="M14" i="3"/>
  <c r="K16" i="3"/>
  <c r="M18" i="3"/>
  <c r="K21" i="3"/>
  <c r="M23" i="3"/>
  <c r="K25" i="3"/>
  <c r="M27" i="3"/>
  <c r="H29" i="3"/>
  <c r="K31" i="3"/>
  <c r="P31" i="3"/>
  <c r="J32" i="3"/>
  <c r="M33" i="3"/>
  <c r="M58" i="3" s="1"/>
  <c r="K35" i="3"/>
  <c r="P35" i="3"/>
  <c r="W35" i="3" s="1"/>
  <c r="M38" i="3"/>
  <c r="K40" i="3"/>
  <c r="M42" i="3"/>
  <c r="K44" i="3"/>
  <c r="M46" i="3"/>
  <c r="K48" i="3"/>
  <c r="M50" i="3"/>
  <c r="K52" i="3"/>
  <c r="M54" i="3"/>
  <c r="K56" i="3"/>
  <c r="M60" i="3"/>
  <c r="M64" i="3" s="1"/>
  <c r="K62" i="3"/>
  <c r="J63" i="3"/>
  <c r="M66" i="3"/>
  <c r="I68" i="3"/>
  <c r="M70" i="3"/>
  <c r="K72" i="3"/>
  <c r="J75" i="3"/>
  <c r="M76" i="3"/>
  <c r="M82" i="3" s="1"/>
  <c r="K78" i="3"/>
  <c r="M80" i="3"/>
  <c r="K84" i="3"/>
  <c r="K86" i="3" s="1"/>
  <c r="S84" i="3"/>
  <c r="S86" i="3" s="1"/>
  <c r="K85" i="3"/>
  <c r="J88" i="3"/>
  <c r="M102" i="3"/>
  <c r="J104" i="3"/>
  <c r="H108" i="3"/>
  <c r="N111" i="3"/>
  <c r="M112" i="3"/>
  <c r="M118" i="3"/>
  <c r="M120" i="3"/>
  <c r="N123" i="3"/>
  <c r="M123" i="3"/>
  <c r="U126" i="3"/>
  <c r="M128" i="3"/>
  <c r="M132" i="3"/>
  <c r="N133" i="3"/>
  <c r="M133" i="3"/>
  <c r="N137" i="3"/>
  <c r="M137" i="3"/>
  <c r="K138" i="3"/>
  <c r="U144" i="3"/>
  <c r="U148" i="3"/>
  <c r="K150" i="3"/>
  <c r="P153" i="3"/>
  <c r="W153" i="3" s="1"/>
  <c r="M156" i="3"/>
  <c r="M158" i="3"/>
  <c r="N161" i="3"/>
  <c r="M161" i="3"/>
  <c r="N169" i="3"/>
  <c r="M169" i="3"/>
  <c r="K174" i="3"/>
  <c r="I195" i="3"/>
  <c r="U176" i="3"/>
  <c r="K178" i="3"/>
  <c r="U182" i="3"/>
  <c r="K186" i="3"/>
  <c r="U193" i="3"/>
  <c r="H29" i="4"/>
  <c r="I7" i="4"/>
  <c r="J7" i="4" s="1"/>
  <c r="M8" i="4"/>
  <c r="M16" i="4"/>
  <c r="M18" i="4"/>
  <c r="N20" i="4"/>
  <c r="M20" i="4"/>
  <c r="U39" i="4"/>
  <c r="K44" i="4"/>
  <c r="M48" i="4"/>
  <c r="K61" i="4"/>
  <c r="U61" i="4"/>
  <c r="U64" i="4" s="1"/>
  <c r="I68" i="4"/>
  <c r="N84" i="4"/>
  <c r="M84" i="4"/>
  <c r="M86" i="4" s="1"/>
  <c r="N85" i="4"/>
  <c r="K102" i="4"/>
  <c r="U102" i="4"/>
  <c r="J105" i="4"/>
  <c r="N111" i="4"/>
  <c r="N115" i="4"/>
  <c r="N119" i="4"/>
  <c r="K125" i="4"/>
  <c r="U125" i="4"/>
  <c r="U126" i="4"/>
  <c r="K126" i="4"/>
  <c r="S140" i="4"/>
  <c r="M140" i="4"/>
  <c r="V140" i="4"/>
  <c r="N141" i="4"/>
  <c r="N147" i="4"/>
  <c r="S148" i="4"/>
  <c r="M148" i="4"/>
  <c r="K148" i="4"/>
  <c r="U172" i="4"/>
  <c r="E17" i="1"/>
  <c r="G17" i="1" s="1"/>
  <c r="G18" i="1" s="1"/>
  <c r="G24" i="1" s="1"/>
  <c r="E18" i="1"/>
  <c r="J3" i="3"/>
  <c r="M4" i="3"/>
  <c r="S5" i="3"/>
  <c r="S29" i="3" s="1"/>
  <c r="M7" i="3"/>
  <c r="S8" i="3"/>
  <c r="N10" i="3"/>
  <c r="M11" i="3"/>
  <c r="S12" i="3"/>
  <c r="M15" i="3"/>
  <c r="S16" i="3"/>
  <c r="M20" i="3"/>
  <c r="S21" i="3"/>
  <c r="M24" i="3"/>
  <c r="S25" i="3"/>
  <c r="M28" i="3"/>
  <c r="Q100" i="3"/>
  <c r="Q198" i="3" s="1"/>
  <c r="S31" i="3"/>
  <c r="M34" i="3"/>
  <c r="S35" i="3"/>
  <c r="M39" i="3"/>
  <c r="S40" i="3"/>
  <c r="P41" i="3"/>
  <c r="W41" i="3" s="1"/>
  <c r="M43" i="3"/>
  <c r="M47" i="3"/>
  <c r="M51" i="3"/>
  <c r="P53" i="3"/>
  <c r="W53" i="3" s="1"/>
  <c r="M55" i="3"/>
  <c r="M61" i="3"/>
  <c r="M67" i="3"/>
  <c r="M71" i="3"/>
  <c r="M77" i="3"/>
  <c r="M81" i="3"/>
  <c r="N102" i="3"/>
  <c r="K103" i="3"/>
  <c r="M110" i="3"/>
  <c r="M111" i="3"/>
  <c r="N112" i="3"/>
  <c r="K115" i="3"/>
  <c r="K116" i="3"/>
  <c r="K119" i="3"/>
  <c r="N122" i="3"/>
  <c r="U122" i="3"/>
  <c r="K124" i="3"/>
  <c r="K129" i="3"/>
  <c r="K134" i="3"/>
  <c r="N136" i="3"/>
  <c r="U136" i="3"/>
  <c r="P137" i="3"/>
  <c r="W137" i="3" s="1"/>
  <c r="M138" i="3"/>
  <c r="M140" i="3"/>
  <c r="U141" i="3"/>
  <c r="M142" i="3"/>
  <c r="M144" i="3"/>
  <c r="U145" i="3"/>
  <c r="M146" i="3"/>
  <c r="M148" i="3"/>
  <c r="U149" i="3"/>
  <c r="M150" i="3"/>
  <c r="M152" i="3"/>
  <c r="U153" i="3"/>
  <c r="S153" i="3"/>
  <c r="K157" i="3"/>
  <c r="K162" i="3"/>
  <c r="N164" i="3"/>
  <c r="U164" i="3"/>
  <c r="K166" i="3"/>
  <c r="N168" i="3"/>
  <c r="U168" i="3"/>
  <c r="K170" i="3"/>
  <c r="M174" i="3"/>
  <c r="J175" i="3"/>
  <c r="M176" i="3"/>
  <c r="U177" i="3"/>
  <c r="M178" i="3"/>
  <c r="M182" i="3"/>
  <c r="U183" i="3"/>
  <c r="M186" i="3"/>
  <c r="M192" i="3"/>
  <c r="M193" i="3"/>
  <c r="U194" i="3"/>
  <c r="S194" i="3"/>
  <c r="S195" i="3" s="1"/>
  <c r="M218" i="3"/>
  <c r="O233" i="3"/>
  <c r="O248" i="3"/>
  <c r="N3" i="4"/>
  <c r="U3" i="4"/>
  <c r="P29" i="4"/>
  <c r="K5" i="4"/>
  <c r="K11" i="4"/>
  <c r="K15" i="4"/>
  <c r="K19" i="4"/>
  <c r="K21" i="4"/>
  <c r="N23" i="4"/>
  <c r="U23" i="4"/>
  <c r="K25" i="4"/>
  <c r="N27" i="4"/>
  <c r="M32" i="4"/>
  <c r="N32" i="4"/>
  <c r="U33" i="4"/>
  <c r="U35" i="4"/>
  <c r="K35" i="4"/>
  <c r="K37" i="4"/>
  <c r="M39" i="4"/>
  <c r="N41" i="4"/>
  <c r="N47" i="4"/>
  <c r="U47" i="4"/>
  <c r="K52" i="4"/>
  <c r="S54" i="4"/>
  <c r="M54" i="4"/>
  <c r="M56" i="4"/>
  <c r="N61" i="4"/>
  <c r="M61" i="4"/>
  <c r="M63" i="4"/>
  <c r="N63" i="4"/>
  <c r="K70" i="4"/>
  <c r="U70" i="4"/>
  <c r="U73" i="4" s="1"/>
  <c r="U75" i="4"/>
  <c r="K75" i="4"/>
  <c r="K82" i="4" s="1"/>
  <c r="N77" i="4"/>
  <c r="M77" i="4"/>
  <c r="M79" i="4"/>
  <c r="N79" i="4"/>
  <c r="U80" i="4"/>
  <c r="S84" i="4"/>
  <c r="S86" i="4" s="1"/>
  <c r="S88" i="4"/>
  <c r="S89" i="4" s="1"/>
  <c r="M88" i="4"/>
  <c r="M89" i="4" s="1"/>
  <c r="K88" i="4"/>
  <c r="K89" i="4" s="1"/>
  <c r="K103" i="4"/>
  <c r="U103" i="4"/>
  <c r="N105" i="4"/>
  <c r="M105" i="4"/>
  <c r="J106" i="4"/>
  <c r="N114" i="4"/>
  <c r="N118" i="4"/>
  <c r="V122" i="4"/>
  <c r="P122" i="4"/>
  <c r="W122" i="4" s="1"/>
  <c r="S122" i="4"/>
  <c r="S173" i="4" s="1"/>
  <c r="S197" i="4" s="1"/>
  <c r="M122" i="4"/>
  <c r="M125" i="4"/>
  <c r="N125" i="4"/>
  <c r="N127" i="4"/>
  <c r="M127" i="4"/>
  <c r="M132" i="4"/>
  <c r="M133" i="4"/>
  <c r="N133" i="4"/>
  <c r="V143" i="4"/>
  <c r="U150" i="4"/>
  <c r="U155" i="4"/>
  <c r="K155" i="4"/>
  <c r="K160" i="4"/>
  <c r="K161" i="4"/>
  <c r="U161" i="4"/>
  <c r="U162" i="4"/>
  <c r="S168" i="4"/>
  <c r="M168" i="4"/>
  <c r="M177" i="4"/>
  <c r="N177" i="4"/>
  <c r="M184" i="4"/>
  <c r="S195" i="4"/>
  <c r="S196" i="4" s="1"/>
  <c r="M195" i="4"/>
  <c r="K195" i="4"/>
  <c r="R249" i="4"/>
  <c r="N3" i="5"/>
  <c r="M3" i="5"/>
  <c r="N13" i="5"/>
  <c r="M13" i="5"/>
  <c r="U16" i="5"/>
  <c r="K20" i="5"/>
  <c r="U21" i="5"/>
  <c r="K21" i="5"/>
  <c r="K26" i="5"/>
  <c r="U26" i="5"/>
  <c r="U27" i="5"/>
  <c r="K27" i="5"/>
  <c r="U28" i="5"/>
  <c r="K28" i="5"/>
  <c r="N42" i="5"/>
  <c r="M42" i="5"/>
  <c r="K45" i="5"/>
  <c r="U45" i="5"/>
  <c r="U54" i="5"/>
  <c r="K54" i="5"/>
  <c r="U63" i="5"/>
  <c r="I64" i="5"/>
  <c r="U66" i="5"/>
  <c r="U68" i="5" s="1"/>
  <c r="K66" i="5"/>
  <c r="K68" i="5" s="1"/>
  <c r="N76" i="5"/>
  <c r="M76" i="5"/>
  <c r="U76" i="5"/>
  <c r="M77" i="5"/>
  <c r="N77" i="5"/>
  <c r="U80" i="5"/>
  <c r="M81" i="5"/>
  <c r="N81" i="5"/>
  <c r="N88" i="5"/>
  <c r="U137" i="5"/>
  <c r="K137" i="5"/>
  <c r="K138" i="5"/>
  <c r="U138" i="5"/>
  <c r="U118" i="3"/>
  <c r="V120" i="3"/>
  <c r="V198" i="3" s="1"/>
  <c r="U128" i="3"/>
  <c r="N141" i="3"/>
  <c r="M141" i="3"/>
  <c r="N145" i="3"/>
  <c r="M145" i="3"/>
  <c r="V154" i="3"/>
  <c r="J70" i="3"/>
  <c r="M103" i="3"/>
  <c r="M105" i="3"/>
  <c r="M107" i="3"/>
  <c r="J110" i="3"/>
  <c r="I111" i="3"/>
  <c r="J111" i="3" s="1"/>
  <c r="U112" i="3"/>
  <c r="P113" i="3"/>
  <c r="W113" i="3" s="1"/>
  <c r="N115" i="3"/>
  <c r="M116" i="3"/>
  <c r="N119" i="3"/>
  <c r="M119" i="3"/>
  <c r="P120" i="3"/>
  <c r="W120" i="3" s="1"/>
  <c r="M122" i="3"/>
  <c r="U123" i="3"/>
  <c r="M124" i="3"/>
  <c r="N127" i="3"/>
  <c r="U127" i="3"/>
  <c r="N129" i="3"/>
  <c r="M129" i="3"/>
  <c r="U132" i="3"/>
  <c r="U133" i="3"/>
  <c r="M134" i="3"/>
  <c r="M136" i="3"/>
  <c r="U137" i="3"/>
  <c r="S137" i="3"/>
  <c r="S172" i="3" s="1"/>
  <c r="S196" i="3" s="1"/>
  <c r="K141" i="3"/>
  <c r="K145" i="3"/>
  <c r="K149" i="3"/>
  <c r="K153" i="3"/>
  <c r="P154" i="3"/>
  <c r="W154" i="3" s="1"/>
  <c r="N157" i="3"/>
  <c r="M157" i="3"/>
  <c r="P158" i="3"/>
  <c r="W158" i="3" s="1"/>
  <c r="U160" i="3"/>
  <c r="U161" i="3"/>
  <c r="M162" i="3"/>
  <c r="M164" i="3"/>
  <c r="U165" i="3"/>
  <c r="M166" i="3"/>
  <c r="M168" i="3"/>
  <c r="U169" i="3"/>
  <c r="M170" i="3"/>
  <c r="K177" i="3"/>
  <c r="K183" i="3"/>
  <c r="U192" i="3"/>
  <c r="K194" i="3"/>
  <c r="P218" i="3"/>
  <c r="R210" i="3"/>
  <c r="R218" i="3" s="1"/>
  <c r="L233" i="3"/>
  <c r="L235" i="3" s="1"/>
  <c r="P233" i="3"/>
  <c r="R224" i="3"/>
  <c r="R233" i="3" s="1"/>
  <c r="K255" i="3"/>
  <c r="L255" i="3" s="1"/>
  <c r="I257" i="3" s="1"/>
  <c r="M3" i="4"/>
  <c r="U4" i="4"/>
  <c r="M5" i="4"/>
  <c r="N7" i="4"/>
  <c r="M7" i="4"/>
  <c r="N11" i="4"/>
  <c r="M11" i="4"/>
  <c r="N15" i="4"/>
  <c r="M15" i="4"/>
  <c r="U20" i="4"/>
  <c r="M21" i="4"/>
  <c r="M23" i="4"/>
  <c r="U24" i="4"/>
  <c r="M25" i="4"/>
  <c r="M27" i="4"/>
  <c r="I29" i="4"/>
  <c r="N31" i="4"/>
  <c r="M31" i="4"/>
  <c r="K38" i="4"/>
  <c r="N40" i="4"/>
  <c r="K45" i="4"/>
  <c r="M47" i="4"/>
  <c r="U48" i="4"/>
  <c r="N49" i="4"/>
  <c r="N55" i="4"/>
  <c r="U55" i="4"/>
  <c r="N62" i="4"/>
  <c r="M62" i="4"/>
  <c r="K71" i="4"/>
  <c r="U71" i="4"/>
  <c r="N78" i="4"/>
  <c r="M78" i="4"/>
  <c r="N103" i="4"/>
  <c r="M103" i="4"/>
  <c r="J104" i="4"/>
  <c r="H173" i="4"/>
  <c r="I111" i="4"/>
  <c r="M114" i="4"/>
  <c r="M173" i="4" s="1"/>
  <c r="M118" i="4"/>
  <c r="U123" i="4"/>
  <c r="K123" i="4"/>
  <c r="S130" i="4"/>
  <c r="M130" i="4"/>
  <c r="U131" i="4"/>
  <c r="K131" i="4"/>
  <c r="K135" i="4"/>
  <c r="U135" i="4"/>
  <c r="S136" i="4"/>
  <c r="M136" i="4"/>
  <c r="K141" i="4"/>
  <c r="U141" i="4"/>
  <c r="S144" i="4"/>
  <c r="M144" i="4"/>
  <c r="N149" i="4"/>
  <c r="P156" i="4"/>
  <c r="W156" i="4" s="1"/>
  <c r="S160" i="4"/>
  <c r="M160" i="4"/>
  <c r="U165" i="4"/>
  <c r="U175" i="4"/>
  <c r="K175" i="4"/>
  <c r="U176" i="4"/>
  <c r="K176" i="4"/>
  <c r="U180" i="4"/>
  <c r="K180" i="4"/>
  <c r="N6" i="5"/>
  <c r="U6" i="5"/>
  <c r="M6" i="5"/>
  <c r="M7" i="5"/>
  <c r="U11" i="5"/>
  <c r="K11" i="5"/>
  <c r="M26" i="5"/>
  <c r="N26" i="5"/>
  <c r="N27" i="5"/>
  <c r="M27" i="5"/>
  <c r="U34" i="5"/>
  <c r="K34" i="5"/>
  <c r="U40" i="5"/>
  <c r="K40" i="5"/>
  <c r="U50" i="5"/>
  <c r="K52" i="5"/>
  <c r="U52" i="5"/>
  <c r="N63" i="5"/>
  <c r="M63" i="5"/>
  <c r="P82" i="5"/>
  <c r="N114" i="5"/>
  <c r="M114" i="5"/>
  <c r="N115" i="5"/>
  <c r="M115" i="5"/>
  <c r="K117" i="5"/>
  <c r="U117" i="5"/>
  <c r="U126" i="5"/>
  <c r="U129" i="5"/>
  <c r="K129" i="5"/>
  <c r="U131" i="5"/>
  <c r="K131" i="5"/>
  <c r="N132" i="5"/>
  <c r="M132" i="5"/>
  <c r="P117" i="3"/>
  <c r="W117" i="3" s="1"/>
  <c r="P121" i="3"/>
  <c r="W121" i="3" s="1"/>
  <c r="V199" i="4"/>
  <c r="M37" i="4"/>
  <c r="U41" i="4"/>
  <c r="M45" i="4"/>
  <c r="U49" i="4"/>
  <c r="M53" i="4"/>
  <c r="U57" i="4"/>
  <c r="U85" i="4"/>
  <c r="M104" i="4"/>
  <c r="M108" i="4" s="1"/>
  <c r="M106" i="4"/>
  <c r="U115" i="4"/>
  <c r="U119" i="4"/>
  <c r="P120" i="4"/>
  <c r="W120" i="4" s="1"/>
  <c r="U132" i="4"/>
  <c r="N138" i="4"/>
  <c r="N142" i="4"/>
  <c r="M142" i="4"/>
  <c r="N146" i="4"/>
  <c r="N150" i="4"/>
  <c r="M150" i="4"/>
  <c r="V158" i="4"/>
  <c r="P158" i="4"/>
  <c r="W158" i="4" s="1"/>
  <c r="U159" i="4"/>
  <c r="K159" i="4"/>
  <c r="M163" i="4"/>
  <c r="U170" i="4"/>
  <c r="M171" i="4"/>
  <c r="M179" i="4"/>
  <c r="N179" i="4"/>
  <c r="S12" i="5"/>
  <c r="M12" i="5"/>
  <c r="M20" i="5"/>
  <c r="N20" i="5"/>
  <c r="N23" i="5"/>
  <c r="U24" i="5"/>
  <c r="K24" i="5"/>
  <c r="P58" i="5"/>
  <c r="U41" i="5"/>
  <c r="N49" i="5"/>
  <c r="M49" i="5"/>
  <c r="S68" i="5"/>
  <c r="S78" i="5"/>
  <c r="S82" i="5" s="1"/>
  <c r="M78" i="5"/>
  <c r="K79" i="5"/>
  <c r="U79" i="5"/>
  <c r="U106" i="5"/>
  <c r="K113" i="5"/>
  <c r="U113" i="5"/>
  <c r="N119" i="5"/>
  <c r="M119" i="5"/>
  <c r="K121" i="5"/>
  <c r="U121" i="5"/>
  <c r="K127" i="5"/>
  <c r="U127" i="5"/>
  <c r="U143" i="5"/>
  <c r="N144" i="5"/>
  <c r="M144" i="5"/>
  <c r="I58" i="4"/>
  <c r="J31" i="4"/>
  <c r="U32" i="4"/>
  <c r="N35" i="4"/>
  <c r="M36" i="4"/>
  <c r="N37" i="4"/>
  <c r="K41" i="4"/>
  <c r="M44" i="4"/>
  <c r="N45" i="4"/>
  <c r="K49" i="4"/>
  <c r="M52" i="4"/>
  <c r="N53" i="4"/>
  <c r="K57" i="4"/>
  <c r="U63" i="4"/>
  <c r="S73" i="4"/>
  <c r="M75" i="4"/>
  <c r="U79" i="4"/>
  <c r="I86" i="4"/>
  <c r="J84" i="4"/>
  <c r="K85" i="4"/>
  <c r="N104" i="4"/>
  <c r="N106" i="4"/>
  <c r="K115" i="4"/>
  <c r="K119" i="4"/>
  <c r="K122" i="4"/>
  <c r="N132" i="4"/>
  <c r="M138" i="4"/>
  <c r="U139" i="4"/>
  <c r="K139" i="4"/>
  <c r="U143" i="4"/>
  <c r="M146" i="4"/>
  <c r="U147" i="4"/>
  <c r="K147" i="4"/>
  <c r="P150" i="4"/>
  <c r="W150" i="4" s="1"/>
  <c r="M151" i="4"/>
  <c r="K154" i="4"/>
  <c r="N157" i="4"/>
  <c r="U157" i="4"/>
  <c r="M158" i="4"/>
  <c r="N163" i="4"/>
  <c r="N169" i="4"/>
  <c r="U169" i="4"/>
  <c r="M170" i="4"/>
  <c r="N171" i="4"/>
  <c r="P196" i="4"/>
  <c r="N178" i="4"/>
  <c r="M178" i="4"/>
  <c r="U184" i="4"/>
  <c r="N185" i="4"/>
  <c r="N191" i="4"/>
  <c r="O219" i="4"/>
  <c r="K256" i="4"/>
  <c r="L256" i="4" s="1"/>
  <c r="I258" i="4" s="1"/>
  <c r="I29" i="5"/>
  <c r="J3" i="5"/>
  <c r="K5" i="5"/>
  <c r="U7" i="5"/>
  <c r="K7" i="5"/>
  <c r="U17" i="5"/>
  <c r="M23" i="5"/>
  <c r="M24" i="5"/>
  <c r="N24" i="5"/>
  <c r="S35" i="5"/>
  <c r="S58" i="5" s="1"/>
  <c r="M35" i="5"/>
  <c r="K35" i="5"/>
  <c r="M36" i="5"/>
  <c r="N41" i="5"/>
  <c r="M41" i="5"/>
  <c r="K46" i="5"/>
  <c r="U56" i="5"/>
  <c r="K56" i="5"/>
  <c r="U62" i="5"/>
  <c r="K62" i="5"/>
  <c r="S72" i="5"/>
  <c r="S73" i="5" s="1"/>
  <c r="M72" i="5"/>
  <c r="U84" i="5"/>
  <c r="U86" i="5" s="1"/>
  <c r="I86" i="5"/>
  <c r="I104" i="5"/>
  <c r="S105" i="5"/>
  <c r="S108" i="5" s="1"/>
  <c r="M105" i="5"/>
  <c r="M108" i="5" s="1"/>
  <c r="M106" i="5"/>
  <c r="U122" i="5"/>
  <c r="S166" i="5"/>
  <c r="M166" i="5"/>
  <c r="K171" i="5"/>
  <c r="U171" i="5"/>
  <c r="U177" i="5"/>
  <c r="K177" i="5"/>
  <c r="U179" i="5"/>
  <c r="N128" i="4"/>
  <c r="M129" i="4"/>
  <c r="U151" i="4"/>
  <c r="N154" i="4"/>
  <c r="M155" i="4"/>
  <c r="U163" i="4"/>
  <c r="N166" i="4"/>
  <c r="M167" i="4"/>
  <c r="U171" i="4"/>
  <c r="M194" i="4"/>
  <c r="P29" i="5"/>
  <c r="P100" i="5" s="1"/>
  <c r="W199" i="5"/>
  <c r="U4" i="5"/>
  <c r="U23" i="5"/>
  <c r="M28" i="5"/>
  <c r="N28" i="5"/>
  <c r="S40" i="5"/>
  <c r="M40" i="5"/>
  <c r="S48" i="5"/>
  <c r="M48" i="5"/>
  <c r="S56" i="5"/>
  <c r="M56" i="5"/>
  <c r="S62" i="5"/>
  <c r="S64" i="5" s="1"/>
  <c r="M62" i="5"/>
  <c r="U70" i="5"/>
  <c r="U73" i="5" s="1"/>
  <c r="K70" i="5"/>
  <c r="K73" i="5" s="1"/>
  <c r="U77" i="5"/>
  <c r="K77" i="5"/>
  <c r="U81" i="5"/>
  <c r="U103" i="5"/>
  <c r="K103" i="5"/>
  <c r="N111" i="5"/>
  <c r="M111" i="5"/>
  <c r="U118" i="5"/>
  <c r="N122" i="5"/>
  <c r="M122" i="5"/>
  <c r="U124" i="5"/>
  <c r="K124" i="5"/>
  <c r="U135" i="5"/>
  <c r="K135" i="5"/>
  <c r="M141" i="5"/>
  <c r="S141" i="5"/>
  <c r="K142" i="5"/>
  <c r="U142" i="5"/>
  <c r="S158" i="5"/>
  <c r="M158" i="5"/>
  <c r="I196" i="5"/>
  <c r="J175" i="5"/>
  <c r="N179" i="5"/>
  <c r="M179" i="5"/>
  <c r="U184" i="5"/>
  <c r="K184" i="5"/>
  <c r="U149" i="5"/>
  <c r="K149" i="5"/>
  <c r="K185" i="5"/>
  <c r="U185" i="5"/>
  <c r="N249" i="4"/>
  <c r="N10" i="5"/>
  <c r="M11" i="5"/>
  <c r="U15" i="5"/>
  <c r="N18" i="5"/>
  <c r="N33" i="5"/>
  <c r="M34" i="5"/>
  <c r="M58" i="5" s="1"/>
  <c r="N38" i="5"/>
  <c r="M39" i="5"/>
  <c r="U43" i="5"/>
  <c r="N46" i="5"/>
  <c r="M47" i="5"/>
  <c r="U51" i="5"/>
  <c r="N54" i="5"/>
  <c r="M55" i="5"/>
  <c r="N60" i="5"/>
  <c r="M61" i="5"/>
  <c r="M64" i="5" s="1"/>
  <c r="N66" i="5"/>
  <c r="M67" i="5"/>
  <c r="M68" i="5" s="1"/>
  <c r="M71" i="5"/>
  <c r="U114" i="5"/>
  <c r="N118" i="5"/>
  <c r="M118" i="5"/>
  <c r="N123" i="5"/>
  <c r="M123" i="5"/>
  <c r="K125" i="5"/>
  <c r="U125" i="5"/>
  <c r="N143" i="5"/>
  <c r="M143" i="5"/>
  <c r="K154" i="5"/>
  <c r="U154" i="5"/>
  <c r="M183" i="5"/>
  <c r="N183" i="5"/>
  <c r="U188" i="5"/>
  <c r="N191" i="5"/>
  <c r="M191" i="5"/>
  <c r="N234" i="5"/>
  <c r="O234" i="5"/>
  <c r="H173" i="5"/>
  <c r="I111" i="5"/>
  <c r="M112" i="5"/>
  <c r="U115" i="5"/>
  <c r="M116" i="5"/>
  <c r="U119" i="5"/>
  <c r="M120" i="5"/>
  <c r="U123" i="5"/>
  <c r="M124" i="5"/>
  <c r="N127" i="5"/>
  <c r="U130" i="5"/>
  <c r="K130" i="5"/>
  <c r="N133" i="5"/>
  <c r="N136" i="5"/>
  <c r="M136" i="5"/>
  <c r="K151" i="5"/>
  <c r="U151" i="5"/>
  <c r="U156" i="5"/>
  <c r="K156" i="5"/>
  <c r="K159" i="5"/>
  <c r="U159" i="5"/>
  <c r="K162" i="5"/>
  <c r="U162" i="5"/>
  <c r="S178" i="5"/>
  <c r="S196" i="5" s="1"/>
  <c r="M178" i="5"/>
  <c r="N188" i="5"/>
  <c r="M188" i="5"/>
  <c r="V199" i="5"/>
  <c r="P108" i="5"/>
  <c r="N104" i="5"/>
  <c r="K115" i="5"/>
  <c r="K119" i="5"/>
  <c r="K123" i="5"/>
  <c r="M127" i="5"/>
  <c r="U128" i="5"/>
  <c r="M133" i="5"/>
  <c r="U145" i="5"/>
  <c r="K145" i="5"/>
  <c r="U148" i="5"/>
  <c r="K148" i="5"/>
  <c r="N151" i="5"/>
  <c r="M151" i="5"/>
  <c r="M153" i="5"/>
  <c r="N153" i="5"/>
  <c r="N168" i="5"/>
  <c r="M168" i="5"/>
  <c r="U168" i="5"/>
  <c r="M180" i="5"/>
  <c r="O219" i="5"/>
  <c r="U134" i="5"/>
  <c r="M137" i="5"/>
  <c r="S137" i="5"/>
  <c r="S173" i="5" s="1"/>
  <c r="S197" i="5" s="1"/>
  <c r="M145" i="5"/>
  <c r="S145" i="5"/>
  <c r="N152" i="5"/>
  <c r="M152" i="5"/>
  <c r="U157" i="5"/>
  <c r="K157" i="5"/>
  <c r="N159" i="5"/>
  <c r="M159" i="5"/>
  <c r="M161" i="5"/>
  <c r="N161" i="5"/>
  <c r="U164" i="5"/>
  <c r="K164" i="5"/>
  <c r="K167" i="5"/>
  <c r="U167" i="5"/>
  <c r="M219" i="5"/>
  <c r="L234" i="5"/>
  <c r="L236" i="5" s="1"/>
  <c r="P234" i="5"/>
  <c r="R225" i="5"/>
  <c r="R234" i="5" s="1"/>
  <c r="N129" i="5"/>
  <c r="M130" i="5"/>
  <c r="N131" i="5"/>
  <c r="K134" i="5"/>
  <c r="U136" i="5"/>
  <c r="N139" i="5"/>
  <c r="U139" i="5"/>
  <c r="N140" i="5"/>
  <c r="M140" i="5"/>
  <c r="U144" i="5"/>
  <c r="U147" i="5"/>
  <c r="S150" i="5"/>
  <c r="M150" i="5"/>
  <c r="K150" i="5"/>
  <c r="N160" i="5"/>
  <c r="M160" i="5"/>
  <c r="U165" i="5"/>
  <c r="K165" i="5"/>
  <c r="N167" i="5"/>
  <c r="M167" i="5"/>
  <c r="M169" i="5"/>
  <c r="N169" i="5"/>
  <c r="U170" i="5"/>
  <c r="U172" i="5"/>
  <c r="K172" i="5"/>
  <c r="M196" i="5"/>
  <c r="K178" i="5"/>
  <c r="N180" i="5"/>
  <c r="U193" i="5"/>
  <c r="K193" i="5"/>
  <c r="N219" i="5"/>
  <c r="M177" i="5"/>
  <c r="U183" i="5"/>
  <c r="M234" i="5"/>
  <c r="P249" i="5"/>
  <c r="R240" i="5"/>
  <c r="R249" i="5" s="1"/>
  <c r="N148" i="5"/>
  <c r="U153" i="5"/>
  <c r="N156" i="5"/>
  <c r="U161" i="5"/>
  <c r="N164" i="5"/>
  <c r="U169" i="5"/>
  <c r="N172" i="5"/>
  <c r="M176" i="5"/>
  <c r="N177" i="5"/>
  <c r="K183" i="5"/>
  <c r="U191" i="5"/>
  <c r="N195" i="5"/>
  <c r="U195" i="5"/>
  <c r="R219" i="5"/>
  <c r="M249" i="5"/>
  <c r="U31" i="4" l="1"/>
  <c r="U58" i="4" s="1"/>
  <c r="K31" i="4"/>
  <c r="K58" i="4" s="1"/>
  <c r="I173" i="4"/>
  <c r="I197" i="4" s="1"/>
  <c r="J111" i="4"/>
  <c r="M29" i="4"/>
  <c r="J104" i="5"/>
  <c r="I108" i="5"/>
  <c r="K196" i="4"/>
  <c r="K110" i="3"/>
  <c r="U110" i="3"/>
  <c r="U70" i="3"/>
  <c r="U73" i="3" s="1"/>
  <c r="K70" i="3"/>
  <c r="K73" i="3" s="1"/>
  <c r="K73" i="4"/>
  <c r="U7" i="4"/>
  <c r="U29" i="4" s="1"/>
  <c r="U100" i="4" s="1"/>
  <c r="K7" i="4"/>
  <c r="K29" i="4" s="1"/>
  <c r="K100" i="4" s="1"/>
  <c r="M108" i="3"/>
  <c r="U75" i="3"/>
  <c r="U82" i="3" s="1"/>
  <c r="K75" i="3"/>
  <c r="K82" i="3" s="1"/>
  <c r="M68" i="3"/>
  <c r="I100" i="3"/>
  <c r="H100" i="3"/>
  <c r="K75" i="5"/>
  <c r="K82" i="5" s="1"/>
  <c r="U75" i="5"/>
  <c r="U82" i="5" s="1"/>
  <c r="U64" i="5"/>
  <c r="U58" i="5"/>
  <c r="L218" i="5"/>
  <c r="L216" i="5"/>
  <c r="L214" i="5"/>
  <c r="L212" i="5"/>
  <c r="L210" i="5"/>
  <c r="L217" i="5"/>
  <c r="L211" i="5"/>
  <c r="L215" i="5"/>
  <c r="L213" i="5"/>
  <c r="I172" i="3"/>
  <c r="I196" i="3" s="1"/>
  <c r="U64" i="3"/>
  <c r="L248" i="3"/>
  <c r="L250" i="3" s="1"/>
  <c r="U3" i="5"/>
  <c r="U29" i="5" s="1"/>
  <c r="K3" i="5"/>
  <c r="K29" i="5" s="1"/>
  <c r="S58" i="3"/>
  <c r="S100" i="3" s="1"/>
  <c r="S198" i="3" s="1"/>
  <c r="K104" i="3"/>
  <c r="U104" i="3"/>
  <c r="M29" i="3"/>
  <c r="M196" i="4"/>
  <c r="M197" i="4" s="1"/>
  <c r="M64" i="4"/>
  <c r="U108" i="3"/>
  <c r="L246" i="5"/>
  <c r="L243" i="5"/>
  <c r="L247" i="5"/>
  <c r="L244" i="5"/>
  <c r="L242" i="5"/>
  <c r="L240" i="5"/>
  <c r="L245" i="5"/>
  <c r="L241" i="5"/>
  <c r="L248" i="5"/>
  <c r="M173" i="5"/>
  <c r="M197" i="5" s="1"/>
  <c r="M82" i="4"/>
  <c r="P173" i="4"/>
  <c r="P197" i="4" s="1"/>
  <c r="U196" i="4"/>
  <c r="U104" i="4"/>
  <c r="U108" i="4" s="1"/>
  <c r="K104" i="4"/>
  <c r="L211" i="3"/>
  <c r="L209" i="3"/>
  <c r="L216" i="3"/>
  <c r="L214" i="3"/>
  <c r="L212" i="3"/>
  <c r="L210" i="3"/>
  <c r="L215" i="3"/>
  <c r="L217" i="3"/>
  <c r="L213" i="3"/>
  <c r="K175" i="3"/>
  <c r="K195" i="3" s="1"/>
  <c r="U175" i="3"/>
  <c r="U195" i="3" s="1"/>
  <c r="M172" i="3"/>
  <c r="I100" i="4"/>
  <c r="I199" i="4" s="1"/>
  <c r="H100" i="4"/>
  <c r="K88" i="3"/>
  <c r="K89" i="3" s="1"/>
  <c r="U88" i="3"/>
  <c r="U89" i="3" s="1"/>
  <c r="K63" i="3"/>
  <c r="K64" i="3" s="1"/>
  <c r="U63" i="3"/>
  <c r="U32" i="3"/>
  <c r="U58" i="3" s="1"/>
  <c r="K32" i="3"/>
  <c r="K58" i="3" s="1"/>
  <c r="I199" i="5"/>
  <c r="K58" i="5"/>
  <c r="L248" i="4"/>
  <c r="L245" i="4"/>
  <c r="L242" i="4"/>
  <c r="L244" i="4"/>
  <c r="L246" i="4"/>
  <c r="L241" i="4"/>
  <c r="L247" i="4"/>
  <c r="L240" i="4"/>
  <c r="L243" i="4"/>
  <c r="L217" i="4"/>
  <c r="L215" i="4"/>
  <c r="L213" i="4"/>
  <c r="L211" i="4"/>
  <c r="L216" i="4"/>
  <c r="L218" i="4"/>
  <c r="L214" i="4"/>
  <c r="L210" i="4"/>
  <c r="L212" i="4"/>
  <c r="S100" i="4"/>
  <c r="S199" i="4" s="1"/>
  <c r="U68" i="3"/>
  <c r="K111" i="3"/>
  <c r="U111" i="3"/>
  <c r="K3" i="3"/>
  <c r="K29" i="3" s="1"/>
  <c r="U3" i="3"/>
  <c r="U29" i="3" s="1"/>
  <c r="K105" i="4"/>
  <c r="K108" i="4" s="1"/>
  <c r="U105" i="4"/>
  <c r="I173" i="5"/>
  <c r="I197" i="5" s="1"/>
  <c r="J111" i="5"/>
  <c r="M73" i="5"/>
  <c r="K175" i="5"/>
  <c r="K196" i="5" s="1"/>
  <c r="U175" i="5"/>
  <c r="U196" i="5" s="1"/>
  <c r="P199" i="5"/>
  <c r="U84" i="4"/>
  <c r="U86" i="4" s="1"/>
  <c r="K84" i="4"/>
  <c r="K86" i="4" s="1"/>
  <c r="M58" i="4"/>
  <c r="M82" i="5"/>
  <c r="M29" i="5"/>
  <c r="M100" i="5" s="1"/>
  <c r="M199" i="5" s="1"/>
  <c r="U106" i="4"/>
  <c r="K106" i="4"/>
  <c r="U82" i="4"/>
  <c r="M195" i="3"/>
  <c r="M73" i="3"/>
  <c r="P58" i="3"/>
  <c r="P100" i="3" s="1"/>
  <c r="W31" i="3"/>
  <c r="W198" i="3" s="1"/>
  <c r="S29" i="5"/>
  <c r="S100" i="5" s="1"/>
  <c r="S199" i="5" s="1"/>
  <c r="U68" i="4"/>
  <c r="P172" i="3"/>
  <c r="W84" i="4"/>
  <c r="W199" i="4" s="1"/>
  <c r="P86" i="4"/>
  <c r="P100" i="4" s="1"/>
  <c r="P199" i="4" s="1"/>
  <c r="K64" i="4"/>
  <c r="P195" i="3"/>
  <c r="K68" i="3"/>
  <c r="K108" i="3"/>
  <c r="S240" i="5" l="1"/>
  <c r="L249" i="5"/>
  <c r="L251" i="5" s="1"/>
  <c r="U111" i="5"/>
  <c r="U173" i="5" s="1"/>
  <c r="U197" i="5" s="1"/>
  <c r="K111" i="5"/>
  <c r="K173" i="5" s="1"/>
  <c r="K197" i="5" s="1"/>
  <c r="L218" i="3"/>
  <c r="L220" i="3" s="1"/>
  <c r="M100" i="3"/>
  <c r="M198" i="3" s="1"/>
  <c r="K100" i="5"/>
  <c r="I198" i="3"/>
  <c r="U111" i="4"/>
  <c r="U173" i="4" s="1"/>
  <c r="U197" i="4" s="1"/>
  <c r="U199" i="4" s="1"/>
  <c r="K111" i="4"/>
  <c r="K173" i="4" s="1"/>
  <c r="K197" i="4" s="1"/>
  <c r="P196" i="3"/>
  <c r="P198" i="3" s="1"/>
  <c r="U100" i="3"/>
  <c r="L219" i="4"/>
  <c r="L221" i="4" s="1"/>
  <c r="M196" i="3"/>
  <c r="U100" i="5"/>
  <c r="L219" i="5"/>
  <c r="L221" i="5" s="1"/>
  <c r="U172" i="3"/>
  <c r="U196" i="3" s="1"/>
  <c r="U104" i="5"/>
  <c r="U108" i="5" s="1"/>
  <c r="K104" i="5"/>
  <c r="K108" i="5" s="1"/>
  <c r="K100" i="3"/>
  <c r="S240" i="4"/>
  <c r="L249" i="4"/>
  <c r="L251" i="4" s="1"/>
  <c r="K172" i="3"/>
  <c r="K196" i="3" s="1"/>
  <c r="M100" i="4"/>
  <c r="M199" i="4" s="1"/>
  <c r="U198" i="3" l="1"/>
  <c r="U19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88" authorId="0" shapeId="0" xr:uid="{00000000-0006-0000-0200-000001000000}">
      <text>
        <r>
          <rPr>
            <sz val="11"/>
            <color theme="1"/>
            <rFont val="Calibri"/>
            <scheme val="minor"/>
          </rPr>
          <t>Не 1,1667, чтоб не менять ценник
======</t>
        </r>
      </text>
    </comment>
    <comment ref="L124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ID#AAABu4DqJoM
Kartex Wood    (2025-12-29 14:09:09)
20 – двадцать штук не досчитались.</t>
        </r>
      </text>
    </comment>
    <comment ref="L129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ID#AAABu2in5Q4
Kartex Wood    (2025-12-23 10:42:15)
Перевёл 9 шт. в погонные метры, чтоб торговать по метру. Из 9 вышло 36 метров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r/lKaj07Hc+rDh45JVRgdCn67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60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ID#AAAB0DoradA
Kartex Wood    (2026-02-10 08:34:16)
Купил Влад</t>
        </r>
      </text>
    </comment>
    <comment ref="I88" authorId="0" shapeId="0" xr:uid="{00000000-0006-0000-0300-000001000000}">
      <text>
        <r>
          <rPr>
            <sz val="11"/>
            <color theme="1"/>
            <rFont val="Calibri"/>
            <scheme val="minor"/>
          </rPr>
          <t>Не 1,1667, чтоб не менять ценник
======</t>
        </r>
      </text>
    </comment>
    <comment ref="I110" authorId="0" shapeId="0" xr:uid="{00000000-0006-0000-0300-000002000000}">
      <text>
        <r>
          <rPr>
            <sz val="11"/>
            <color theme="1"/>
            <rFont val="Calibri"/>
            <scheme val="minor"/>
          </rPr>
          <t>Не 1,1667, чтоб не менять ценник
======</t>
        </r>
      </text>
    </comment>
    <comment ref="L117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ID#AAAB0BpSF_s
Kartex Wood    (2026-02-09 11:43:30)
38 шт передали Meža Dimzas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W1piRtqywOOZ4ObZolX9swIBEn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88" authorId="0" shapeId="0" xr:uid="{00000000-0006-0000-0400-000001000000}">
      <text>
        <r>
          <rPr>
            <sz val="11"/>
            <color theme="1"/>
            <rFont val="Calibri"/>
            <scheme val="minor"/>
          </rPr>
          <t>Не 1,1667, чтоб не менять ценник
======</t>
        </r>
      </text>
    </comment>
    <comment ref="I110" authorId="0" shapeId="0" xr:uid="{00000000-0006-0000-0400-000002000000}">
      <text>
        <r>
          <rPr>
            <sz val="11"/>
            <color theme="1"/>
            <rFont val="Calibri"/>
            <scheme val="minor"/>
          </rPr>
          <t>Не 1,1667, чтоб не менять ценник
======</t>
        </r>
      </text>
    </comment>
  </commentList>
</comments>
</file>

<file path=xl/sharedStrings.xml><?xml version="1.0" encoding="utf-8"?>
<sst xmlns="http://schemas.openxmlformats.org/spreadsheetml/2006/main" count="633" uniqueCount="119">
  <si>
    <t>Piegāde</t>
  </si>
  <si>
    <t xml:space="preserve">Nissan </t>
  </si>
  <si>
    <t>Расход (l/100 km)</t>
  </si>
  <si>
    <t>Тариф (€/km)</t>
  </si>
  <si>
    <t>Топливо (€)</t>
  </si>
  <si>
    <t>Decembris</t>
  </si>
  <si>
    <t>Datums</t>
  </si>
  <si>
    <t>Attālums</t>
  </si>
  <si>
    <t>Patērēts</t>
  </si>
  <si>
    <t>Saņemts (€)</t>
  </si>
  <si>
    <t>Kopā
(S-P)</t>
  </si>
  <si>
    <t>Litri</t>
  </si>
  <si>
    <t>€</t>
  </si>
  <si>
    <t>Kopā</t>
  </si>
  <si>
    <t>Izdevumi</t>
  </si>
  <si>
    <t>Degviela</t>
  </si>
  <si>
    <t>Ceļa nodeva</t>
  </si>
  <si>
    <t>Vinjete</t>
  </si>
  <si>
    <t>Apdrošināšana</t>
  </si>
  <si>
    <t>Kopå</t>
  </si>
  <si>
    <t>KartexWood → Virši</t>
  </si>
  <si>
    <t>Janvāris</t>
  </si>
  <si>
    <t>KVALITĀTE</t>
  </si>
  <si>
    <t>AUGSTUMS (m)</t>
  </si>
  <si>
    <t>PLATUMS (m)</t>
  </si>
  <si>
    <t>GARUMS (m)</t>
  </si>
  <si>
    <t>Cena m3</t>
  </si>
  <si>
    <t>Cena 1 gb</t>
  </si>
  <si>
    <t>NODOTS (gb.)</t>
  </si>
  <si>
    <t>NODOTS (€)</t>
  </si>
  <si>
    <t>Mala 15 mm</t>
  </si>
  <si>
    <t>KOPĀ VISS</t>
  </si>
  <si>
    <t>Februāris</t>
  </si>
  <si>
    <t>xx.11.2025</t>
  </si>
  <si>
    <t xml:space="preserve"> </t>
  </si>
  <si>
    <t>BIEZUMS (m)</t>
  </si>
  <si>
    <t>m3 (1 gb)</t>
  </si>
  <si>
    <t>m2(1gb)</t>
  </si>
  <si>
    <t>IEPIRKUMA CENA</t>
  </si>
  <si>
    <t>Cena m2</t>
  </si>
  <si>
    <t>DAUDZUMS (gb.)</t>
  </si>
  <si>
    <t>Kopā m3</t>
  </si>
  <si>
    <t>Kopa m2</t>
  </si>
  <si>
    <t>PĀRDOTS (gb.)</t>
  </si>
  <si>
    <t>PĀRDOTS (m3)</t>
  </si>
  <si>
    <t>PĀRDOTS (€)</t>
  </si>
  <si>
    <t>SAŅEMAM (gb.)</t>
  </si>
  <si>
    <t>SAŅEMAM (m3)</t>
  </si>
  <si>
    <t>IEPRIEKŠĒJAIS ATLIKUMS (gb.)</t>
  </si>
  <si>
    <t>ATLIKUMS (€)</t>
  </si>
  <si>
    <t>KARTEX</t>
  </si>
  <si>
    <t>TERASES DĒĻI</t>
  </si>
  <si>
    <t>Impregnēta</t>
  </si>
  <si>
    <t>Sibīrijas lapegle</t>
  </si>
  <si>
    <t>BC</t>
  </si>
  <si>
    <t>ABC</t>
  </si>
  <si>
    <t>KOPĀ</t>
  </si>
  <si>
    <t>APDARES DĒĻI</t>
  </si>
  <si>
    <t>Mala 10 mm</t>
  </si>
  <si>
    <t>Mala 20 mm</t>
  </si>
  <si>
    <t>Mala 5 mm</t>
  </si>
  <si>
    <t>Bez rievas</t>
  </si>
  <si>
    <t>Ar rievu</t>
  </si>
  <si>
    <t>Blockhaus</t>
  </si>
  <si>
    <t>ŽOGA DĒĻI</t>
  </si>
  <si>
    <t>GRĪDAS DĒĻI</t>
  </si>
  <si>
    <t>KOKMATERIĀLI</t>
  </si>
  <si>
    <t>Finieris</t>
  </si>
  <si>
    <t>PIRTS</t>
  </si>
  <si>
    <t>Alksnis</t>
  </si>
  <si>
    <t>Apse</t>
  </si>
  <si>
    <t>KARKASS</t>
  </si>
  <si>
    <t>Koka brusis</t>
  </si>
  <si>
    <t>LĪSTE</t>
  </si>
  <si>
    <t>Līste</t>
  </si>
  <si>
    <t>DAŽĀDAS PRECES</t>
  </si>
  <si>
    <t>Puķu kaste "Double"</t>
  </si>
  <si>
    <t>Puķu kaste “Kāpnes”</t>
  </si>
  <si>
    <t>Puķu kaste “Single”</t>
  </si>
  <si>
    <t>Puķu kaste “Trio”</t>
  </si>
  <si>
    <t>Soliņš 2 "Zebrēns"</t>
  </si>
  <si>
    <t>Soliņš 3 "Lapsene"</t>
  </si>
  <si>
    <t>Soliņš 4 "Ronēns"</t>
  </si>
  <si>
    <t>Stādāmā kaste</t>
  </si>
  <si>
    <t>KOPĀ KARTEX</t>
  </si>
  <si>
    <t>RONDI</t>
  </si>
  <si>
    <t>C24</t>
  </si>
  <si>
    <t>Impregnēta egle</t>
  </si>
  <si>
    <t>Zviedrijas</t>
  </si>
  <si>
    <t>Zviedrijas (gabals)</t>
  </si>
  <si>
    <t>KOPĀ RONDI</t>
  </si>
  <si>
    <t>BUVNIEKS</t>
  </si>
  <si>
    <t>NEĒVELĒTI</t>
  </si>
  <si>
    <t>Impregnēta līste</t>
  </si>
  <si>
    <t>Bērzs</t>
  </si>
  <si>
    <t>Impregnēts</t>
  </si>
  <si>
    <t>China</t>
  </si>
  <si>
    <t>2 šķira Impregnēts</t>
  </si>
  <si>
    <t>2. šķira</t>
  </si>
  <si>
    <t>Žoga mieti</t>
  </si>
  <si>
    <t>Pusbaļķis</t>
  </si>
  <si>
    <t>Malka</t>
  </si>
  <si>
    <t>ĒVELĒTI</t>
  </si>
  <si>
    <t>Rondi</t>
  </si>
  <si>
    <t>Rondi (gabals)</t>
  </si>
  <si>
    <t>Kartex</t>
  </si>
  <si>
    <t>KOPĀ BUVNIEKS</t>
  </si>
  <si>
    <t>Dēļi (gb)</t>
  </si>
  <si>
    <t>Iepakojums</t>
  </si>
  <si>
    <t>Sk.</t>
  </si>
  <si>
    <t>Cena</t>
  </si>
  <si>
    <t>Tilpums м³</t>
  </si>
  <si>
    <t>Svars kg</t>
  </si>
  <si>
    <t>Piegade</t>
  </si>
  <si>
    <t>Dēļi (м³)</t>
  </si>
  <si>
    <t>Kopa</t>
  </si>
  <si>
    <t>m3</t>
  </si>
  <si>
    <t>gb</t>
  </si>
  <si>
    <t>Līste (Kartex)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</si>
</sst>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.m\.yyyy"/>
    <numFmt numFmtId="165" formatCode="0.000"/>
    <numFmt numFmtId="166" formatCode="d\.m\.yy"/>
    <numFmt numFmtId="167" formatCode="dd\.mm\.yyyy"/>
    <numFmt numFmtId="168" formatCode="0.0000"/>
  </numFmts>
  <fonts count="37" x14ac:knownFonts="1">
    <font>
      <sz val="11"/>
      <color theme="1"/>
      <name val="Calibri"/>
      <scheme val="minor"/>
    </font>
    <font>
      <b/>
      <sz val="8"/>
      <color rgb="FF000000"/>
      <name val="Times New Roman"/>
      <family val="1"/>
    </font>
    <font>
      <b/>
      <sz val="8"/>
      <color rgb="FF974806"/>
      <name val="Times New Roman"/>
      <family val="1"/>
    </font>
    <font>
      <b/>
      <sz val="20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974806"/>
      <name val="Times New Roman"/>
      <family val="1"/>
    </font>
    <font>
      <sz val="12"/>
      <color rgb="FF974806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974806"/>
      <name val="Times New Roman"/>
      <family val="1"/>
    </font>
    <font>
      <sz val="11"/>
      <color rgb="FF974806"/>
      <name val="Times New Roman"/>
      <family val="1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5E00"/>
      <name val="Times New Roman"/>
      <family val="1"/>
    </font>
    <font>
      <sz val="10"/>
      <color rgb="FF000000"/>
      <name val="Times New Roman"/>
      <family val="1"/>
    </font>
    <font>
      <b/>
      <sz val="10"/>
      <color rgb="FF974806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974806"/>
      <name val="Times New Roman"/>
      <family val="1"/>
    </font>
    <font>
      <b/>
      <sz val="8"/>
      <color rgb="FF38761D"/>
      <name val="Times New Roman"/>
      <family val="1"/>
    </font>
    <font>
      <b/>
      <sz val="11"/>
      <color rgb="FF38761D"/>
      <name val="Times New Roman"/>
      <family val="1"/>
    </font>
    <font>
      <sz val="11"/>
      <color rgb="FFB7B7B7"/>
      <name val="Times New Roman"/>
      <family val="1"/>
    </font>
    <font>
      <sz val="11"/>
      <color rgb="FF38761D"/>
      <name val="Times New Roman"/>
      <family val="1"/>
    </font>
    <font>
      <sz val="11"/>
      <color rgb="FFB7B7B7"/>
      <name val="Times New Roman"/>
      <family val="1"/>
    </font>
    <font>
      <sz val="10"/>
      <color rgb="FF38761D"/>
      <name val="Times New Roman"/>
      <family val="1"/>
    </font>
    <font>
      <sz val="10"/>
      <color rgb="FF974806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38761D"/>
      <name val="Times New Roman"/>
      <family val="1"/>
    </font>
    <font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52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2CC"/>
      </right>
      <top/>
      <bottom style="thin">
        <color rgb="FF000000"/>
      </bottom>
      <diagonal/>
    </border>
    <border>
      <left style="thin">
        <color rgb="FFFFF2CC"/>
      </left>
      <right style="thin">
        <color rgb="FFFFF2CC"/>
      </right>
      <top/>
      <bottom style="thin">
        <color rgb="FF000000"/>
      </bottom>
      <diagonal/>
    </border>
    <border>
      <left style="thin">
        <color rgb="FFFFF2C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7">
    <xf numFmtId="0" fontId="0" fillId="0" borderId="0" xfId="0"/>
    <xf numFmtId="2" fontId="1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/>
    </xf>
    <xf numFmtId="2" fontId="5" fillId="0" borderId="0" xfId="0" applyNumberFormat="1" applyFont="1"/>
    <xf numFmtId="2" fontId="6" fillId="0" borderId="0" xfId="0" applyNumberFormat="1" applyFont="1"/>
    <xf numFmtId="1" fontId="7" fillId="0" borderId="0" xfId="0" applyNumberFormat="1" applyFont="1"/>
    <xf numFmtId="4" fontId="8" fillId="0" borderId="0" xfId="0" applyNumberFormat="1" applyFont="1"/>
    <xf numFmtId="2" fontId="9" fillId="0" borderId="0" xfId="0" applyNumberFormat="1" applyFont="1"/>
    <xf numFmtId="2" fontId="6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top" wrapText="1"/>
    </xf>
    <xf numFmtId="1" fontId="7" fillId="0" borderId="0" xfId="0" applyNumberFormat="1" applyFont="1" applyAlignment="1">
      <alignment horizontal="center" vertical="top" wrapText="1"/>
    </xf>
    <xf numFmtId="4" fontId="7" fillId="0" borderId="0" xfId="0" applyNumberFormat="1" applyFont="1" applyAlignment="1">
      <alignment horizontal="center" vertical="top" wrapText="1"/>
    </xf>
    <xf numFmtId="2" fontId="12" fillId="0" borderId="11" xfId="0" applyNumberFormat="1" applyFont="1" applyBorder="1" applyAlignment="1">
      <alignment horizontal="center" vertical="center" wrapText="1"/>
    </xf>
    <xf numFmtId="2" fontId="13" fillId="0" borderId="0" xfId="0" applyNumberFormat="1" applyFont="1"/>
    <xf numFmtId="164" fontId="11" fillId="0" borderId="13" xfId="0" applyNumberFormat="1" applyFont="1" applyBorder="1" applyAlignment="1">
      <alignment horizontal="left" vertical="center"/>
    </xf>
    <xf numFmtId="1" fontId="11" fillId="0" borderId="11" xfId="0" applyNumberFormat="1" applyFont="1" applyBorder="1"/>
    <xf numFmtId="2" fontId="11" fillId="0" borderId="11" xfId="0" applyNumberFormat="1" applyFont="1" applyBorder="1" applyAlignment="1">
      <alignment horizontal="center"/>
    </xf>
    <xf numFmtId="2" fontId="9" fillId="0" borderId="14" xfId="0" applyNumberFormat="1" applyFont="1" applyBorder="1"/>
    <xf numFmtId="2" fontId="11" fillId="0" borderId="13" xfId="0" applyNumberFormat="1" applyFont="1" applyBorder="1"/>
    <xf numFmtId="2" fontId="11" fillId="0" borderId="15" xfId="0" applyNumberFormat="1" applyFont="1" applyBorder="1"/>
    <xf numFmtId="1" fontId="11" fillId="0" borderId="16" xfId="0" applyNumberFormat="1" applyFont="1" applyBorder="1"/>
    <xf numFmtId="2" fontId="11" fillId="0" borderId="16" xfId="0" applyNumberFormat="1" applyFont="1" applyBorder="1" applyAlignment="1">
      <alignment horizontal="center"/>
    </xf>
    <xf numFmtId="2" fontId="9" fillId="0" borderId="17" xfId="0" applyNumberFormat="1" applyFont="1" applyBorder="1"/>
    <xf numFmtId="0" fontId="12" fillId="2" borderId="19" xfId="0" applyFont="1" applyFill="1" applyBorder="1" applyAlignment="1">
      <alignment horizontal="center"/>
    </xf>
    <xf numFmtId="1" fontId="12" fillId="2" borderId="19" xfId="0" applyNumberFormat="1" applyFont="1" applyFill="1" applyBorder="1" applyAlignment="1">
      <alignment horizontal="center"/>
    </xf>
    <xf numFmtId="2" fontId="12" fillId="2" borderId="19" xfId="0" applyNumberFormat="1" applyFont="1" applyFill="1" applyBorder="1" applyAlignment="1">
      <alignment horizontal="center"/>
    </xf>
    <xf numFmtId="2" fontId="12" fillId="2" borderId="20" xfId="0" applyNumberFormat="1" applyFont="1" applyFill="1" applyBorder="1" applyAlignment="1">
      <alignment horizontal="center"/>
    </xf>
    <xf numFmtId="2" fontId="9" fillId="0" borderId="21" xfId="0" applyNumberFormat="1" applyFont="1" applyBorder="1"/>
    <xf numFmtId="2" fontId="12" fillId="0" borderId="11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6" fontId="11" fillId="0" borderId="13" xfId="0" applyNumberFormat="1" applyFont="1" applyBorder="1" applyAlignment="1">
      <alignment horizontal="left"/>
    </xf>
    <xf numFmtId="2" fontId="11" fillId="0" borderId="11" xfId="0" applyNumberFormat="1" applyFont="1" applyBorder="1"/>
    <xf numFmtId="165" fontId="11" fillId="0" borderId="11" xfId="0" applyNumberFormat="1" applyFont="1" applyBorder="1" applyAlignment="1">
      <alignment horizontal="center"/>
    </xf>
    <xf numFmtId="2" fontId="11" fillId="0" borderId="15" xfId="0" applyNumberFormat="1" applyFont="1" applyBorder="1" applyAlignment="1">
      <alignment horizontal="left"/>
    </xf>
    <xf numFmtId="2" fontId="11" fillId="0" borderId="16" xfId="0" applyNumberFormat="1" applyFont="1" applyBorder="1"/>
    <xf numFmtId="0" fontId="12" fillId="3" borderId="3" xfId="0" applyFont="1" applyFill="1" applyBorder="1" applyAlignment="1">
      <alignment horizontal="center"/>
    </xf>
    <xf numFmtId="165" fontId="11" fillId="3" borderId="4" xfId="0" applyNumberFormat="1" applyFont="1" applyFill="1" applyBorder="1" applyAlignment="1">
      <alignment horizontal="right"/>
    </xf>
    <xf numFmtId="2" fontId="13" fillId="3" borderId="7" xfId="0" applyNumberFormat="1" applyFont="1" applyFill="1" applyBorder="1"/>
    <xf numFmtId="2" fontId="13" fillId="4" borderId="25" xfId="0" applyNumberFormat="1" applyFont="1" applyFill="1" applyBorder="1" applyAlignment="1">
      <alignment horizontal="center" vertical="center"/>
    </xf>
    <xf numFmtId="1" fontId="14" fillId="0" borderId="0" xfId="0" applyNumberFormat="1" applyFont="1"/>
    <xf numFmtId="4" fontId="15" fillId="0" borderId="0" xfId="0" applyNumberFormat="1" applyFont="1"/>
    <xf numFmtId="2" fontId="16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2" fontId="1" fillId="0" borderId="25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4" fontId="2" fillId="0" borderId="25" xfId="0" applyNumberFormat="1" applyFont="1" applyBorder="1" applyAlignment="1">
      <alignment horizontal="center" vertical="center" wrapText="1"/>
    </xf>
    <xf numFmtId="167" fontId="13" fillId="2" borderId="26" xfId="0" applyNumberFormat="1" applyFont="1" applyFill="1" applyBorder="1" applyAlignment="1">
      <alignment horizontal="center"/>
    </xf>
    <xf numFmtId="167" fontId="13" fillId="2" borderId="27" xfId="0" applyNumberFormat="1" applyFont="1" applyFill="1" applyBorder="1" applyAlignment="1">
      <alignment horizontal="center"/>
    </xf>
    <xf numFmtId="167" fontId="13" fillId="2" borderId="28" xfId="0" applyNumberFormat="1" applyFont="1" applyFill="1" applyBorder="1" applyAlignment="1">
      <alignment horizontal="center"/>
    </xf>
    <xf numFmtId="2" fontId="18" fillId="0" borderId="11" xfId="0" applyNumberFormat="1" applyFont="1" applyBorder="1"/>
    <xf numFmtId="165" fontId="18" fillId="0" borderId="11" xfId="0" applyNumberFormat="1" applyFont="1" applyBorder="1"/>
    <xf numFmtId="165" fontId="18" fillId="0" borderId="11" xfId="0" applyNumberFormat="1" applyFont="1" applyBorder="1" applyAlignment="1">
      <alignment horizontal="center"/>
    </xf>
    <xf numFmtId="2" fontId="18" fillId="0" borderId="11" xfId="0" applyNumberFormat="1" applyFont="1" applyBorder="1" applyAlignment="1">
      <alignment horizontal="center"/>
    </xf>
    <xf numFmtId="2" fontId="19" fillId="0" borderId="10" xfId="0" applyNumberFormat="1" applyFont="1" applyBorder="1" applyAlignment="1">
      <alignment horizontal="right"/>
    </xf>
    <xf numFmtId="1" fontId="14" fillId="0" borderId="11" xfId="0" applyNumberFormat="1" applyFont="1" applyBorder="1"/>
    <xf numFmtId="4" fontId="14" fillId="0" borderId="10" xfId="0" applyNumberFormat="1" applyFont="1" applyBorder="1"/>
    <xf numFmtId="2" fontId="17" fillId="5" borderId="25" xfId="0" applyNumberFormat="1" applyFont="1" applyFill="1" applyBorder="1" applyAlignment="1">
      <alignment horizontal="right"/>
    </xf>
    <xf numFmtId="2" fontId="20" fillId="5" borderId="25" xfId="0" applyNumberFormat="1" applyFont="1" applyFill="1" applyBorder="1" applyAlignment="1">
      <alignment horizontal="right"/>
    </xf>
    <xf numFmtId="2" fontId="17" fillId="5" borderId="25" xfId="0" applyNumberFormat="1" applyFont="1" applyFill="1" applyBorder="1" applyAlignment="1">
      <alignment horizontal="center" wrapText="1"/>
    </xf>
    <xf numFmtId="1" fontId="21" fillId="5" borderId="25" xfId="0" applyNumberFormat="1" applyFont="1" applyFill="1" applyBorder="1"/>
    <xf numFmtId="2" fontId="21" fillId="5" borderId="25" xfId="0" applyNumberFormat="1" applyFont="1" applyFill="1" applyBorder="1" applyAlignment="1">
      <alignment horizontal="center" wrapText="1"/>
    </xf>
    <xf numFmtId="2" fontId="9" fillId="0" borderId="0" xfId="0" applyNumberFormat="1" applyFont="1" applyAlignment="1">
      <alignment vertical="top"/>
    </xf>
    <xf numFmtId="1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2" fontId="23" fillId="0" borderId="25" xfId="0" applyNumberFormat="1" applyFont="1" applyBorder="1" applyAlignment="1">
      <alignment horizontal="center" vertical="center" wrapText="1"/>
    </xf>
    <xf numFmtId="167" fontId="24" fillId="2" borderId="26" xfId="0" applyNumberFormat="1" applyFont="1" applyFill="1" applyBorder="1" applyAlignment="1">
      <alignment horizontal="center"/>
    </xf>
    <xf numFmtId="167" fontId="9" fillId="2" borderId="27" xfId="0" applyNumberFormat="1" applyFont="1" applyFill="1" applyBorder="1"/>
    <xf numFmtId="167" fontId="9" fillId="2" borderId="28" xfId="0" applyNumberFormat="1" applyFont="1" applyFill="1" applyBorder="1"/>
    <xf numFmtId="167" fontId="9" fillId="0" borderId="11" xfId="0" applyNumberFormat="1" applyFont="1" applyBorder="1"/>
    <xf numFmtId="1" fontId="14" fillId="0" borderId="11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9" fillId="0" borderId="11" xfId="0" applyNumberFormat="1" applyFont="1" applyBorder="1"/>
    <xf numFmtId="165" fontId="9" fillId="0" borderId="10" xfId="0" applyNumberFormat="1" applyFont="1" applyBorder="1" applyAlignment="1">
      <alignment horizontal="right"/>
    </xf>
    <xf numFmtId="165" fontId="9" fillId="0" borderId="10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19" fillId="0" borderId="11" xfId="0" applyNumberFormat="1" applyFont="1" applyBorder="1" applyAlignment="1">
      <alignment horizontal="right"/>
    </xf>
    <xf numFmtId="0" fontId="24" fillId="2" borderId="26" xfId="0" applyFont="1" applyFill="1" applyBorder="1" applyAlignment="1">
      <alignment horizontal="center"/>
    </xf>
    <xf numFmtId="165" fontId="9" fillId="0" borderId="10" xfId="0" applyNumberFormat="1" applyFont="1" applyBorder="1"/>
    <xf numFmtId="2" fontId="9" fillId="0" borderId="10" xfId="0" applyNumberFormat="1" applyFont="1" applyBorder="1"/>
    <xf numFmtId="1" fontId="9" fillId="0" borderId="11" xfId="0" applyNumberFormat="1" applyFont="1" applyBorder="1"/>
    <xf numFmtId="2" fontId="9" fillId="0" borderId="29" xfId="0" applyNumberFormat="1" applyFont="1" applyBorder="1"/>
    <xf numFmtId="165" fontId="9" fillId="0" borderId="30" xfId="0" applyNumberFormat="1" applyFont="1" applyBorder="1"/>
    <xf numFmtId="2" fontId="9" fillId="0" borderId="30" xfId="0" applyNumberFormat="1" applyFont="1" applyBorder="1"/>
    <xf numFmtId="2" fontId="19" fillId="0" borderId="30" xfId="0" applyNumberFormat="1" applyFont="1" applyBorder="1" applyAlignment="1">
      <alignment horizontal="right"/>
    </xf>
    <xf numFmtId="1" fontId="9" fillId="0" borderId="29" xfId="0" applyNumberFormat="1" applyFont="1" applyBorder="1"/>
    <xf numFmtId="4" fontId="14" fillId="0" borderId="30" xfId="0" applyNumberFormat="1" applyFont="1" applyBorder="1" applyAlignment="1">
      <alignment horizontal="right"/>
    </xf>
    <xf numFmtId="2" fontId="22" fillId="5" borderId="25" xfId="0" applyNumberFormat="1" applyFont="1" applyFill="1" applyBorder="1" applyAlignment="1">
      <alignment horizontal="right"/>
    </xf>
    <xf numFmtId="2" fontId="9" fillId="5" borderId="25" xfId="0" applyNumberFormat="1" applyFont="1" applyFill="1" applyBorder="1"/>
    <xf numFmtId="1" fontId="9" fillId="5" borderId="25" xfId="0" applyNumberFormat="1" applyFont="1" applyFill="1" applyBorder="1"/>
    <xf numFmtId="2" fontId="25" fillId="5" borderId="25" xfId="0" applyNumberFormat="1" applyFont="1" applyFill="1" applyBorder="1" applyAlignment="1">
      <alignment horizontal="center" wrapText="1"/>
    </xf>
    <xf numFmtId="2" fontId="1" fillId="0" borderId="31" xfId="0" applyNumberFormat="1" applyFont="1" applyBorder="1" applyAlignment="1">
      <alignment horizontal="center" vertical="center" wrapText="1"/>
    </xf>
    <xf numFmtId="2" fontId="1" fillId="0" borderId="24" xfId="0" applyNumberFormat="1" applyFont="1" applyBorder="1" applyAlignment="1">
      <alignment horizontal="center" vertical="center" wrapText="1"/>
    </xf>
    <xf numFmtId="168" fontId="1" fillId="0" borderId="25" xfId="0" applyNumberFormat="1" applyFont="1" applyBorder="1" applyAlignment="1">
      <alignment horizontal="center" vertical="center"/>
    </xf>
    <xf numFmtId="2" fontId="26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4" fontId="1" fillId="0" borderId="25" xfId="0" applyNumberFormat="1" applyFont="1" applyBorder="1" applyAlignment="1">
      <alignment horizontal="center" vertical="center" wrapText="1"/>
    </xf>
    <xf numFmtId="2" fontId="13" fillId="7" borderId="10" xfId="0" applyNumberFormat="1" applyFont="1" applyFill="1" applyBorder="1" applyAlignment="1">
      <alignment horizontal="left"/>
    </xf>
    <xf numFmtId="2" fontId="27" fillId="7" borderId="10" xfId="0" applyNumberFormat="1" applyFont="1" applyFill="1" applyBorder="1" applyAlignment="1">
      <alignment horizontal="left"/>
    </xf>
    <xf numFmtId="2" fontId="14" fillId="7" borderId="10" xfId="0" applyNumberFormat="1" applyFont="1" applyFill="1" applyBorder="1" applyAlignment="1">
      <alignment horizontal="left"/>
    </xf>
    <xf numFmtId="2" fontId="18" fillId="7" borderId="33" xfId="0" applyNumberFormat="1" applyFont="1" applyFill="1" applyBorder="1" applyAlignment="1">
      <alignment horizontal="left"/>
    </xf>
    <xf numFmtId="1" fontId="14" fillId="7" borderId="9" xfId="0" applyNumberFormat="1" applyFont="1" applyFill="1" applyBorder="1" applyAlignment="1">
      <alignment horizontal="left"/>
    </xf>
    <xf numFmtId="4" fontId="14" fillId="7" borderId="12" xfId="0" applyNumberFormat="1" applyFont="1" applyFill="1" applyBorder="1" applyAlignment="1">
      <alignment horizontal="left"/>
    </xf>
    <xf numFmtId="1" fontId="13" fillId="7" borderId="34" xfId="0" applyNumberFormat="1" applyFont="1" applyFill="1" applyBorder="1" applyAlignment="1">
      <alignment horizontal="left"/>
    </xf>
    <xf numFmtId="4" fontId="13" fillId="7" borderId="12" xfId="0" applyNumberFormat="1" applyFont="1" applyFill="1" applyBorder="1" applyAlignment="1">
      <alignment horizontal="left"/>
    </xf>
    <xf numFmtId="2" fontId="18" fillId="0" borderId="11" xfId="0" applyNumberFormat="1" applyFont="1" applyBorder="1" applyAlignment="1">
      <alignment vertical="center"/>
    </xf>
    <xf numFmtId="165" fontId="18" fillId="0" borderId="11" xfId="0" applyNumberFormat="1" applyFont="1" applyBorder="1" applyAlignment="1">
      <alignment vertical="center"/>
    </xf>
    <xf numFmtId="165" fontId="9" fillId="0" borderId="11" xfId="0" applyNumberFormat="1" applyFont="1" applyBorder="1" applyAlignment="1">
      <alignment horizontal="center"/>
    </xf>
    <xf numFmtId="168" fontId="18" fillId="0" borderId="10" xfId="0" applyNumberFormat="1" applyFont="1" applyBorder="1"/>
    <xf numFmtId="2" fontId="28" fillId="0" borderId="11" xfId="0" applyNumberFormat="1" applyFont="1" applyBorder="1"/>
    <xf numFmtId="2" fontId="29" fillId="0" borderId="10" xfId="0" applyNumberFormat="1" applyFont="1" applyBorder="1" applyAlignment="1">
      <alignment horizontal="right"/>
    </xf>
    <xf numFmtId="2" fontId="15" fillId="0" borderId="10" xfId="0" applyNumberFormat="1" applyFont="1" applyBorder="1" applyAlignment="1">
      <alignment horizontal="right"/>
    </xf>
    <xf numFmtId="2" fontId="18" fillId="0" borderId="10" xfId="0" applyNumberFormat="1" applyFont="1" applyBorder="1" applyAlignment="1">
      <alignment horizontal="right"/>
    </xf>
    <xf numFmtId="1" fontId="24" fillId="0" borderId="11" xfId="0" applyNumberFormat="1" applyFont="1" applyBorder="1" applyAlignment="1">
      <alignment horizontal="right" wrapText="1"/>
    </xf>
    <xf numFmtId="2" fontId="9" fillId="0" borderId="11" xfId="0" applyNumberFormat="1" applyFont="1" applyBorder="1" applyAlignment="1">
      <alignment horizontal="right" wrapText="1"/>
    </xf>
    <xf numFmtId="2" fontId="18" fillId="0" borderId="33" xfId="0" applyNumberFormat="1" applyFont="1" applyBorder="1"/>
    <xf numFmtId="1" fontId="14" fillId="0" borderId="13" xfId="0" applyNumberFormat="1" applyFont="1" applyBorder="1"/>
    <xf numFmtId="2" fontId="18" fillId="0" borderId="10" xfId="0" applyNumberFormat="1" applyFont="1" applyBorder="1" applyAlignment="1">
      <alignment horizontal="center"/>
    </xf>
    <xf numFmtId="4" fontId="14" fillId="0" borderId="12" xfId="0" applyNumberFormat="1" applyFont="1" applyBorder="1"/>
    <xf numFmtId="1" fontId="13" fillId="0" borderId="36" xfId="0" applyNumberFormat="1" applyFont="1" applyBorder="1"/>
    <xf numFmtId="1" fontId="24" fillId="0" borderId="11" xfId="0" applyNumberFormat="1" applyFont="1" applyBorder="1" applyAlignment="1">
      <alignment horizontal="center"/>
    </xf>
    <xf numFmtId="4" fontId="9" fillId="0" borderId="14" xfId="0" applyNumberFormat="1" applyFont="1" applyBorder="1"/>
    <xf numFmtId="2" fontId="14" fillId="0" borderId="13" xfId="0" applyNumberFormat="1" applyFont="1" applyBorder="1"/>
    <xf numFmtId="168" fontId="18" fillId="0" borderId="11" xfId="0" applyNumberFormat="1" applyFont="1" applyBorder="1"/>
    <xf numFmtId="2" fontId="18" fillId="0" borderId="11" xfId="0" applyNumberFormat="1" applyFont="1" applyBorder="1" applyAlignment="1">
      <alignment horizontal="right"/>
    </xf>
    <xf numFmtId="2" fontId="18" fillId="0" borderId="37" xfId="0" applyNumberFormat="1" applyFont="1" applyBorder="1"/>
    <xf numFmtId="4" fontId="14" fillId="0" borderId="14" xfId="0" applyNumberFormat="1" applyFont="1" applyBorder="1"/>
    <xf numFmtId="165" fontId="9" fillId="0" borderId="11" xfId="0" applyNumberFormat="1" applyFont="1" applyBorder="1" applyAlignment="1">
      <alignment horizontal="right"/>
    </xf>
    <xf numFmtId="2" fontId="9" fillId="0" borderId="11" xfId="0" applyNumberFormat="1" applyFont="1" applyBorder="1" applyAlignment="1">
      <alignment horizontal="center"/>
    </xf>
    <xf numFmtId="168" fontId="9" fillId="0" borderId="10" xfId="0" applyNumberFormat="1" applyFont="1" applyBorder="1" applyAlignment="1">
      <alignment horizontal="right"/>
    </xf>
    <xf numFmtId="2" fontId="9" fillId="0" borderId="33" xfId="0" applyNumberFormat="1" applyFont="1" applyBorder="1" applyAlignment="1">
      <alignment horizontal="right"/>
    </xf>
    <xf numFmtId="2" fontId="9" fillId="0" borderId="13" xfId="0" applyNumberFormat="1" applyFont="1" applyBorder="1"/>
    <xf numFmtId="4" fontId="9" fillId="0" borderId="12" xfId="0" applyNumberFormat="1" applyFont="1" applyBorder="1"/>
    <xf numFmtId="1" fontId="18" fillId="0" borderId="36" xfId="0" applyNumberFormat="1" applyFont="1" applyBorder="1"/>
    <xf numFmtId="2" fontId="18" fillId="0" borderId="29" xfId="0" applyNumberFormat="1" applyFont="1" applyBorder="1" applyAlignment="1">
      <alignment vertical="center"/>
    </xf>
    <xf numFmtId="165" fontId="18" fillId="0" borderId="29" xfId="0" applyNumberFormat="1" applyFont="1" applyBorder="1" applyAlignment="1">
      <alignment horizontal="center"/>
    </xf>
    <xf numFmtId="2" fontId="18" fillId="0" borderId="29" xfId="0" applyNumberFormat="1" applyFont="1" applyBorder="1" applyAlignment="1">
      <alignment horizontal="center"/>
    </xf>
    <xf numFmtId="1" fontId="14" fillId="0" borderId="32" xfId="0" applyNumberFormat="1" applyFont="1" applyBorder="1"/>
    <xf numFmtId="1" fontId="13" fillId="0" borderId="38" xfId="0" applyNumberFormat="1" applyFont="1" applyBorder="1"/>
    <xf numFmtId="2" fontId="9" fillId="0" borderId="11" xfId="0" applyNumberFormat="1" applyFont="1" applyBorder="1" applyAlignment="1">
      <alignment vertical="center"/>
    </xf>
    <xf numFmtId="1" fontId="14" fillId="8" borderId="13" xfId="0" applyNumberFormat="1" applyFont="1" applyFill="1" applyBorder="1"/>
    <xf numFmtId="2" fontId="14" fillId="8" borderId="13" xfId="0" applyNumberFormat="1" applyFont="1" applyFill="1" applyBorder="1"/>
    <xf numFmtId="2" fontId="18" fillId="9" borderId="33" xfId="0" applyNumberFormat="1" applyFont="1" applyFill="1" applyBorder="1"/>
    <xf numFmtId="2" fontId="14" fillId="0" borderId="32" xfId="0" applyNumberFormat="1" applyFont="1" applyBorder="1"/>
    <xf numFmtId="2" fontId="13" fillId="0" borderId="24" xfId="0" applyNumberFormat="1" applyFont="1" applyBorder="1" applyAlignment="1">
      <alignment horizontal="right"/>
    </xf>
    <xf numFmtId="2" fontId="13" fillId="0" borderId="25" xfId="0" applyNumberFormat="1" applyFont="1" applyBorder="1" applyAlignment="1">
      <alignment horizontal="right"/>
    </xf>
    <xf numFmtId="2" fontId="18" fillId="0" borderId="25" xfId="0" applyNumberFormat="1" applyFont="1" applyBorder="1" applyAlignment="1">
      <alignment horizontal="right"/>
    </xf>
    <xf numFmtId="168" fontId="13" fillId="0" borderId="25" xfId="0" applyNumberFormat="1" applyFont="1" applyBorder="1" applyAlignment="1">
      <alignment horizontal="right"/>
    </xf>
    <xf numFmtId="2" fontId="13" fillId="0" borderId="25" xfId="0" applyNumberFormat="1" applyFont="1" applyBorder="1" applyAlignment="1">
      <alignment horizontal="center"/>
    </xf>
    <xf numFmtId="2" fontId="27" fillId="0" borderId="25" xfId="0" applyNumberFormat="1" applyFont="1" applyBorder="1" applyAlignment="1">
      <alignment horizontal="center"/>
    </xf>
    <xf numFmtId="2" fontId="14" fillId="0" borderId="25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/>
    </xf>
    <xf numFmtId="2" fontId="13" fillId="0" borderId="25" xfId="0" applyNumberFormat="1" applyFont="1" applyBorder="1" applyAlignment="1">
      <alignment horizontal="center" wrapText="1"/>
    </xf>
    <xf numFmtId="1" fontId="14" fillId="0" borderId="25" xfId="0" applyNumberFormat="1" applyFont="1" applyBorder="1"/>
    <xf numFmtId="2" fontId="24" fillId="8" borderId="25" xfId="0" applyNumberFormat="1" applyFont="1" applyFill="1" applyBorder="1" applyAlignment="1">
      <alignment horizontal="center" wrapText="1"/>
    </xf>
    <xf numFmtId="4" fontId="14" fillId="0" borderId="25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center"/>
    </xf>
    <xf numFmtId="4" fontId="13" fillId="0" borderId="25" xfId="0" applyNumberFormat="1" applyFont="1" applyBorder="1" applyAlignment="1">
      <alignment horizontal="center"/>
    </xf>
    <xf numFmtId="1" fontId="9" fillId="0" borderId="25" xfId="0" applyNumberFormat="1" applyFont="1" applyBorder="1" applyAlignment="1">
      <alignment horizontal="center"/>
    </xf>
    <xf numFmtId="4" fontId="24" fillId="0" borderId="25" xfId="0" applyNumberFormat="1" applyFont="1" applyBorder="1"/>
    <xf numFmtId="2" fontId="13" fillId="7" borderId="39" xfId="0" applyNumberFormat="1" applyFont="1" applyFill="1" applyBorder="1" applyAlignment="1">
      <alignment horizontal="left"/>
    </xf>
    <xf numFmtId="165" fontId="13" fillId="7" borderId="39" xfId="0" applyNumberFormat="1" applyFont="1" applyFill="1" applyBorder="1" applyAlignment="1">
      <alignment horizontal="left"/>
    </xf>
    <xf numFmtId="168" fontId="13" fillId="7" borderId="39" xfId="0" applyNumberFormat="1" applyFont="1" applyFill="1" applyBorder="1" applyAlignment="1">
      <alignment horizontal="left"/>
    </xf>
    <xf numFmtId="2" fontId="27" fillId="7" borderId="39" xfId="0" applyNumberFormat="1" applyFont="1" applyFill="1" applyBorder="1" applyAlignment="1">
      <alignment horizontal="left"/>
    </xf>
    <xf numFmtId="2" fontId="14" fillId="7" borderId="39" xfId="0" applyNumberFormat="1" applyFont="1" applyFill="1" applyBorder="1" applyAlignment="1">
      <alignment horizontal="left"/>
    </xf>
    <xf numFmtId="2" fontId="18" fillId="7" borderId="40" xfId="0" applyNumberFormat="1" applyFont="1" applyFill="1" applyBorder="1" applyAlignment="1">
      <alignment horizontal="left"/>
    </xf>
    <xf numFmtId="1" fontId="14" fillId="7" borderId="31" xfId="0" applyNumberFormat="1" applyFont="1" applyFill="1" applyBorder="1" applyAlignment="1">
      <alignment horizontal="left"/>
    </xf>
    <xf numFmtId="2" fontId="13" fillId="7" borderId="41" xfId="0" applyNumberFormat="1" applyFont="1" applyFill="1" applyBorder="1" applyAlignment="1">
      <alignment horizontal="left"/>
    </xf>
    <xf numFmtId="4" fontId="14" fillId="7" borderId="21" xfId="0" applyNumberFormat="1" applyFont="1" applyFill="1" applyBorder="1" applyAlignment="1">
      <alignment horizontal="left"/>
    </xf>
    <xf numFmtId="1" fontId="13" fillId="7" borderId="42" xfId="0" applyNumberFormat="1" applyFont="1" applyFill="1" applyBorder="1" applyAlignment="1">
      <alignment horizontal="left"/>
    </xf>
    <xf numFmtId="4" fontId="13" fillId="7" borderId="43" xfId="0" applyNumberFormat="1" applyFont="1" applyFill="1" applyBorder="1" applyAlignment="1">
      <alignment horizontal="left"/>
    </xf>
    <xf numFmtId="165" fontId="18" fillId="0" borderId="10" xfId="0" applyNumberFormat="1" applyFont="1" applyBorder="1"/>
    <xf numFmtId="165" fontId="18" fillId="0" borderId="10" xfId="0" applyNumberFormat="1" applyFont="1" applyBorder="1" applyAlignment="1">
      <alignment horizontal="center"/>
    </xf>
    <xf numFmtId="2" fontId="28" fillId="0" borderId="10" xfId="0" applyNumberFormat="1" applyFont="1" applyBorder="1"/>
    <xf numFmtId="2" fontId="9" fillId="0" borderId="10" xfId="0" applyNumberFormat="1" applyFont="1" applyBorder="1" applyAlignment="1">
      <alignment horizontal="right" wrapText="1"/>
    </xf>
    <xf numFmtId="1" fontId="14" fillId="8" borderId="9" xfId="0" applyNumberFormat="1" applyFont="1" applyFill="1" applyBorder="1"/>
    <xf numFmtId="1" fontId="13" fillId="0" borderId="34" xfId="0" applyNumberFormat="1" applyFont="1" applyBorder="1"/>
    <xf numFmtId="1" fontId="24" fillId="0" borderId="10" xfId="0" applyNumberFormat="1" applyFont="1" applyBorder="1" applyAlignment="1">
      <alignment horizontal="center"/>
    </xf>
    <xf numFmtId="1" fontId="14" fillId="0" borderId="9" xfId="0" applyNumberFormat="1" applyFont="1" applyBorder="1"/>
    <xf numFmtId="2" fontId="18" fillId="8" borderId="11" xfId="0" applyNumberFormat="1" applyFont="1" applyFill="1" applyBorder="1" applyAlignment="1">
      <alignment horizontal="center"/>
    </xf>
    <xf numFmtId="0" fontId="18" fillId="0" borderId="11" xfId="0" applyFont="1" applyBorder="1"/>
    <xf numFmtId="168" fontId="9" fillId="0" borderId="0" xfId="0" applyNumberFormat="1" applyFont="1"/>
    <xf numFmtId="2" fontId="18" fillId="0" borderId="29" xfId="0" applyNumberFormat="1" applyFont="1" applyBorder="1"/>
    <xf numFmtId="0" fontId="30" fillId="0" borderId="11" xfId="0" applyFont="1" applyBorder="1"/>
    <xf numFmtId="1" fontId="14" fillId="7" borderId="44" xfId="0" applyNumberFormat="1" applyFont="1" applyFill="1" applyBorder="1" applyAlignment="1">
      <alignment horizontal="left"/>
    </xf>
    <xf numFmtId="4" fontId="14" fillId="7" borderId="43" xfId="0" applyNumberFormat="1" applyFont="1" applyFill="1" applyBorder="1" applyAlignment="1">
      <alignment horizontal="left"/>
    </xf>
    <xf numFmtId="1" fontId="18" fillId="0" borderId="25" xfId="0" applyNumberFormat="1" applyFont="1" applyBorder="1"/>
    <xf numFmtId="2" fontId="28" fillId="0" borderId="10" xfId="0" applyNumberFormat="1" applyFont="1" applyBorder="1" applyAlignment="1">
      <alignment horizontal="right"/>
    </xf>
    <xf numFmtId="2" fontId="9" fillId="0" borderId="10" xfId="0" applyNumberFormat="1" applyFont="1" applyBorder="1" applyAlignment="1">
      <alignment horizontal="right"/>
    </xf>
    <xf numFmtId="1" fontId="9" fillId="8" borderId="9" xfId="0" applyNumberFormat="1" applyFont="1" applyFill="1" applyBorder="1"/>
    <xf numFmtId="1" fontId="9" fillId="0" borderId="34" xfId="0" applyNumberFormat="1" applyFont="1" applyBorder="1"/>
    <xf numFmtId="2" fontId="14" fillId="0" borderId="9" xfId="0" applyNumberFormat="1" applyFont="1" applyBorder="1"/>
    <xf numFmtId="2" fontId="24" fillId="0" borderId="25" xfId="0" applyNumberFormat="1" applyFont="1" applyBorder="1" applyAlignment="1">
      <alignment horizontal="center"/>
    </xf>
    <xf numFmtId="2" fontId="15" fillId="9" borderId="11" xfId="0" applyNumberFormat="1" applyFont="1" applyFill="1" applyBorder="1" applyAlignment="1">
      <alignment horizontal="right"/>
    </xf>
    <xf numFmtId="2" fontId="19" fillId="0" borderId="11" xfId="0" applyNumberFormat="1" applyFont="1" applyBorder="1" applyAlignment="1">
      <alignment horizontal="center"/>
    </xf>
    <xf numFmtId="2" fontId="19" fillId="0" borderId="37" xfId="0" applyNumberFormat="1" applyFont="1" applyBorder="1" applyAlignment="1">
      <alignment horizontal="center"/>
    </xf>
    <xf numFmtId="2" fontId="15" fillId="0" borderId="13" xfId="0" applyNumberFormat="1" applyFont="1" applyBorder="1" applyAlignment="1">
      <alignment horizontal="center"/>
    </xf>
    <xf numFmtId="1" fontId="18" fillId="0" borderId="36" xfId="0" applyNumberFormat="1" applyFont="1" applyBorder="1" applyAlignment="1">
      <alignment horizontal="center"/>
    </xf>
    <xf numFmtId="2" fontId="15" fillId="0" borderId="11" xfId="0" applyNumberFormat="1" applyFont="1" applyBorder="1" applyAlignment="1">
      <alignment horizontal="right"/>
    </xf>
    <xf numFmtId="2" fontId="18" fillId="8" borderId="46" xfId="0" applyNumberFormat="1" applyFont="1" applyFill="1" applyBorder="1" applyAlignment="1">
      <alignment horizontal="center"/>
    </xf>
    <xf numFmtId="2" fontId="15" fillId="9" borderId="29" xfId="0" applyNumberFormat="1" applyFont="1" applyFill="1" applyBorder="1" applyAlignment="1">
      <alignment horizontal="right"/>
    </xf>
    <xf numFmtId="2" fontId="19" fillId="0" borderId="29" xfId="0" applyNumberFormat="1" applyFont="1" applyBorder="1" applyAlignment="1">
      <alignment horizontal="center"/>
    </xf>
    <xf numFmtId="2" fontId="19" fillId="0" borderId="47" xfId="0" applyNumberFormat="1" applyFont="1" applyBorder="1" applyAlignment="1">
      <alignment horizontal="center"/>
    </xf>
    <xf numFmtId="2" fontId="15" fillId="0" borderId="32" xfId="0" applyNumberFormat="1" applyFont="1" applyBorder="1" applyAlignment="1">
      <alignment horizontal="center"/>
    </xf>
    <xf numFmtId="1" fontId="18" fillId="0" borderId="38" xfId="0" applyNumberFormat="1" applyFont="1" applyBorder="1" applyAlignment="1">
      <alignment horizontal="center"/>
    </xf>
    <xf numFmtId="2" fontId="13" fillId="0" borderId="25" xfId="0" applyNumberFormat="1" applyFont="1" applyBorder="1"/>
    <xf numFmtId="2" fontId="27" fillId="0" borderId="25" xfId="0" applyNumberFormat="1" applyFont="1" applyBorder="1"/>
    <xf numFmtId="2" fontId="14" fillId="0" borderId="25" xfId="0" applyNumberFormat="1" applyFont="1" applyBorder="1" applyAlignment="1">
      <alignment horizontal="right"/>
    </xf>
    <xf numFmtId="2" fontId="18" fillId="0" borderId="25" xfId="0" applyNumberFormat="1" applyFont="1" applyBorder="1"/>
    <xf numFmtId="2" fontId="13" fillId="10" borderId="25" xfId="0" applyNumberFormat="1" applyFont="1" applyFill="1" applyBorder="1" applyAlignment="1">
      <alignment horizontal="right"/>
    </xf>
    <xf numFmtId="2" fontId="13" fillId="10" borderId="25" xfId="0" applyNumberFormat="1" applyFont="1" applyFill="1" applyBorder="1"/>
    <xf numFmtId="2" fontId="13" fillId="10" borderId="25" xfId="0" applyNumberFormat="1" applyFont="1" applyFill="1" applyBorder="1" applyAlignment="1">
      <alignment horizontal="center"/>
    </xf>
    <xf numFmtId="2" fontId="27" fillId="10" borderId="25" xfId="0" applyNumberFormat="1" applyFont="1" applyFill="1" applyBorder="1" applyAlignment="1">
      <alignment horizontal="center"/>
    </xf>
    <xf numFmtId="2" fontId="14" fillId="10" borderId="25" xfId="0" applyNumberFormat="1" applyFont="1" applyFill="1" applyBorder="1" applyAlignment="1">
      <alignment horizontal="center"/>
    </xf>
    <xf numFmtId="1" fontId="13" fillId="10" borderId="25" xfId="0" applyNumberFormat="1" applyFont="1" applyFill="1" applyBorder="1" applyAlignment="1">
      <alignment horizontal="right"/>
    </xf>
    <xf numFmtId="2" fontId="18" fillId="10" borderId="25" xfId="0" applyNumberFormat="1" applyFont="1" applyFill="1" applyBorder="1"/>
    <xf numFmtId="2" fontId="14" fillId="10" borderId="25" xfId="0" applyNumberFormat="1" applyFont="1" applyFill="1" applyBorder="1" applyAlignment="1">
      <alignment horizontal="right"/>
    </xf>
    <xf numFmtId="4" fontId="14" fillId="10" borderId="25" xfId="0" applyNumberFormat="1" applyFont="1" applyFill="1" applyBorder="1" applyAlignment="1">
      <alignment horizontal="center"/>
    </xf>
    <xf numFmtId="1" fontId="18" fillId="10" borderId="25" xfId="0" applyNumberFormat="1" applyFont="1" applyFill="1" applyBorder="1"/>
    <xf numFmtId="1" fontId="9" fillId="10" borderId="25" xfId="0" applyNumberFormat="1" applyFont="1" applyFill="1" applyBorder="1" applyAlignment="1">
      <alignment horizontal="center"/>
    </xf>
    <xf numFmtId="4" fontId="13" fillId="10" borderId="25" xfId="0" applyNumberFormat="1" applyFont="1" applyFill="1" applyBorder="1"/>
    <xf numFmtId="2" fontId="13" fillId="3" borderId="25" xfId="0" applyNumberFormat="1" applyFont="1" applyFill="1" applyBorder="1" applyAlignment="1">
      <alignment horizontal="right"/>
    </xf>
    <xf numFmtId="2" fontId="13" fillId="3" borderId="25" xfId="0" applyNumberFormat="1" applyFont="1" applyFill="1" applyBorder="1"/>
    <xf numFmtId="2" fontId="13" fillId="3" borderId="25" xfId="0" applyNumberFormat="1" applyFont="1" applyFill="1" applyBorder="1" applyAlignment="1">
      <alignment horizontal="center"/>
    </xf>
    <xf numFmtId="2" fontId="27" fillId="3" borderId="25" xfId="0" applyNumberFormat="1" applyFont="1" applyFill="1" applyBorder="1" applyAlignment="1">
      <alignment horizontal="center"/>
    </xf>
    <xf numFmtId="2" fontId="14" fillId="3" borderId="25" xfId="0" applyNumberFormat="1" applyFont="1" applyFill="1" applyBorder="1" applyAlignment="1">
      <alignment horizontal="center"/>
    </xf>
    <xf numFmtId="1" fontId="13" fillId="3" borderId="25" xfId="0" applyNumberFormat="1" applyFont="1" applyFill="1" applyBorder="1" applyAlignment="1">
      <alignment horizontal="right"/>
    </xf>
    <xf numFmtId="2" fontId="18" fillId="3" borderId="25" xfId="0" applyNumberFormat="1" applyFont="1" applyFill="1" applyBorder="1"/>
    <xf numFmtId="1" fontId="14" fillId="3" borderId="25" xfId="0" applyNumberFormat="1" applyFont="1" applyFill="1" applyBorder="1"/>
    <xf numFmtId="4" fontId="14" fillId="3" borderId="25" xfId="0" applyNumberFormat="1" applyFont="1" applyFill="1" applyBorder="1" applyAlignment="1">
      <alignment horizontal="center"/>
    </xf>
    <xf numFmtId="1" fontId="18" fillId="3" borderId="25" xfId="0" applyNumberFormat="1" applyFont="1" applyFill="1" applyBorder="1"/>
    <xf numFmtId="4" fontId="13" fillId="3" borderId="25" xfId="0" applyNumberFormat="1" applyFont="1" applyFill="1" applyBorder="1" applyAlignment="1">
      <alignment horizontal="center"/>
    </xf>
    <xf numFmtId="1" fontId="9" fillId="3" borderId="25" xfId="0" applyNumberFormat="1" applyFont="1" applyFill="1" applyBorder="1" applyAlignment="1">
      <alignment horizontal="center"/>
    </xf>
    <xf numFmtId="4" fontId="13" fillId="3" borderId="25" xfId="0" applyNumberFormat="1" applyFont="1" applyFill="1" applyBorder="1" applyAlignment="1">
      <alignment horizontal="right"/>
    </xf>
    <xf numFmtId="2" fontId="28" fillId="9" borderId="10" xfId="0" applyNumberFormat="1" applyFont="1" applyFill="1" applyBorder="1"/>
    <xf numFmtId="2" fontId="28" fillId="9" borderId="10" xfId="0" applyNumberFormat="1" applyFont="1" applyFill="1" applyBorder="1" applyAlignment="1">
      <alignment horizontal="right"/>
    </xf>
    <xf numFmtId="1" fontId="14" fillId="0" borderId="9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9" fillId="0" borderId="14" xfId="0" applyNumberFormat="1" applyFont="1" applyBorder="1" applyAlignment="1">
      <alignment horizontal="right"/>
    </xf>
    <xf numFmtId="2" fontId="18" fillId="8" borderId="10" xfId="0" applyNumberFormat="1" applyFont="1" applyFill="1" applyBorder="1" applyAlignment="1">
      <alignment horizontal="right"/>
    </xf>
    <xf numFmtId="168" fontId="14" fillId="0" borderId="25" xfId="0" applyNumberFormat="1" applyFont="1" applyBorder="1"/>
    <xf numFmtId="168" fontId="18" fillId="0" borderId="25" xfId="0" applyNumberFormat="1" applyFont="1" applyBorder="1"/>
    <xf numFmtId="4" fontId="13" fillId="0" borderId="25" xfId="0" applyNumberFormat="1" applyFont="1" applyBorder="1" applyAlignment="1">
      <alignment horizontal="right"/>
    </xf>
    <xf numFmtId="2" fontId="18" fillId="3" borderId="11" xfId="0" applyNumberFormat="1" applyFont="1" applyFill="1" applyBorder="1"/>
    <xf numFmtId="2" fontId="18" fillId="10" borderId="11" xfId="0" applyNumberFormat="1" applyFont="1" applyFill="1" applyBorder="1"/>
    <xf numFmtId="1" fontId="14" fillId="0" borderId="50" xfId="0" applyNumberFormat="1" applyFont="1" applyBorder="1"/>
    <xf numFmtId="4" fontId="14" fillId="0" borderId="51" xfId="0" applyNumberFormat="1" applyFont="1" applyBorder="1"/>
    <xf numFmtId="4" fontId="24" fillId="0" borderId="25" xfId="0" applyNumberFormat="1" applyFont="1" applyBorder="1" applyAlignment="1">
      <alignment horizontal="center"/>
    </xf>
    <xf numFmtId="2" fontId="13" fillId="2" borderId="25" xfId="0" applyNumberFormat="1" applyFont="1" applyFill="1" applyBorder="1" applyAlignment="1">
      <alignment horizontal="right"/>
    </xf>
    <xf numFmtId="2" fontId="13" fillId="2" borderId="25" xfId="0" applyNumberFormat="1" applyFont="1" applyFill="1" applyBorder="1"/>
    <xf numFmtId="2" fontId="27" fillId="2" borderId="25" xfId="0" applyNumberFormat="1" applyFont="1" applyFill="1" applyBorder="1" applyAlignment="1">
      <alignment horizontal="center"/>
    </xf>
    <xf numFmtId="2" fontId="14" fillId="2" borderId="25" xfId="0" applyNumberFormat="1" applyFont="1" applyFill="1" applyBorder="1" applyAlignment="1">
      <alignment horizontal="center"/>
    </xf>
    <xf numFmtId="2" fontId="13" fillId="2" borderId="25" xfId="0" applyNumberFormat="1" applyFont="1" applyFill="1" applyBorder="1" applyAlignment="1">
      <alignment horizontal="center"/>
    </xf>
    <xf numFmtId="1" fontId="13" fillId="2" borderId="25" xfId="0" applyNumberFormat="1" applyFont="1" applyFill="1" applyBorder="1" applyAlignment="1">
      <alignment horizontal="right"/>
    </xf>
    <xf numFmtId="4" fontId="24" fillId="2" borderId="25" xfId="0" applyNumberFormat="1" applyFont="1" applyFill="1" applyBorder="1" applyAlignment="1">
      <alignment horizontal="center"/>
    </xf>
    <xf numFmtId="2" fontId="18" fillId="2" borderId="25" xfId="0" applyNumberFormat="1" applyFont="1" applyFill="1" applyBorder="1"/>
    <xf numFmtId="1" fontId="14" fillId="2" borderId="25" xfId="0" applyNumberFormat="1" applyFont="1" applyFill="1" applyBorder="1"/>
    <xf numFmtId="2" fontId="24" fillId="2" borderId="25" xfId="0" applyNumberFormat="1" applyFont="1" applyFill="1" applyBorder="1" applyAlignment="1">
      <alignment horizontal="center"/>
    </xf>
    <xf numFmtId="4" fontId="14" fillId="2" borderId="25" xfId="0" applyNumberFormat="1" applyFont="1" applyFill="1" applyBorder="1" applyAlignment="1">
      <alignment horizontal="center"/>
    </xf>
    <xf numFmtId="1" fontId="18" fillId="2" borderId="25" xfId="0" applyNumberFormat="1" applyFont="1" applyFill="1" applyBorder="1"/>
    <xf numFmtId="4" fontId="13" fillId="2" borderId="25" xfId="0" applyNumberFormat="1" applyFont="1" applyFill="1" applyBorder="1" applyAlignment="1">
      <alignment horizontal="center"/>
    </xf>
    <xf numFmtId="1" fontId="9" fillId="2" borderId="25" xfId="0" applyNumberFormat="1" applyFont="1" applyFill="1" applyBorder="1" applyAlignment="1">
      <alignment horizontal="center"/>
    </xf>
    <xf numFmtId="4" fontId="13" fillId="2" borderId="25" xfId="0" applyNumberFormat="1" applyFont="1" applyFill="1" applyBorder="1" applyAlignment="1">
      <alignment horizontal="right"/>
    </xf>
    <xf numFmtId="2" fontId="20" fillId="7" borderId="11" xfId="0" applyNumberFormat="1" applyFont="1" applyFill="1" applyBorder="1"/>
    <xf numFmtId="2" fontId="20" fillId="7" borderId="11" xfId="0" applyNumberFormat="1" applyFont="1" applyFill="1" applyBorder="1" applyAlignment="1">
      <alignment horizontal="center"/>
    </xf>
    <xf numFmtId="168" fontId="20" fillId="7" borderId="11" xfId="0" applyNumberFormat="1" applyFont="1" applyFill="1" applyBorder="1"/>
    <xf numFmtId="2" fontId="31" fillId="7" borderId="11" xfId="0" applyNumberFormat="1" applyFont="1" applyFill="1" applyBorder="1" applyAlignment="1">
      <alignment horizontal="right"/>
    </xf>
    <xf numFmtId="2" fontId="32" fillId="7" borderId="11" xfId="0" applyNumberFormat="1" applyFont="1" applyFill="1" applyBorder="1" applyAlignment="1">
      <alignment horizontal="right"/>
    </xf>
    <xf numFmtId="2" fontId="20" fillId="7" borderId="11" xfId="0" applyNumberFormat="1" applyFont="1" applyFill="1" applyBorder="1" applyAlignment="1">
      <alignment horizontal="right"/>
    </xf>
    <xf numFmtId="1" fontId="17" fillId="7" borderId="11" xfId="0" applyNumberFormat="1" applyFont="1" applyFill="1" applyBorder="1" applyAlignment="1">
      <alignment horizontal="right" wrapText="1"/>
    </xf>
    <xf numFmtId="2" fontId="33" fillId="7" borderId="11" xfId="0" applyNumberFormat="1" applyFont="1" applyFill="1" applyBorder="1" applyAlignment="1">
      <alignment horizontal="right" wrapText="1"/>
    </xf>
    <xf numFmtId="1" fontId="21" fillId="7" borderId="11" xfId="0" applyNumberFormat="1" applyFont="1" applyFill="1" applyBorder="1"/>
    <xf numFmtId="4" fontId="32" fillId="7" borderId="11" xfId="0" applyNumberFormat="1" applyFont="1" applyFill="1" applyBorder="1"/>
    <xf numFmtId="1" fontId="20" fillId="7" borderId="11" xfId="0" applyNumberFormat="1" applyFont="1" applyFill="1" applyBorder="1"/>
    <xf numFmtId="1" fontId="34" fillId="7" borderId="11" xfId="0" applyNumberFormat="1" applyFont="1" applyFill="1" applyBorder="1" applyAlignment="1">
      <alignment horizontal="center"/>
    </xf>
    <xf numFmtId="4" fontId="34" fillId="7" borderId="14" xfId="0" applyNumberFormat="1" applyFont="1" applyFill="1" applyBorder="1" applyAlignment="1">
      <alignment horizontal="center"/>
    </xf>
    <xf numFmtId="2" fontId="17" fillId="5" borderId="24" xfId="0" applyNumberFormat="1" applyFont="1" applyFill="1" applyBorder="1" applyAlignment="1">
      <alignment horizontal="right"/>
    </xf>
    <xf numFmtId="168" fontId="17" fillId="5" borderId="25" xfId="0" applyNumberFormat="1" applyFont="1" applyFill="1" applyBorder="1" applyAlignment="1">
      <alignment horizontal="right"/>
    </xf>
    <xf numFmtId="2" fontId="35" fillId="5" borderId="25" xfId="0" applyNumberFormat="1" applyFont="1" applyFill="1" applyBorder="1" applyAlignment="1">
      <alignment horizontal="center" wrapText="1"/>
    </xf>
    <xf numFmtId="1" fontId="17" fillId="5" borderId="25" xfId="0" applyNumberFormat="1" applyFont="1" applyFill="1" applyBorder="1" applyAlignment="1">
      <alignment horizontal="right"/>
    </xf>
    <xf numFmtId="2" fontId="20" fillId="5" borderId="25" xfId="0" applyNumberFormat="1" applyFont="1" applyFill="1" applyBorder="1"/>
    <xf numFmtId="4" fontId="21" fillId="5" borderId="25" xfId="0" applyNumberFormat="1" applyFont="1" applyFill="1" applyBorder="1" applyAlignment="1">
      <alignment horizontal="center" wrapText="1"/>
    </xf>
    <xf numFmtId="1" fontId="20" fillId="5" borderId="25" xfId="0" applyNumberFormat="1" applyFont="1" applyFill="1" applyBorder="1"/>
    <xf numFmtId="1" fontId="33" fillId="5" borderId="25" xfId="0" applyNumberFormat="1" applyFont="1" applyFill="1" applyBorder="1" applyAlignment="1">
      <alignment horizontal="center"/>
    </xf>
    <xf numFmtId="4" fontId="17" fillId="5" borderId="25" xfId="0" applyNumberFormat="1" applyFont="1" applyFill="1" applyBorder="1" applyAlignment="1">
      <alignment horizontal="center" wrapText="1"/>
    </xf>
    <xf numFmtId="2" fontId="29" fillId="0" borderId="0" xfId="0" applyNumberFormat="1" applyFont="1" applyAlignment="1">
      <alignment horizontal="right"/>
    </xf>
    <xf numFmtId="2" fontId="15" fillId="0" borderId="0" xfId="0" applyNumberFormat="1" applyFont="1" applyAlignment="1">
      <alignment horizontal="right"/>
    </xf>
    <xf numFmtId="2" fontId="18" fillId="0" borderId="0" xfId="0" applyNumberFormat="1" applyFont="1"/>
    <xf numFmtId="2" fontId="13" fillId="0" borderId="0" xfId="0" applyNumberFormat="1" applyFont="1" applyAlignment="1">
      <alignment horizontal="right"/>
    </xf>
    <xf numFmtId="1" fontId="18" fillId="0" borderId="0" xfId="0" applyNumberFormat="1" applyFont="1"/>
    <xf numFmtId="1" fontId="9" fillId="0" borderId="0" xfId="0" applyNumberFormat="1" applyFont="1"/>
    <xf numFmtId="4" fontId="9" fillId="0" borderId="0" xfId="0" applyNumberFormat="1" applyFont="1"/>
    <xf numFmtId="0" fontId="36" fillId="0" borderId="0" xfId="0" applyFont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0" fontId="36" fillId="0" borderId="0" xfId="0" applyFont="1"/>
    <xf numFmtId="2" fontId="1" fillId="0" borderId="11" xfId="0" applyNumberFormat="1" applyFont="1" applyBorder="1" applyAlignment="1">
      <alignment horizontal="center" vertical="center" wrapText="1"/>
    </xf>
    <xf numFmtId="168" fontId="1" fillId="0" borderId="11" xfId="0" applyNumberFormat="1" applyFont="1" applyBorder="1" applyAlignment="1">
      <alignment horizontal="center" vertical="center"/>
    </xf>
    <xf numFmtId="2" fontId="26" fillId="0" borderId="11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1" fontId="18" fillId="0" borderId="11" xfId="0" applyNumberFormat="1" applyFont="1" applyBorder="1"/>
    <xf numFmtId="2" fontId="36" fillId="11" borderId="11" xfId="0" applyNumberFormat="1" applyFont="1" applyFill="1" applyBorder="1"/>
    <xf numFmtId="2" fontId="29" fillId="0" borderId="11" xfId="0" applyNumberFormat="1" applyFont="1" applyBorder="1" applyAlignment="1">
      <alignment horizontal="right"/>
    </xf>
    <xf numFmtId="0" fontId="36" fillId="0" borderId="11" xfId="0" applyFont="1" applyBorder="1"/>
    <xf numFmtId="2" fontId="36" fillId="12" borderId="11" xfId="0" applyNumberFormat="1" applyFont="1" applyFill="1" applyBorder="1"/>
    <xf numFmtId="1" fontId="13" fillId="0" borderId="0" xfId="0" applyNumberFormat="1" applyFont="1"/>
    <xf numFmtId="2" fontId="15" fillId="0" borderId="0" xfId="0" applyNumberFormat="1" applyFont="1"/>
    <xf numFmtId="2" fontId="29" fillId="0" borderId="0" xfId="0" applyNumberFormat="1" applyFont="1"/>
    <xf numFmtId="165" fontId="18" fillId="0" borderId="0" xfId="0" applyNumberFormat="1" applyFont="1" applyAlignment="1">
      <alignment vertical="center"/>
    </xf>
    <xf numFmtId="2" fontId="18" fillId="0" borderId="0" xfId="0" applyNumberFormat="1" applyFont="1" applyAlignment="1">
      <alignment horizontal="center"/>
    </xf>
    <xf numFmtId="168" fontId="18" fillId="0" borderId="0" xfId="0" applyNumberFormat="1" applyFont="1"/>
    <xf numFmtId="2" fontId="28" fillId="0" borderId="0" xfId="0" applyNumberFormat="1" applyFont="1"/>
    <xf numFmtId="2" fontId="29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right"/>
    </xf>
    <xf numFmtId="1" fontId="29" fillId="0" borderId="10" xfId="0" applyNumberFormat="1" applyFont="1" applyBorder="1" applyAlignment="1">
      <alignment horizontal="right"/>
    </xf>
    <xf numFmtId="1" fontId="15" fillId="0" borderId="10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right"/>
    </xf>
    <xf numFmtId="1" fontId="15" fillId="0" borderId="0" xfId="0" applyNumberFormat="1" applyFont="1" applyAlignment="1">
      <alignment horizontal="right"/>
    </xf>
    <xf numFmtId="2" fontId="18" fillId="2" borderId="11" xfId="0" applyNumberFormat="1" applyFont="1" applyFill="1" applyBorder="1"/>
    <xf numFmtId="1" fontId="24" fillId="9" borderId="11" xfId="0" applyNumberFormat="1" applyFont="1" applyFill="1" applyBorder="1" applyAlignment="1">
      <alignment horizontal="right" wrapText="1"/>
    </xf>
    <xf numFmtId="2" fontId="14" fillId="0" borderId="0" xfId="0" applyNumberFormat="1" applyFont="1"/>
    <xf numFmtId="1" fontId="9" fillId="0" borderId="9" xfId="0" applyNumberFormat="1" applyFont="1" applyBorder="1" applyAlignment="1">
      <alignment horizontal="right"/>
    </xf>
    <xf numFmtId="2" fontId="18" fillId="2" borderId="11" xfId="0" applyNumberFormat="1" applyFont="1" applyFill="1" applyBorder="1" applyAlignment="1">
      <alignment vertical="center"/>
    </xf>
    <xf numFmtId="2" fontId="18" fillId="2" borderId="29" xfId="0" applyNumberFormat="1" applyFont="1" applyFill="1" applyBorder="1" applyAlignment="1">
      <alignment vertical="center"/>
    </xf>
    <xf numFmtId="2" fontId="9" fillId="2" borderId="11" xfId="0" applyNumberFormat="1" applyFont="1" applyFill="1" applyBorder="1" applyAlignment="1">
      <alignment vertical="center"/>
    </xf>
    <xf numFmtId="2" fontId="12" fillId="0" borderId="3" xfId="0" applyNumberFormat="1" applyFont="1" applyBorder="1" applyAlignment="1">
      <alignment horizontal="center" vertical="center" wrapText="1"/>
    </xf>
    <xf numFmtId="0" fontId="10" fillId="0" borderId="9" xfId="0" applyFont="1" applyBorder="1"/>
    <xf numFmtId="2" fontId="12" fillId="0" borderId="4" xfId="0" applyNumberFormat="1" applyFont="1" applyBorder="1" applyAlignment="1">
      <alignment horizontal="center" vertical="center" wrapText="1"/>
    </xf>
    <xf numFmtId="0" fontId="10" fillId="0" borderId="10" xfId="0" applyFont="1" applyBorder="1"/>
    <xf numFmtId="0" fontId="12" fillId="3" borderId="2" xfId="0" applyFont="1" applyFill="1" applyBorder="1" applyAlignment="1">
      <alignment horizontal="left" vertical="center" textRotation="90"/>
    </xf>
    <xf numFmtId="0" fontId="10" fillId="0" borderId="8" xfId="0" applyFont="1" applyBorder="1"/>
    <xf numFmtId="0" fontId="10" fillId="0" borderId="18" xfId="0" applyFont="1" applyBorder="1"/>
    <xf numFmtId="0" fontId="12" fillId="0" borderId="3" xfId="0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/>
    <xf numFmtId="2" fontId="12" fillId="0" borderId="7" xfId="0" applyNumberFormat="1" applyFont="1" applyBorder="1" applyAlignment="1">
      <alignment horizontal="center" vertical="center"/>
    </xf>
    <xf numFmtId="0" fontId="10" fillId="0" borderId="12" xfId="0" applyFont="1" applyBorder="1"/>
    <xf numFmtId="2" fontId="12" fillId="0" borderId="5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2" fontId="13" fillId="4" borderId="22" xfId="0" applyNumberFormat="1" applyFont="1" applyFill="1" applyBorder="1" applyAlignment="1">
      <alignment horizontal="right" vertical="center"/>
    </xf>
    <xf numFmtId="0" fontId="10" fillId="0" borderId="23" xfId="0" applyFont="1" applyBorder="1"/>
    <xf numFmtId="0" fontId="10" fillId="0" borderId="24" xfId="0" applyFont="1" applyBorder="1"/>
    <xf numFmtId="2" fontId="3" fillId="0" borderId="0" xfId="0" applyNumberFormat="1" applyFont="1" applyAlignment="1">
      <alignment horizontal="center" vertical="top" wrapText="1"/>
    </xf>
    <xf numFmtId="0" fontId="0" fillId="0" borderId="0" xfId="0"/>
    <xf numFmtId="2" fontId="4" fillId="0" borderId="0" xfId="0" applyNumberFormat="1" applyFont="1"/>
    <xf numFmtId="2" fontId="6" fillId="0" borderId="1" xfId="0" applyNumberFormat="1" applyFont="1" applyBorder="1"/>
    <xf numFmtId="0" fontId="10" fillId="0" borderId="1" xfId="0" applyFont="1" applyBorder="1"/>
    <xf numFmtId="2" fontId="11" fillId="0" borderId="1" xfId="0" applyNumberFormat="1" applyFont="1" applyBorder="1" applyAlignment="1">
      <alignment horizontal="left" vertical="center" wrapText="1"/>
    </xf>
    <xf numFmtId="2" fontId="12" fillId="0" borderId="0" xfId="0" applyNumberFormat="1" applyFont="1" applyAlignment="1">
      <alignment horizontal="center" vertical="top" wrapText="1"/>
    </xf>
    <xf numFmtId="0" fontId="12" fillId="2" borderId="2" xfId="0" applyFont="1" applyFill="1" applyBorder="1" applyAlignment="1">
      <alignment horizontal="left" vertical="center" textRotation="90"/>
    </xf>
    <xf numFmtId="2" fontId="17" fillId="0" borderId="0" xfId="0" applyNumberFormat="1" applyFont="1" applyAlignment="1">
      <alignment horizontal="center" vertical="top" wrapText="1"/>
    </xf>
    <xf numFmtId="2" fontId="22" fillId="0" borderId="0" xfId="0" applyNumberFormat="1" applyFont="1" applyAlignment="1">
      <alignment horizontal="center" vertical="top" wrapText="1"/>
    </xf>
    <xf numFmtId="2" fontId="36" fillId="11" borderId="37" xfId="0" applyNumberFormat="1" applyFont="1" applyFill="1" applyBorder="1" applyAlignment="1">
      <alignment horizontal="center"/>
    </xf>
    <xf numFmtId="0" fontId="10" fillId="0" borderId="36" xfId="0" applyFont="1" applyBorder="1"/>
    <xf numFmtId="165" fontId="18" fillId="0" borderId="37" xfId="0" applyNumberFormat="1" applyFont="1" applyBorder="1" applyAlignment="1">
      <alignment horizontal="right" vertical="center"/>
    </xf>
    <xf numFmtId="0" fontId="10" fillId="0" borderId="45" xfId="0" applyFont="1" applyBorder="1"/>
    <xf numFmtId="2" fontId="36" fillId="12" borderId="37" xfId="0" applyNumberFormat="1" applyFont="1" applyFill="1" applyBorder="1" applyAlignment="1">
      <alignment horizontal="center"/>
    </xf>
    <xf numFmtId="0" fontId="22" fillId="0" borderId="37" xfId="0" applyFont="1" applyBorder="1" applyAlignment="1">
      <alignment horizontal="center" vertical="center"/>
    </xf>
    <xf numFmtId="2" fontId="23" fillId="0" borderId="37" xfId="0" applyNumberFormat="1" applyFont="1" applyBorder="1" applyAlignment="1">
      <alignment horizontal="center" vertical="center"/>
    </xf>
    <xf numFmtId="2" fontId="13" fillId="3" borderId="49" xfId="0" applyNumberFormat="1" applyFont="1" applyFill="1" applyBorder="1" applyAlignment="1">
      <alignment horizontal="center" vertical="center" textRotation="90"/>
    </xf>
    <xf numFmtId="0" fontId="10" fillId="0" borderId="49" xfId="0" applyFont="1" applyBorder="1"/>
    <xf numFmtId="2" fontId="13" fillId="2" borderId="49" xfId="0" applyNumberFormat="1" applyFont="1" applyFill="1" applyBorder="1" applyAlignment="1">
      <alignment horizontal="center" vertical="center" textRotation="90"/>
    </xf>
    <xf numFmtId="2" fontId="20" fillId="5" borderId="32" xfId="0" applyNumberFormat="1" applyFont="1" applyFill="1" applyBorder="1"/>
    <xf numFmtId="0" fontId="10" fillId="0" borderId="50" xfId="0" applyFont="1" applyBorder="1"/>
    <xf numFmtId="2" fontId="13" fillId="6" borderId="32" xfId="0" applyNumberFormat="1" applyFont="1" applyFill="1" applyBorder="1" applyAlignment="1">
      <alignment horizontal="center" vertical="center" textRotation="90"/>
    </xf>
    <xf numFmtId="0" fontId="10" fillId="0" borderId="35" xfId="0" applyFont="1" applyBorder="1"/>
    <xf numFmtId="168" fontId="18" fillId="0" borderId="37" xfId="0" applyNumberFormat="1" applyFont="1" applyBorder="1" applyAlignment="1">
      <alignment horizontal="center"/>
    </xf>
    <xf numFmtId="168" fontId="18" fillId="0" borderId="47" xfId="0" applyNumberFormat="1" applyFont="1" applyBorder="1" applyAlignment="1">
      <alignment horizontal="center"/>
    </xf>
    <xf numFmtId="0" fontId="10" fillId="0" borderId="48" xfId="0" applyFont="1" applyBorder="1"/>
    <xf numFmtId="0" fontId="10" fillId="0" borderId="38" xfId="0" applyFont="1" applyBorder="1"/>
    <xf numFmtId="2" fontId="9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3"/>
  <sheetViews>
    <sheetView workbookViewId="0"/>
  </sheetViews>
  <sheetFormatPr defaultColWidth="14.42578125" defaultRowHeight="15" customHeight="1" x14ac:dyDescent="0.25"/>
  <cols>
    <col min="1" max="1" width="4.42578125" customWidth="1"/>
    <col min="2" max="2" width="11.42578125" customWidth="1"/>
    <col min="3" max="3" width="10.140625" customWidth="1"/>
    <col min="4" max="4" width="9.140625" customWidth="1"/>
    <col min="5" max="5" width="13.140625" customWidth="1"/>
    <col min="6" max="6" width="15.85546875" customWidth="1"/>
    <col min="7" max="7" width="8.28515625" customWidth="1"/>
    <col min="8" max="19" width="8.7109375" customWidth="1"/>
  </cols>
  <sheetData>
    <row r="1" spans="1:19" x14ac:dyDescent="0.25">
      <c r="A1" s="1"/>
      <c r="B1" s="1"/>
      <c r="C1" s="1"/>
      <c r="D1" s="1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348" t="s">
        <v>0</v>
      </c>
      <c r="B2" s="349"/>
      <c r="C2" s="349"/>
      <c r="D2" s="349"/>
      <c r="E2" s="349"/>
      <c r="F2" s="34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1"/>
      <c r="B3" s="1"/>
      <c r="C3" s="1"/>
      <c r="D3" s="1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6.5" x14ac:dyDescent="0.25">
      <c r="A4" s="350" t="s">
        <v>1</v>
      </c>
      <c r="B4" s="349"/>
      <c r="C4" s="5"/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5.75" x14ac:dyDescent="0.25">
      <c r="A5" s="351" t="s">
        <v>2</v>
      </c>
      <c r="B5" s="352"/>
      <c r="C5" s="10">
        <v>15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15.75" x14ac:dyDescent="0.25">
      <c r="A6" s="353" t="s">
        <v>3</v>
      </c>
      <c r="B6" s="352"/>
      <c r="C6" s="11">
        <v>1.3</v>
      </c>
      <c r="D6" s="12"/>
      <c r="E6" s="12"/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5.75" x14ac:dyDescent="0.25">
      <c r="A7" s="353" t="s">
        <v>4</v>
      </c>
      <c r="B7" s="352"/>
      <c r="C7" s="11">
        <v>1.5</v>
      </c>
      <c r="D7" s="12"/>
      <c r="E7" s="12"/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15.75" x14ac:dyDescent="0.25">
      <c r="A8" s="12"/>
      <c r="B8" s="12"/>
      <c r="C8" s="12"/>
      <c r="D8" s="12"/>
      <c r="E8" s="12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5.75" x14ac:dyDescent="0.25">
      <c r="A9" s="12"/>
      <c r="B9" s="12"/>
      <c r="C9" s="12"/>
      <c r="D9" s="12"/>
      <c r="E9" s="12"/>
      <c r="F9" s="1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15.75" x14ac:dyDescent="0.25">
      <c r="A10" s="12"/>
      <c r="B10" s="12"/>
      <c r="C10" s="12"/>
      <c r="D10" s="12"/>
      <c r="E10" s="12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25">
      <c r="A11" s="354" t="s">
        <v>5</v>
      </c>
      <c r="B11" s="349"/>
      <c r="C11" s="349"/>
      <c r="D11" s="349"/>
      <c r="E11" s="349"/>
      <c r="F11" s="34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5.75" x14ac:dyDescent="0.25">
      <c r="A12" s="12"/>
      <c r="B12" s="12"/>
      <c r="C12" s="12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355" t="s">
        <v>0</v>
      </c>
      <c r="B13" s="331" t="s">
        <v>6</v>
      </c>
      <c r="C13" s="333" t="s">
        <v>7</v>
      </c>
      <c r="D13" s="339" t="s">
        <v>8</v>
      </c>
      <c r="E13" s="340"/>
      <c r="F13" s="333" t="s">
        <v>9</v>
      </c>
      <c r="G13" s="341" t="s">
        <v>10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15.75" x14ac:dyDescent="0.25">
      <c r="A14" s="336"/>
      <c r="B14" s="332"/>
      <c r="C14" s="334"/>
      <c r="D14" s="15" t="s">
        <v>11</v>
      </c>
      <c r="E14" s="15" t="s">
        <v>12</v>
      </c>
      <c r="F14" s="334"/>
      <c r="G14" s="342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ht="15.75" x14ac:dyDescent="0.25">
      <c r="A15" s="336"/>
      <c r="B15" s="17">
        <v>46013</v>
      </c>
      <c r="C15" s="18">
        <v>20</v>
      </c>
      <c r="D15" s="19">
        <f t="shared" ref="D15:D17" si="0">C5/100*C15</f>
        <v>3</v>
      </c>
      <c r="E15" s="19">
        <f t="shared" ref="E15:E17" si="1">D15*C7</f>
        <v>4.5</v>
      </c>
      <c r="F15" s="19">
        <v>40</v>
      </c>
      <c r="G15" s="20">
        <f t="shared" ref="G15:G17" si="2">F15-E15</f>
        <v>35.5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5.75" x14ac:dyDescent="0.25">
      <c r="A16" s="336"/>
      <c r="B16" s="21"/>
      <c r="C16" s="18">
        <v>4.4999999999999998E-2</v>
      </c>
      <c r="D16" s="19">
        <f t="shared" si="0"/>
        <v>5.8500000000000002E-4</v>
      </c>
      <c r="E16" s="19">
        <f t="shared" si="1"/>
        <v>0</v>
      </c>
      <c r="F16" s="19"/>
      <c r="G16" s="20">
        <f t="shared" si="2"/>
        <v>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 ht="15.75" x14ac:dyDescent="0.25">
      <c r="A17" s="336"/>
      <c r="B17" s="22"/>
      <c r="C17" s="23">
        <v>0.05</v>
      </c>
      <c r="D17" s="24">
        <f t="shared" si="0"/>
        <v>7.5000000000000002E-4</v>
      </c>
      <c r="E17" s="24">
        <f t="shared" si="1"/>
        <v>0</v>
      </c>
      <c r="F17" s="24"/>
      <c r="G17" s="25">
        <f t="shared" si="2"/>
        <v>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ht="15.75" x14ac:dyDescent="0.25">
      <c r="A18" s="337"/>
      <c r="B18" s="26" t="s">
        <v>13</v>
      </c>
      <c r="C18" s="27">
        <f t="shared" ref="C18:G18" si="3">C15+C16+C17</f>
        <v>20.095000000000002</v>
      </c>
      <c r="D18" s="28">
        <f t="shared" si="3"/>
        <v>3.0013350000000001</v>
      </c>
      <c r="E18" s="28">
        <f t="shared" si="3"/>
        <v>4.5</v>
      </c>
      <c r="F18" s="28">
        <f t="shared" si="3"/>
        <v>40</v>
      </c>
      <c r="G18" s="29">
        <f t="shared" si="3"/>
        <v>35.5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ht="15.75" x14ac:dyDescent="0.25">
      <c r="A19" s="335" t="s">
        <v>14</v>
      </c>
      <c r="B19" s="338" t="s">
        <v>6</v>
      </c>
      <c r="C19" s="343" t="s">
        <v>15</v>
      </c>
      <c r="D19" s="340"/>
      <c r="E19" s="344" t="s">
        <v>16</v>
      </c>
      <c r="F19" s="340"/>
      <c r="G19" s="3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5.75" x14ac:dyDescent="0.25">
      <c r="A20" s="336"/>
      <c r="B20" s="332"/>
      <c r="C20" s="31" t="s">
        <v>11</v>
      </c>
      <c r="D20" s="32" t="s">
        <v>12</v>
      </c>
      <c r="E20" s="32" t="s">
        <v>17</v>
      </c>
      <c r="F20" s="32" t="s">
        <v>18</v>
      </c>
      <c r="G20" s="2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15.75" x14ac:dyDescent="0.25">
      <c r="A21" s="336"/>
      <c r="B21" s="33">
        <v>46013</v>
      </c>
      <c r="C21" s="34">
        <v>100</v>
      </c>
      <c r="D21" s="35">
        <v>115</v>
      </c>
      <c r="E21" s="35">
        <v>100</v>
      </c>
      <c r="F21" s="35">
        <v>100</v>
      </c>
      <c r="G21" s="20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5.75" x14ac:dyDescent="0.25">
      <c r="A22" s="336"/>
      <c r="B22" s="36"/>
      <c r="C22" s="37"/>
      <c r="D22" s="24"/>
      <c r="E22" s="24"/>
      <c r="F22" s="24"/>
      <c r="G22" s="2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15.75" x14ac:dyDescent="0.25">
      <c r="A23" s="337"/>
      <c r="B23" s="38" t="s">
        <v>13</v>
      </c>
      <c r="C23" s="39">
        <f t="shared" ref="C23:F23" si="4">C21+C22</f>
        <v>100</v>
      </c>
      <c r="D23" s="39">
        <f t="shared" si="4"/>
        <v>115</v>
      </c>
      <c r="E23" s="39">
        <f t="shared" si="4"/>
        <v>100</v>
      </c>
      <c r="F23" s="39">
        <f t="shared" si="4"/>
        <v>100</v>
      </c>
      <c r="G23" s="40">
        <f>C23+D23+E23+F23</f>
        <v>415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ht="21.75" customHeight="1" x14ac:dyDescent="0.25">
      <c r="A24" s="345" t="s">
        <v>19</v>
      </c>
      <c r="B24" s="346"/>
      <c r="C24" s="346"/>
      <c r="D24" s="346"/>
      <c r="E24" s="346"/>
      <c r="F24" s="347"/>
      <c r="G24" s="41">
        <f>G18-G23</f>
        <v>-379.5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5">
      <c r="A25" s="9"/>
      <c r="B25" s="9"/>
      <c r="C25" s="9"/>
      <c r="D25" s="9"/>
      <c r="E25" s="42"/>
      <c r="F25" s="43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5">
      <c r="A26" s="9"/>
      <c r="B26" s="9"/>
      <c r="C26" s="9"/>
      <c r="D26" s="9"/>
      <c r="E26" s="42"/>
      <c r="F26" s="43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25">
      <c r="A27" s="9"/>
      <c r="B27" s="9"/>
      <c r="C27" s="9"/>
      <c r="D27" s="9"/>
      <c r="E27" s="42"/>
      <c r="F27" s="43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5">
      <c r="A28" s="9"/>
      <c r="B28" s="9"/>
      <c r="C28" s="9"/>
      <c r="D28" s="9"/>
      <c r="E28" s="42"/>
      <c r="F28" s="43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5">
      <c r="A29" s="9"/>
      <c r="B29" s="9"/>
      <c r="C29" s="9"/>
      <c r="D29" s="9"/>
      <c r="E29" s="42"/>
      <c r="F29" s="43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5">
      <c r="A30" s="9"/>
      <c r="B30" s="9"/>
      <c r="C30" s="9"/>
      <c r="D30" s="9"/>
      <c r="E30" s="42"/>
      <c r="F30" s="43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5">
      <c r="A31" s="9"/>
      <c r="B31" s="9"/>
      <c r="C31" s="9"/>
      <c r="D31" s="9"/>
      <c r="E31" s="42"/>
      <c r="F31" s="43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25">
      <c r="A32" s="9"/>
      <c r="B32" s="9"/>
      <c r="C32" s="9"/>
      <c r="D32" s="9"/>
      <c r="E32" s="42"/>
      <c r="F32" s="43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5">
      <c r="A33" s="9"/>
      <c r="B33" s="9"/>
      <c r="C33" s="9"/>
      <c r="D33" s="9"/>
      <c r="E33" s="42"/>
      <c r="F33" s="4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5">
      <c r="A34" s="9"/>
      <c r="B34" s="9"/>
      <c r="C34" s="9"/>
      <c r="D34" s="9"/>
      <c r="E34" s="42"/>
      <c r="F34" s="43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5">
      <c r="A35" s="9"/>
      <c r="B35" s="9"/>
      <c r="C35" s="9"/>
      <c r="D35" s="9"/>
      <c r="E35" s="42"/>
      <c r="F35" s="43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5">
      <c r="A36" s="9"/>
      <c r="B36" s="9"/>
      <c r="C36" s="9"/>
      <c r="D36" s="9"/>
      <c r="E36" s="42"/>
      <c r="F36" s="43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5">
      <c r="A37" s="9"/>
      <c r="B37" s="9"/>
      <c r="C37" s="9"/>
      <c r="D37" s="9"/>
      <c r="E37" s="42"/>
      <c r="F37" s="43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25">
      <c r="A38" s="9"/>
      <c r="B38" s="9"/>
      <c r="C38" s="9"/>
      <c r="D38" s="9"/>
      <c r="E38" s="42"/>
      <c r="F38" s="43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5">
      <c r="A39" s="9"/>
      <c r="B39" s="9"/>
      <c r="C39" s="9"/>
      <c r="D39" s="9"/>
      <c r="E39" s="42"/>
      <c r="F39" s="4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5">
      <c r="A40" s="9"/>
      <c r="B40" s="9"/>
      <c r="C40" s="9"/>
      <c r="D40" s="9"/>
      <c r="E40" s="42"/>
      <c r="F40" s="43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5">
      <c r="A41" s="9"/>
      <c r="B41" s="9"/>
      <c r="C41" s="9"/>
      <c r="D41" s="9"/>
      <c r="E41" s="42"/>
      <c r="F41" s="43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5">
      <c r="A42" s="9"/>
      <c r="B42" s="9"/>
      <c r="C42" s="9"/>
      <c r="D42" s="9"/>
      <c r="E42" s="42"/>
      <c r="F42" s="4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5">
      <c r="A43" s="9"/>
      <c r="B43" s="9"/>
      <c r="C43" s="9"/>
      <c r="D43" s="9"/>
      <c r="E43" s="42"/>
      <c r="F43" s="4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5">
      <c r="A44" s="9"/>
      <c r="B44" s="9"/>
      <c r="C44" s="9"/>
      <c r="D44" s="9"/>
      <c r="E44" s="42"/>
      <c r="F44" s="4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x14ac:dyDescent="0.25">
      <c r="A45" s="9"/>
      <c r="B45" s="9"/>
      <c r="C45" s="9"/>
      <c r="D45" s="9"/>
      <c r="E45" s="42"/>
      <c r="F45" s="43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5">
      <c r="A46" s="9"/>
      <c r="B46" s="9"/>
      <c r="C46" s="9"/>
      <c r="D46" s="9"/>
      <c r="E46" s="42"/>
      <c r="F46" s="4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5">
      <c r="A47" s="9"/>
      <c r="B47" s="9"/>
      <c r="C47" s="9"/>
      <c r="D47" s="9"/>
      <c r="E47" s="42"/>
      <c r="F47" s="43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x14ac:dyDescent="0.25">
      <c r="A48" s="9"/>
      <c r="B48" s="9"/>
      <c r="C48" s="9"/>
      <c r="D48" s="9"/>
      <c r="E48" s="42"/>
      <c r="F48" s="43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5">
      <c r="A49" s="9"/>
      <c r="B49" s="9"/>
      <c r="C49" s="9"/>
      <c r="D49" s="9"/>
      <c r="E49" s="42"/>
      <c r="F49" s="43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5">
      <c r="A50" s="9"/>
      <c r="B50" s="9"/>
      <c r="C50" s="9"/>
      <c r="D50" s="9"/>
      <c r="E50" s="42"/>
      <c r="F50" s="43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x14ac:dyDescent="0.25">
      <c r="A51" s="9"/>
      <c r="B51" s="9"/>
      <c r="C51" s="9"/>
      <c r="D51" s="9"/>
      <c r="E51" s="42"/>
      <c r="F51" s="43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5">
      <c r="A52" s="9"/>
      <c r="B52" s="9"/>
      <c r="C52" s="9"/>
      <c r="D52" s="9"/>
      <c r="E52" s="42"/>
      <c r="F52" s="43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5">
      <c r="A53" s="9"/>
      <c r="B53" s="9"/>
      <c r="C53" s="9"/>
      <c r="D53" s="9"/>
      <c r="E53" s="42"/>
      <c r="F53" s="4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5">
      <c r="A54" s="9"/>
      <c r="B54" s="9"/>
      <c r="C54" s="9"/>
      <c r="D54" s="9"/>
      <c r="E54" s="42"/>
      <c r="F54" s="43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5">
      <c r="A55" s="9"/>
      <c r="B55" s="9"/>
      <c r="C55" s="9"/>
      <c r="D55" s="9"/>
      <c r="E55" s="42"/>
      <c r="F55" s="43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5">
      <c r="A56" s="9"/>
      <c r="B56" s="9"/>
      <c r="C56" s="9"/>
      <c r="D56" s="9"/>
      <c r="E56" s="42"/>
      <c r="F56" s="43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5">
      <c r="A57" s="9"/>
      <c r="B57" s="9"/>
      <c r="C57" s="9"/>
      <c r="D57" s="9"/>
      <c r="E57" s="42"/>
      <c r="F57" s="43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5">
      <c r="A58" s="9"/>
      <c r="B58" s="9"/>
      <c r="C58" s="9"/>
      <c r="D58" s="9"/>
      <c r="E58" s="42"/>
      <c r="F58" s="4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5">
      <c r="A59" s="9"/>
      <c r="B59" s="9"/>
      <c r="C59" s="9"/>
      <c r="D59" s="9"/>
      <c r="E59" s="42"/>
      <c r="F59" s="43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5">
      <c r="A60" s="9"/>
      <c r="B60" s="9"/>
      <c r="C60" s="9"/>
      <c r="D60" s="9"/>
      <c r="E60" s="42"/>
      <c r="F60" s="43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5">
      <c r="A61" s="9"/>
      <c r="B61" s="9"/>
      <c r="C61" s="9"/>
      <c r="D61" s="9"/>
      <c r="E61" s="42"/>
      <c r="F61" s="43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5">
      <c r="A62" s="9"/>
      <c r="B62" s="9"/>
      <c r="C62" s="9"/>
      <c r="D62" s="9"/>
      <c r="E62" s="42"/>
      <c r="F62" s="43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5">
      <c r="A63" s="9"/>
      <c r="B63" s="9"/>
      <c r="C63" s="9"/>
      <c r="D63" s="9"/>
      <c r="E63" s="42"/>
      <c r="F63" s="43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5">
      <c r="A64" s="9"/>
      <c r="B64" s="9"/>
      <c r="C64" s="9"/>
      <c r="D64" s="9"/>
      <c r="E64" s="42"/>
      <c r="F64" s="43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5">
      <c r="A65" s="9"/>
      <c r="B65" s="9"/>
      <c r="C65" s="9"/>
      <c r="D65" s="9"/>
      <c r="E65" s="42"/>
      <c r="F65" s="43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5">
      <c r="A66" s="9"/>
      <c r="B66" s="9"/>
      <c r="C66" s="9"/>
      <c r="D66" s="9"/>
      <c r="E66" s="42"/>
      <c r="F66" s="43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5">
      <c r="A67" s="9"/>
      <c r="B67" s="9"/>
      <c r="C67" s="9"/>
      <c r="D67" s="9"/>
      <c r="E67" s="42"/>
      <c r="F67" s="43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x14ac:dyDescent="0.25">
      <c r="A68" s="9"/>
      <c r="B68" s="9"/>
      <c r="C68" s="9"/>
      <c r="D68" s="9"/>
      <c r="E68" s="42"/>
      <c r="F68" s="43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5">
      <c r="A69" s="9"/>
      <c r="B69" s="9"/>
      <c r="C69" s="9"/>
      <c r="D69" s="9"/>
      <c r="E69" s="42"/>
      <c r="F69" s="43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5">
      <c r="A70" s="9"/>
      <c r="B70" s="9"/>
      <c r="C70" s="9"/>
      <c r="D70" s="9"/>
      <c r="E70" s="42"/>
      <c r="F70" s="43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5">
      <c r="A71" s="9"/>
      <c r="B71" s="9"/>
      <c r="C71" s="9"/>
      <c r="D71" s="9"/>
      <c r="E71" s="42"/>
      <c r="F71" s="43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5">
      <c r="A72" s="9"/>
      <c r="B72" s="9"/>
      <c r="C72" s="9"/>
      <c r="D72" s="9"/>
      <c r="E72" s="42"/>
      <c r="F72" s="43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5">
      <c r="A73" s="9"/>
      <c r="B73" s="9"/>
      <c r="C73" s="9"/>
      <c r="D73" s="9"/>
      <c r="E73" s="42"/>
      <c r="F73" s="43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5">
      <c r="A74" s="9"/>
      <c r="B74" s="9"/>
      <c r="C74" s="9"/>
      <c r="D74" s="9"/>
      <c r="E74" s="42"/>
      <c r="F74" s="43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5">
      <c r="A75" s="9"/>
      <c r="B75" s="9"/>
      <c r="C75" s="9"/>
      <c r="D75" s="9"/>
      <c r="E75" s="42"/>
      <c r="F75" s="43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5">
      <c r="A76" s="9"/>
      <c r="B76" s="9"/>
      <c r="C76" s="9"/>
      <c r="D76" s="9"/>
      <c r="E76" s="42"/>
      <c r="F76" s="43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5">
      <c r="A77" s="9"/>
      <c r="B77" s="9"/>
      <c r="C77" s="9"/>
      <c r="D77" s="9"/>
      <c r="E77" s="42"/>
      <c r="F77" s="43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5">
      <c r="A78" s="9"/>
      <c r="B78" s="9"/>
      <c r="C78" s="9"/>
      <c r="D78" s="9"/>
      <c r="E78" s="42"/>
      <c r="F78" s="43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5">
      <c r="A79" s="9"/>
      <c r="B79" s="9"/>
      <c r="C79" s="9"/>
      <c r="D79" s="9"/>
      <c r="E79" s="42"/>
      <c r="F79" s="43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5">
      <c r="A80" s="9"/>
      <c r="B80" s="9"/>
      <c r="C80" s="9"/>
      <c r="D80" s="9"/>
      <c r="E80" s="42"/>
      <c r="F80" s="43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5">
      <c r="A81" s="9"/>
      <c r="B81" s="9"/>
      <c r="C81" s="9"/>
      <c r="D81" s="9"/>
      <c r="E81" s="42"/>
      <c r="F81" s="43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x14ac:dyDescent="0.25">
      <c r="A82" s="9"/>
      <c r="B82" s="9"/>
      <c r="C82" s="9"/>
      <c r="D82" s="9"/>
      <c r="E82" s="42"/>
      <c r="F82" s="43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x14ac:dyDescent="0.25">
      <c r="A83" s="9"/>
      <c r="B83" s="9"/>
      <c r="C83" s="9"/>
      <c r="D83" s="9"/>
      <c r="E83" s="42"/>
      <c r="F83" s="43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x14ac:dyDescent="0.25">
      <c r="A84" s="9"/>
      <c r="B84" s="9"/>
      <c r="C84" s="9"/>
      <c r="D84" s="9"/>
      <c r="E84" s="42"/>
      <c r="F84" s="43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x14ac:dyDescent="0.25">
      <c r="A85" s="9"/>
      <c r="B85" s="9"/>
      <c r="C85" s="9"/>
      <c r="D85" s="9"/>
      <c r="E85" s="42"/>
      <c r="F85" s="43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x14ac:dyDescent="0.25">
      <c r="A86" s="9"/>
      <c r="B86" s="9"/>
      <c r="C86" s="9"/>
      <c r="D86" s="9"/>
      <c r="E86" s="42"/>
      <c r="F86" s="43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x14ac:dyDescent="0.25">
      <c r="A87" s="9"/>
      <c r="B87" s="9"/>
      <c r="C87" s="9"/>
      <c r="D87" s="9"/>
      <c r="E87" s="42"/>
      <c r="F87" s="43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x14ac:dyDescent="0.25">
      <c r="A88" s="9"/>
      <c r="B88" s="9"/>
      <c r="C88" s="9"/>
      <c r="D88" s="9"/>
      <c r="E88" s="42"/>
      <c r="F88" s="43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x14ac:dyDescent="0.25">
      <c r="A89" s="9"/>
      <c r="B89" s="9"/>
      <c r="C89" s="9"/>
      <c r="D89" s="9"/>
      <c r="E89" s="42"/>
      <c r="F89" s="43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x14ac:dyDescent="0.25">
      <c r="A90" s="9"/>
      <c r="B90" s="9"/>
      <c r="C90" s="9"/>
      <c r="D90" s="9"/>
      <c r="E90" s="42"/>
      <c r="F90" s="43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x14ac:dyDescent="0.25">
      <c r="A91" s="9"/>
      <c r="B91" s="9"/>
      <c r="C91" s="9"/>
      <c r="D91" s="9"/>
      <c r="E91" s="42"/>
      <c r="F91" s="43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x14ac:dyDescent="0.25">
      <c r="A92" s="9"/>
      <c r="B92" s="9"/>
      <c r="C92" s="9"/>
      <c r="D92" s="9"/>
      <c r="E92" s="42"/>
      <c r="F92" s="43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x14ac:dyDescent="0.25">
      <c r="A93" s="9"/>
      <c r="B93" s="9"/>
      <c r="C93" s="9"/>
      <c r="D93" s="9"/>
      <c r="E93" s="42"/>
      <c r="F93" s="43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x14ac:dyDescent="0.25">
      <c r="A94" s="9"/>
      <c r="B94" s="9"/>
      <c r="C94" s="9"/>
      <c r="D94" s="9"/>
      <c r="E94" s="42"/>
      <c r="F94" s="43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x14ac:dyDescent="0.25">
      <c r="A95" s="9"/>
      <c r="B95" s="9"/>
      <c r="C95" s="9"/>
      <c r="D95" s="9"/>
      <c r="E95" s="42"/>
      <c r="F95" s="43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x14ac:dyDescent="0.25">
      <c r="A96" s="9"/>
      <c r="B96" s="9"/>
      <c r="C96" s="9"/>
      <c r="D96" s="9"/>
      <c r="E96" s="42"/>
      <c r="F96" s="43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x14ac:dyDescent="0.25">
      <c r="A97" s="9"/>
      <c r="B97" s="9"/>
      <c r="C97" s="9"/>
      <c r="D97" s="9"/>
      <c r="E97" s="42"/>
      <c r="F97" s="4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x14ac:dyDescent="0.25">
      <c r="A98" s="9"/>
      <c r="B98" s="9"/>
      <c r="C98" s="9"/>
      <c r="D98" s="9"/>
      <c r="E98" s="42"/>
      <c r="F98" s="4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x14ac:dyDescent="0.25">
      <c r="A99" s="9"/>
      <c r="B99" s="9"/>
      <c r="C99" s="9"/>
      <c r="D99" s="9"/>
      <c r="E99" s="42"/>
      <c r="F99" s="4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x14ac:dyDescent="0.25">
      <c r="A100" s="9"/>
      <c r="B100" s="9"/>
      <c r="C100" s="9"/>
      <c r="D100" s="9"/>
      <c r="E100" s="42"/>
      <c r="F100" s="4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x14ac:dyDescent="0.25">
      <c r="A101" s="9"/>
      <c r="B101" s="9"/>
      <c r="C101" s="9"/>
      <c r="D101" s="9"/>
      <c r="E101" s="42"/>
      <c r="F101" s="4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x14ac:dyDescent="0.25">
      <c r="A102" s="9"/>
      <c r="B102" s="9"/>
      <c r="C102" s="9"/>
      <c r="D102" s="9"/>
      <c r="E102" s="42"/>
      <c r="F102" s="4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x14ac:dyDescent="0.25">
      <c r="A103" s="9"/>
      <c r="B103" s="9"/>
      <c r="C103" s="9"/>
      <c r="D103" s="9"/>
      <c r="E103" s="42"/>
      <c r="F103" s="4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x14ac:dyDescent="0.25">
      <c r="A104" s="9"/>
      <c r="B104" s="9"/>
      <c r="C104" s="9"/>
      <c r="D104" s="9"/>
      <c r="E104" s="42"/>
      <c r="F104" s="4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x14ac:dyDescent="0.25">
      <c r="A105" s="9"/>
      <c r="B105" s="9"/>
      <c r="C105" s="9"/>
      <c r="D105" s="9"/>
      <c r="E105" s="42"/>
      <c r="F105" s="4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x14ac:dyDescent="0.25">
      <c r="A106" s="9"/>
      <c r="B106" s="9"/>
      <c r="C106" s="9"/>
      <c r="D106" s="9"/>
      <c r="E106" s="42"/>
      <c r="F106" s="4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x14ac:dyDescent="0.25">
      <c r="A107" s="9"/>
      <c r="B107" s="9"/>
      <c r="C107" s="9"/>
      <c r="D107" s="9"/>
      <c r="E107" s="42"/>
      <c r="F107" s="4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x14ac:dyDescent="0.25">
      <c r="A108" s="9"/>
      <c r="B108" s="9"/>
      <c r="C108" s="9"/>
      <c r="D108" s="9"/>
      <c r="E108" s="42"/>
      <c r="F108" s="4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x14ac:dyDescent="0.25">
      <c r="A109" s="9"/>
      <c r="B109" s="9"/>
      <c r="C109" s="9"/>
      <c r="D109" s="9"/>
      <c r="E109" s="42"/>
      <c r="F109" s="4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x14ac:dyDescent="0.25">
      <c r="A110" s="9"/>
      <c r="B110" s="9"/>
      <c r="C110" s="9"/>
      <c r="D110" s="9"/>
      <c r="E110" s="42"/>
      <c r="F110" s="4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x14ac:dyDescent="0.25">
      <c r="A111" s="9"/>
      <c r="B111" s="9"/>
      <c r="C111" s="9"/>
      <c r="D111" s="9"/>
      <c r="E111" s="42"/>
      <c r="F111" s="4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x14ac:dyDescent="0.25">
      <c r="A112" s="9"/>
      <c r="B112" s="9"/>
      <c r="C112" s="9"/>
      <c r="D112" s="9"/>
      <c r="E112" s="42"/>
      <c r="F112" s="4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19" x14ac:dyDescent="0.25">
      <c r="A113" s="9"/>
      <c r="B113" s="9"/>
      <c r="C113" s="9"/>
      <c r="D113" s="9"/>
      <c r="E113" s="42"/>
      <c r="F113" s="4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19" x14ac:dyDescent="0.25">
      <c r="A114" s="9"/>
      <c r="B114" s="9"/>
      <c r="C114" s="9"/>
      <c r="D114" s="9"/>
      <c r="E114" s="42"/>
      <c r="F114" s="4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19" x14ac:dyDescent="0.25">
      <c r="A115" s="9"/>
      <c r="B115" s="9"/>
      <c r="C115" s="9"/>
      <c r="D115" s="9"/>
      <c r="E115" s="42"/>
      <c r="F115" s="4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19" x14ac:dyDescent="0.25">
      <c r="A116" s="9"/>
      <c r="B116" s="9"/>
      <c r="C116" s="9"/>
      <c r="D116" s="9"/>
      <c r="E116" s="42"/>
      <c r="F116" s="4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19" x14ac:dyDescent="0.25">
      <c r="A117" s="9"/>
      <c r="B117" s="9"/>
      <c r="C117" s="9"/>
      <c r="D117" s="9"/>
      <c r="E117" s="42"/>
      <c r="F117" s="4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19" x14ac:dyDescent="0.25">
      <c r="A118" s="9"/>
      <c r="B118" s="9"/>
      <c r="C118" s="9"/>
      <c r="D118" s="9"/>
      <c r="E118" s="42"/>
      <c r="F118" s="4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19" x14ac:dyDescent="0.25">
      <c r="A119" s="9"/>
      <c r="B119" s="9"/>
      <c r="C119" s="9"/>
      <c r="D119" s="9"/>
      <c r="E119" s="42"/>
      <c r="F119" s="4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19" x14ac:dyDescent="0.25">
      <c r="A120" s="9"/>
      <c r="B120" s="9"/>
      <c r="C120" s="9"/>
      <c r="D120" s="9"/>
      <c r="E120" s="42"/>
      <c r="F120" s="4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19" x14ac:dyDescent="0.25">
      <c r="A121" s="9"/>
      <c r="B121" s="9"/>
      <c r="C121" s="9"/>
      <c r="D121" s="9"/>
      <c r="E121" s="42"/>
      <c r="F121" s="4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19" x14ac:dyDescent="0.25">
      <c r="A122" s="9"/>
      <c r="B122" s="9"/>
      <c r="C122" s="9"/>
      <c r="D122" s="9"/>
      <c r="E122" s="42"/>
      <c r="F122" s="4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19" x14ac:dyDescent="0.25">
      <c r="A123" s="9"/>
      <c r="B123" s="9"/>
      <c r="C123" s="9"/>
      <c r="D123" s="9"/>
      <c r="E123" s="42"/>
      <c r="F123" s="4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19" x14ac:dyDescent="0.25">
      <c r="A124" s="9"/>
      <c r="B124" s="9"/>
      <c r="C124" s="9"/>
      <c r="D124" s="9"/>
      <c r="E124" s="42"/>
      <c r="F124" s="4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19" x14ac:dyDescent="0.25">
      <c r="A125" s="9"/>
      <c r="B125" s="9"/>
      <c r="C125" s="9"/>
      <c r="D125" s="9"/>
      <c r="E125" s="42"/>
      <c r="F125" s="4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19" x14ac:dyDescent="0.25">
      <c r="A126" s="9"/>
      <c r="B126" s="9"/>
      <c r="C126" s="9"/>
      <c r="D126" s="9"/>
      <c r="E126" s="42"/>
      <c r="F126" s="4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19" x14ac:dyDescent="0.25">
      <c r="A127" s="9"/>
      <c r="B127" s="9"/>
      <c r="C127" s="9"/>
      <c r="D127" s="9"/>
      <c r="E127" s="42"/>
      <c r="F127" s="4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19" x14ac:dyDescent="0.25">
      <c r="A128" s="9"/>
      <c r="B128" s="9"/>
      <c r="C128" s="9"/>
      <c r="D128" s="9"/>
      <c r="E128" s="42"/>
      <c r="F128" s="4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19" x14ac:dyDescent="0.25">
      <c r="A129" s="9"/>
      <c r="B129" s="9"/>
      <c r="C129" s="9"/>
      <c r="D129" s="9"/>
      <c r="E129" s="42"/>
      <c r="F129" s="4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x14ac:dyDescent="0.25">
      <c r="A130" s="9"/>
      <c r="B130" s="9"/>
      <c r="C130" s="9"/>
      <c r="D130" s="9"/>
      <c r="E130" s="42"/>
      <c r="F130" s="4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x14ac:dyDescent="0.25">
      <c r="A131" s="9"/>
      <c r="B131" s="9"/>
      <c r="C131" s="9"/>
      <c r="D131" s="9"/>
      <c r="E131" s="42"/>
      <c r="F131" s="4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19" x14ac:dyDescent="0.25">
      <c r="A132" s="9"/>
      <c r="B132" s="9"/>
      <c r="C132" s="9"/>
      <c r="D132" s="9"/>
      <c r="E132" s="42"/>
      <c r="F132" s="4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19" x14ac:dyDescent="0.25">
      <c r="A133" s="9"/>
      <c r="B133" s="9"/>
      <c r="C133" s="9"/>
      <c r="D133" s="9"/>
      <c r="E133" s="42"/>
      <c r="F133" s="4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19" x14ac:dyDescent="0.25">
      <c r="A134" s="9"/>
      <c r="B134" s="9"/>
      <c r="C134" s="9"/>
      <c r="D134" s="9"/>
      <c r="E134" s="42"/>
      <c r="F134" s="4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19" x14ac:dyDescent="0.25">
      <c r="A135" s="9"/>
      <c r="B135" s="9"/>
      <c r="C135" s="9"/>
      <c r="D135" s="9"/>
      <c r="E135" s="42"/>
      <c r="F135" s="4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19" x14ac:dyDescent="0.25">
      <c r="A136" s="9"/>
      <c r="B136" s="9"/>
      <c r="C136" s="9"/>
      <c r="D136" s="9"/>
      <c r="E136" s="42"/>
      <c r="F136" s="4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19" x14ac:dyDescent="0.25">
      <c r="A137" s="9"/>
      <c r="B137" s="9"/>
      <c r="C137" s="9"/>
      <c r="D137" s="9"/>
      <c r="E137" s="42"/>
      <c r="F137" s="4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19" x14ac:dyDescent="0.25">
      <c r="A138" s="9"/>
      <c r="B138" s="9"/>
      <c r="C138" s="9"/>
      <c r="D138" s="9"/>
      <c r="E138" s="42"/>
      <c r="F138" s="4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19" x14ac:dyDescent="0.25">
      <c r="A139" s="9"/>
      <c r="B139" s="9"/>
      <c r="C139" s="9"/>
      <c r="D139" s="9"/>
      <c r="E139" s="42"/>
      <c r="F139" s="4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x14ac:dyDescent="0.25">
      <c r="A140" s="9"/>
      <c r="B140" s="9"/>
      <c r="C140" s="9"/>
      <c r="D140" s="9"/>
      <c r="E140" s="42"/>
      <c r="F140" s="4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x14ac:dyDescent="0.25">
      <c r="A141" s="9"/>
      <c r="B141" s="9"/>
      <c r="C141" s="9"/>
      <c r="D141" s="9"/>
      <c r="E141" s="42"/>
      <c r="F141" s="4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x14ac:dyDescent="0.25">
      <c r="A142" s="9"/>
      <c r="B142" s="9"/>
      <c r="C142" s="9"/>
      <c r="D142" s="9"/>
      <c r="E142" s="42"/>
      <c r="F142" s="4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19" x14ac:dyDescent="0.25">
      <c r="A143" s="9"/>
      <c r="B143" s="9"/>
      <c r="C143" s="9"/>
      <c r="D143" s="9"/>
      <c r="E143" s="42"/>
      <c r="F143" s="4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x14ac:dyDescent="0.25">
      <c r="A144" s="9"/>
      <c r="B144" s="9"/>
      <c r="C144" s="9"/>
      <c r="D144" s="9"/>
      <c r="E144" s="42"/>
      <c r="F144" s="4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19" x14ac:dyDescent="0.25">
      <c r="A145" s="9"/>
      <c r="B145" s="9"/>
      <c r="C145" s="9"/>
      <c r="D145" s="9"/>
      <c r="E145" s="42"/>
      <c r="F145" s="4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x14ac:dyDescent="0.25">
      <c r="A146" s="9"/>
      <c r="B146" s="9"/>
      <c r="C146" s="9"/>
      <c r="D146" s="9"/>
      <c r="E146" s="42"/>
      <c r="F146" s="4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19" x14ac:dyDescent="0.25">
      <c r="A147" s="9"/>
      <c r="B147" s="9"/>
      <c r="C147" s="9"/>
      <c r="D147" s="9"/>
      <c r="E147" s="42"/>
      <c r="F147" s="4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x14ac:dyDescent="0.25">
      <c r="A148" s="9"/>
      <c r="B148" s="9"/>
      <c r="C148" s="9"/>
      <c r="D148" s="9"/>
      <c r="E148" s="42"/>
      <c r="F148" s="4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x14ac:dyDescent="0.25">
      <c r="A149" s="9"/>
      <c r="B149" s="9"/>
      <c r="C149" s="9"/>
      <c r="D149" s="9"/>
      <c r="E149" s="42"/>
      <c r="F149" s="4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19" x14ac:dyDescent="0.25">
      <c r="A150" s="9"/>
      <c r="B150" s="9"/>
      <c r="C150" s="9"/>
      <c r="D150" s="9"/>
      <c r="E150" s="42"/>
      <c r="F150" s="4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19" x14ac:dyDescent="0.25">
      <c r="A151" s="9"/>
      <c r="B151" s="9"/>
      <c r="C151" s="9"/>
      <c r="D151" s="9"/>
      <c r="E151" s="42"/>
      <c r="F151" s="4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19" x14ac:dyDescent="0.25">
      <c r="A152" s="9"/>
      <c r="B152" s="9"/>
      <c r="C152" s="9"/>
      <c r="D152" s="9"/>
      <c r="E152" s="42"/>
      <c r="F152" s="4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19" x14ac:dyDescent="0.25">
      <c r="A153" s="9"/>
      <c r="B153" s="9"/>
      <c r="C153" s="9"/>
      <c r="D153" s="9"/>
      <c r="E153" s="42"/>
      <c r="F153" s="4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19" x14ac:dyDescent="0.25">
      <c r="A154" s="9"/>
      <c r="B154" s="9"/>
      <c r="C154" s="9"/>
      <c r="D154" s="9"/>
      <c r="E154" s="42"/>
      <c r="F154" s="4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x14ac:dyDescent="0.25">
      <c r="A155" s="9"/>
      <c r="B155" s="9"/>
      <c r="C155" s="9"/>
      <c r="D155" s="9"/>
      <c r="E155" s="42"/>
      <c r="F155" s="4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19" x14ac:dyDescent="0.25">
      <c r="A156" s="9"/>
      <c r="B156" s="9"/>
      <c r="C156" s="9"/>
      <c r="D156" s="9"/>
      <c r="E156" s="42"/>
      <c r="F156" s="4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19" x14ac:dyDescent="0.25">
      <c r="A157" s="9"/>
      <c r="B157" s="9"/>
      <c r="C157" s="9"/>
      <c r="D157" s="9"/>
      <c r="E157" s="42"/>
      <c r="F157" s="4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19" x14ac:dyDescent="0.25">
      <c r="A158" s="9"/>
      <c r="B158" s="9"/>
      <c r="C158" s="9"/>
      <c r="D158" s="9"/>
      <c r="E158" s="42"/>
      <c r="F158" s="4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19" x14ac:dyDescent="0.25">
      <c r="A159" s="9"/>
      <c r="B159" s="9"/>
      <c r="C159" s="9"/>
      <c r="D159" s="9"/>
      <c r="E159" s="42"/>
      <c r="F159" s="4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19" x14ac:dyDescent="0.25">
      <c r="A160" s="9"/>
      <c r="B160" s="9"/>
      <c r="C160" s="9"/>
      <c r="D160" s="9"/>
      <c r="E160" s="42"/>
      <c r="F160" s="4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19" x14ac:dyDescent="0.25">
      <c r="A161" s="9"/>
      <c r="B161" s="9"/>
      <c r="C161" s="9"/>
      <c r="D161" s="9"/>
      <c r="E161" s="42"/>
      <c r="F161" s="4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19" x14ac:dyDescent="0.25">
      <c r="A162" s="9"/>
      <c r="B162" s="9"/>
      <c r="C162" s="9"/>
      <c r="D162" s="9"/>
      <c r="E162" s="42"/>
      <c r="F162" s="4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x14ac:dyDescent="0.25">
      <c r="A163" s="9"/>
      <c r="B163" s="9"/>
      <c r="C163" s="9"/>
      <c r="D163" s="9"/>
      <c r="E163" s="42"/>
      <c r="F163" s="4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19" x14ac:dyDescent="0.25">
      <c r="A164" s="9"/>
      <c r="B164" s="9"/>
      <c r="C164" s="9"/>
      <c r="D164" s="9"/>
      <c r="E164" s="42"/>
      <c r="F164" s="4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x14ac:dyDescent="0.25">
      <c r="A165" s="9"/>
      <c r="B165" s="9"/>
      <c r="C165" s="9"/>
      <c r="D165" s="9"/>
      <c r="E165" s="42"/>
      <c r="F165" s="4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x14ac:dyDescent="0.25">
      <c r="A166" s="9"/>
      <c r="B166" s="9"/>
      <c r="C166" s="9"/>
      <c r="D166" s="9"/>
      <c r="E166" s="42"/>
      <c r="F166" s="4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19" x14ac:dyDescent="0.25">
      <c r="A167" s="9"/>
      <c r="B167" s="9"/>
      <c r="C167" s="9"/>
      <c r="D167" s="9"/>
      <c r="E167" s="42"/>
      <c r="F167" s="4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x14ac:dyDescent="0.25">
      <c r="A168" s="9"/>
      <c r="B168" s="9"/>
      <c r="C168" s="9"/>
      <c r="D168" s="9"/>
      <c r="E168" s="42"/>
      <c r="F168" s="4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19" x14ac:dyDescent="0.25">
      <c r="A169" s="9"/>
      <c r="B169" s="9"/>
      <c r="C169" s="9"/>
      <c r="D169" s="9"/>
      <c r="E169" s="42"/>
      <c r="F169" s="4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19" x14ac:dyDescent="0.25">
      <c r="A170" s="9"/>
      <c r="B170" s="9"/>
      <c r="C170" s="9"/>
      <c r="D170" s="9"/>
      <c r="E170" s="42"/>
      <c r="F170" s="4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19" x14ac:dyDescent="0.25">
      <c r="A171" s="9"/>
      <c r="B171" s="9"/>
      <c r="C171" s="9"/>
      <c r="D171" s="9"/>
      <c r="E171" s="42"/>
      <c r="F171" s="4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19" x14ac:dyDescent="0.25">
      <c r="A172" s="9"/>
      <c r="B172" s="9"/>
      <c r="C172" s="9"/>
      <c r="D172" s="9"/>
      <c r="E172" s="42"/>
      <c r="F172" s="4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19" x14ac:dyDescent="0.25">
      <c r="A173" s="9"/>
      <c r="B173" s="9"/>
      <c r="C173" s="9"/>
      <c r="D173" s="9"/>
      <c r="E173" s="42"/>
      <c r="F173" s="4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19" x14ac:dyDescent="0.25">
      <c r="A174" s="9"/>
      <c r="B174" s="9"/>
      <c r="C174" s="9"/>
      <c r="D174" s="9"/>
      <c r="E174" s="42"/>
      <c r="F174" s="4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19" x14ac:dyDescent="0.25">
      <c r="A175" s="9"/>
      <c r="B175" s="9"/>
      <c r="C175" s="9"/>
      <c r="D175" s="9"/>
      <c r="E175" s="42"/>
      <c r="F175" s="4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19" x14ac:dyDescent="0.25">
      <c r="A176" s="9"/>
      <c r="B176" s="9"/>
      <c r="C176" s="9"/>
      <c r="D176" s="9"/>
      <c r="E176" s="42"/>
      <c r="F176" s="4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19" x14ac:dyDescent="0.25">
      <c r="A177" s="9"/>
      <c r="B177" s="9"/>
      <c r="C177" s="9"/>
      <c r="D177" s="9"/>
      <c r="E177" s="42"/>
      <c r="F177" s="4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19" x14ac:dyDescent="0.25">
      <c r="A178" s="9"/>
      <c r="B178" s="9"/>
      <c r="C178" s="9"/>
      <c r="D178" s="9"/>
      <c r="E178" s="42"/>
      <c r="F178" s="4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19" x14ac:dyDescent="0.25">
      <c r="A179" s="9"/>
      <c r="B179" s="9"/>
      <c r="C179" s="9"/>
      <c r="D179" s="9"/>
      <c r="E179" s="42"/>
      <c r="F179" s="4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x14ac:dyDescent="0.25">
      <c r="A180" s="9"/>
      <c r="B180" s="9"/>
      <c r="C180" s="9"/>
      <c r="D180" s="9"/>
      <c r="E180" s="42"/>
      <c r="F180" s="4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x14ac:dyDescent="0.25">
      <c r="A181" s="9"/>
      <c r="B181" s="9"/>
      <c r="C181" s="9"/>
      <c r="D181" s="9"/>
      <c r="E181" s="42"/>
      <c r="F181" s="4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x14ac:dyDescent="0.25">
      <c r="A182" s="9"/>
      <c r="B182" s="9"/>
      <c r="C182" s="9"/>
      <c r="D182" s="9"/>
      <c r="E182" s="42"/>
      <c r="F182" s="4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x14ac:dyDescent="0.25">
      <c r="A183" s="9"/>
      <c r="B183" s="9"/>
      <c r="C183" s="9"/>
      <c r="D183" s="9"/>
      <c r="E183" s="42"/>
      <c r="F183" s="4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x14ac:dyDescent="0.25">
      <c r="A184" s="9"/>
      <c r="B184" s="9"/>
      <c r="C184" s="9"/>
      <c r="D184" s="9"/>
      <c r="E184" s="42"/>
      <c r="F184" s="4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x14ac:dyDescent="0.25">
      <c r="A185" s="9"/>
      <c r="B185" s="9"/>
      <c r="C185" s="9"/>
      <c r="D185" s="9"/>
      <c r="E185" s="42"/>
      <c r="F185" s="4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x14ac:dyDescent="0.25">
      <c r="A186" s="9"/>
      <c r="B186" s="9"/>
      <c r="C186" s="9"/>
      <c r="D186" s="9"/>
      <c r="E186" s="42"/>
      <c r="F186" s="4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x14ac:dyDescent="0.25">
      <c r="A187" s="9"/>
      <c r="B187" s="9"/>
      <c r="C187" s="9"/>
      <c r="D187" s="9"/>
      <c r="E187" s="42"/>
      <c r="F187" s="4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x14ac:dyDescent="0.25">
      <c r="A188" s="9"/>
      <c r="B188" s="9"/>
      <c r="C188" s="9"/>
      <c r="D188" s="9"/>
      <c r="E188" s="42"/>
      <c r="F188" s="4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x14ac:dyDescent="0.25">
      <c r="A189" s="9"/>
      <c r="B189" s="9"/>
      <c r="C189" s="9"/>
      <c r="D189" s="9"/>
      <c r="E189" s="42"/>
      <c r="F189" s="4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x14ac:dyDescent="0.25">
      <c r="A190" s="9"/>
      <c r="B190" s="9"/>
      <c r="C190" s="9"/>
      <c r="D190" s="9"/>
      <c r="E190" s="42"/>
      <c r="F190" s="4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x14ac:dyDescent="0.25">
      <c r="A191" s="9"/>
      <c r="B191" s="9"/>
      <c r="C191" s="9"/>
      <c r="D191" s="9"/>
      <c r="E191" s="42"/>
      <c r="F191" s="4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x14ac:dyDescent="0.25">
      <c r="A192" s="9"/>
      <c r="B192" s="9"/>
      <c r="C192" s="9"/>
      <c r="D192" s="9"/>
      <c r="E192" s="42"/>
      <c r="F192" s="4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19" x14ac:dyDescent="0.25">
      <c r="A193" s="9"/>
      <c r="B193" s="9"/>
      <c r="C193" s="9"/>
      <c r="D193" s="9"/>
      <c r="E193" s="42"/>
      <c r="F193" s="4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19" x14ac:dyDescent="0.25">
      <c r="A194" s="9"/>
      <c r="B194" s="9"/>
      <c r="C194" s="9"/>
      <c r="D194" s="9"/>
      <c r="E194" s="42"/>
      <c r="F194" s="4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19" x14ac:dyDescent="0.25">
      <c r="A195" s="9"/>
      <c r="B195" s="9"/>
      <c r="C195" s="9"/>
      <c r="D195" s="9"/>
      <c r="E195" s="42"/>
      <c r="F195" s="4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19" x14ac:dyDescent="0.25">
      <c r="A196" s="9"/>
      <c r="B196" s="9"/>
      <c r="C196" s="9"/>
      <c r="D196" s="9"/>
      <c r="E196" s="42"/>
      <c r="F196" s="4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19" x14ac:dyDescent="0.25">
      <c r="A197" s="9"/>
      <c r="B197" s="9"/>
      <c r="C197" s="9"/>
      <c r="D197" s="9"/>
      <c r="E197" s="42"/>
      <c r="F197" s="4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19" x14ac:dyDescent="0.25">
      <c r="A198" s="9"/>
      <c r="B198" s="9"/>
      <c r="C198" s="9"/>
      <c r="D198" s="9"/>
      <c r="E198" s="42"/>
      <c r="F198" s="4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19" x14ac:dyDescent="0.25">
      <c r="A199" s="9"/>
      <c r="B199" s="9"/>
      <c r="C199" s="9"/>
      <c r="D199" s="9"/>
      <c r="E199" s="42"/>
      <c r="F199" s="4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19" x14ac:dyDescent="0.25">
      <c r="A200" s="9"/>
      <c r="B200" s="9"/>
      <c r="C200" s="9"/>
      <c r="D200" s="9"/>
      <c r="E200" s="42"/>
      <c r="F200" s="4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19" x14ac:dyDescent="0.25">
      <c r="A201" s="9"/>
      <c r="B201" s="9"/>
      <c r="C201" s="9"/>
      <c r="D201" s="9"/>
      <c r="E201" s="42"/>
      <c r="F201" s="4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19" x14ac:dyDescent="0.25">
      <c r="A202" s="9"/>
      <c r="B202" s="9"/>
      <c r="C202" s="9"/>
      <c r="D202" s="9"/>
      <c r="E202" s="42"/>
      <c r="F202" s="4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19" x14ac:dyDescent="0.25">
      <c r="A203" s="9"/>
      <c r="B203" s="9"/>
      <c r="C203" s="9"/>
      <c r="D203" s="9"/>
      <c r="E203" s="42"/>
      <c r="F203" s="4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19" x14ac:dyDescent="0.25">
      <c r="A204" s="9"/>
      <c r="B204" s="9"/>
      <c r="C204" s="9"/>
      <c r="D204" s="9"/>
      <c r="E204" s="42"/>
      <c r="F204" s="4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19" x14ac:dyDescent="0.25">
      <c r="A205" s="9"/>
      <c r="B205" s="9"/>
      <c r="C205" s="9"/>
      <c r="D205" s="9"/>
      <c r="E205" s="42"/>
      <c r="F205" s="4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19" x14ac:dyDescent="0.25">
      <c r="A206" s="9"/>
      <c r="B206" s="9"/>
      <c r="C206" s="9"/>
      <c r="D206" s="9"/>
      <c r="E206" s="42"/>
      <c r="F206" s="4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19" x14ac:dyDescent="0.25">
      <c r="A207" s="9"/>
      <c r="B207" s="9"/>
      <c r="C207" s="9"/>
      <c r="D207" s="9"/>
      <c r="E207" s="42"/>
      <c r="F207" s="4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19" x14ac:dyDescent="0.25">
      <c r="A208" s="9"/>
      <c r="B208" s="9"/>
      <c r="C208" s="9"/>
      <c r="D208" s="9"/>
      <c r="E208" s="42"/>
      <c r="F208" s="4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19" x14ac:dyDescent="0.25">
      <c r="A209" s="9"/>
      <c r="B209" s="9"/>
      <c r="C209" s="9"/>
      <c r="D209" s="9"/>
      <c r="E209" s="42"/>
      <c r="F209" s="4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19" x14ac:dyDescent="0.25">
      <c r="A210" s="9"/>
      <c r="B210" s="9"/>
      <c r="C210" s="9"/>
      <c r="D210" s="9"/>
      <c r="E210" s="42"/>
      <c r="F210" s="4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19" x14ac:dyDescent="0.25">
      <c r="A211" s="9"/>
      <c r="B211" s="9"/>
      <c r="C211" s="9"/>
      <c r="D211" s="9"/>
      <c r="E211" s="42"/>
      <c r="F211" s="4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19" x14ac:dyDescent="0.25">
      <c r="A212" s="9"/>
      <c r="B212" s="9"/>
      <c r="C212" s="9"/>
      <c r="D212" s="9"/>
      <c r="E212" s="42"/>
      <c r="F212" s="4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19" x14ac:dyDescent="0.25">
      <c r="A213" s="9"/>
      <c r="B213" s="9"/>
      <c r="C213" s="9"/>
      <c r="D213" s="9"/>
      <c r="E213" s="42"/>
      <c r="F213" s="4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19" x14ac:dyDescent="0.25">
      <c r="A214" s="9"/>
      <c r="B214" s="9"/>
      <c r="C214" s="9"/>
      <c r="D214" s="9"/>
      <c r="E214" s="42"/>
      <c r="F214" s="4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19" x14ac:dyDescent="0.25">
      <c r="A215" s="9"/>
      <c r="B215" s="9"/>
      <c r="C215" s="9"/>
      <c r="D215" s="9"/>
      <c r="E215" s="42"/>
      <c r="F215" s="4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19" x14ac:dyDescent="0.25">
      <c r="A216" s="9"/>
      <c r="B216" s="9"/>
      <c r="C216" s="9"/>
      <c r="D216" s="9"/>
      <c r="E216" s="42"/>
      <c r="F216" s="4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19" x14ac:dyDescent="0.25">
      <c r="A217" s="9"/>
      <c r="B217" s="9"/>
      <c r="C217" s="9"/>
      <c r="D217" s="9"/>
      <c r="E217" s="42"/>
      <c r="F217" s="4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19" x14ac:dyDescent="0.25">
      <c r="A218" s="9"/>
      <c r="B218" s="9"/>
      <c r="C218" s="9"/>
      <c r="D218" s="9"/>
      <c r="E218" s="42"/>
      <c r="F218" s="4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19" x14ac:dyDescent="0.25">
      <c r="A219" s="9"/>
      <c r="B219" s="9"/>
      <c r="C219" s="9"/>
      <c r="D219" s="9"/>
      <c r="E219" s="42"/>
      <c r="F219" s="4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19" x14ac:dyDescent="0.25">
      <c r="A220" s="9"/>
      <c r="B220" s="9"/>
      <c r="C220" s="9"/>
      <c r="D220" s="9"/>
      <c r="E220" s="42"/>
      <c r="F220" s="4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19" x14ac:dyDescent="0.25">
      <c r="A221" s="9"/>
      <c r="B221" s="9"/>
      <c r="C221" s="9"/>
      <c r="D221" s="9"/>
      <c r="E221" s="42"/>
      <c r="F221" s="4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19" x14ac:dyDescent="0.25">
      <c r="A222" s="9"/>
      <c r="B222" s="9"/>
      <c r="C222" s="9"/>
      <c r="D222" s="9"/>
      <c r="E222" s="42"/>
      <c r="F222" s="4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19" x14ac:dyDescent="0.25">
      <c r="A223" s="9"/>
      <c r="B223" s="9"/>
      <c r="C223" s="9"/>
      <c r="D223" s="9"/>
      <c r="E223" s="42"/>
      <c r="F223" s="4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19" x14ac:dyDescent="0.25">
      <c r="A224" s="9"/>
      <c r="B224" s="9"/>
      <c r="C224" s="9"/>
      <c r="D224" s="9"/>
      <c r="E224" s="42"/>
      <c r="F224" s="4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19" x14ac:dyDescent="0.25">
      <c r="A225" s="9"/>
      <c r="B225" s="9"/>
      <c r="C225" s="9"/>
      <c r="D225" s="9"/>
      <c r="E225" s="42"/>
      <c r="F225" s="4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19" x14ac:dyDescent="0.25">
      <c r="A226" s="9"/>
      <c r="B226" s="9"/>
      <c r="C226" s="9"/>
      <c r="D226" s="9"/>
      <c r="E226" s="42"/>
      <c r="F226" s="4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x14ac:dyDescent="0.25">
      <c r="A227" s="9"/>
      <c r="B227" s="9"/>
      <c r="C227" s="9"/>
      <c r="D227" s="9"/>
      <c r="E227" s="42"/>
      <c r="F227" s="4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19" x14ac:dyDescent="0.25">
      <c r="A228" s="9"/>
      <c r="B228" s="9"/>
      <c r="C228" s="9"/>
      <c r="D228" s="9"/>
      <c r="E228" s="42"/>
      <c r="F228" s="4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19" x14ac:dyDescent="0.25">
      <c r="A229" s="9"/>
      <c r="B229" s="9"/>
      <c r="C229" s="9"/>
      <c r="D229" s="9"/>
      <c r="E229" s="42"/>
      <c r="F229" s="4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19" x14ac:dyDescent="0.25">
      <c r="A230" s="9"/>
      <c r="B230" s="9"/>
      <c r="C230" s="9"/>
      <c r="D230" s="9"/>
      <c r="E230" s="42"/>
      <c r="F230" s="4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19" x14ac:dyDescent="0.25">
      <c r="A231" s="9"/>
      <c r="B231" s="9"/>
      <c r="C231" s="9"/>
      <c r="D231" s="9"/>
      <c r="E231" s="42"/>
      <c r="F231" s="4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19" x14ac:dyDescent="0.25">
      <c r="A232" s="9"/>
      <c r="B232" s="9"/>
      <c r="C232" s="9"/>
      <c r="D232" s="9"/>
      <c r="E232" s="42"/>
      <c r="F232" s="4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19" x14ac:dyDescent="0.25">
      <c r="A233" s="9"/>
      <c r="B233" s="9"/>
      <c r="C233" s="9"/>
      <c r="D233" s="9"/>
      <c r="E233" s="42"/>
      <c r="F233" s="4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19" x14ac:dyDescent="0.25">
      <c r="A234" s="9"/>
      <c r="B234" s="9"/>
      <c r="C234" s="9"/>
      <c r="D234" s="9"/>
      <c r="E234" s="42"/>
      <c r="F234" s="4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19" x14ac:dyDescent="0.25">
      <c r="A235" s="9"/>
      <c r="B235" s="9"/>
      <c r="C235" s="9"/>
      <c r="D235" s="9"/>
      <c r="E235" s="42"/>
      <c r="F235" s="4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19" x14ac:dyDescent="0.25">
      <c r="A236" s="9"/>
      <c r="B236" s="9"/>
      <c r="C236" s="9"/>
      <c r="D236" s="9"/>
      <c r="E236" s="42"/>
      <c r="F236" s="4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19" x14ac:dyDescent="0.25">
      <c r="A237" s="9"/>
      <c r="B237" s="9"/>
      <c r="C237" s="9"/>
      <c r="D237" s="9"/>
      <c r="E237" s="42"/>
      <c r="F237" s="4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19" x14ac:dyDescent="0.25">
      <c r="A238" s="9"/>
      <c r="B238" s="9"/>
      <c r="C238" s="9"/>
      <c r="D238" s="9"/>
      <c r="E238" s="42"/>
      <c r="F238" s="4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19" x14ac:dyDescent="0.25">
      <c r="A239" s="9"/>
      <c r="B239" s="9"/>
      <c r="C239" s="9"/>
      <c r="D239" s="9"/>
      <c r="E239" s="42"/>
      <c r="F239" s="4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19" x14ac:dyDescent="0.25">
      <c r="A240" s="9"/>
      <c r="B240" s="9"/>
      <c r="C240" s="9"/>
      <c r="D240" s="9"/>
      <c r="E240" s="42"/>
      <c r="F240" s="4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19" x14ac:dyDescent="0.25">
      <c r="A241" s="9"/>
      <c r="B241" s="9"/>
      <c r="C241" s="9"/>
      <c r="D241" s="9"/>
      <c r="E241" s="42"/>
      <c r="F241" s="4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19" x14ac:dyDescent="0.25">
      <c r="A242" s="9"/>
      <c r="B242" s="9"/>
      <c r="C242" s="9"/>
      <c r="D242" s="9"/>
      <c r="E242" s="42"/>
      <c r="F242" s="4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19" x14ac:dyDescent="0.25">
      <c r="A243" s="9"/>
      <c r="B243" s="9"/>
      <c r="C243" s="9"/>
      <c r="D243" s="9"/>
      <c r="E243" s="42"/>
      <c r="F243" s="4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19" x14ac:dyDescent="0.25">
      <c r="A244" s="9"/>
      <c r="B244" s="9"/>
      <c r="C244" s="9"/>
      <c r="D244" s="9"/>
      <c r="E244" s="42"/>
      <c r="F244" s="4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19" x14ac:dyDescent="0.25">
      <c r="A245" s="9"/>
      <c r="B245" s="9"/>
      <c r="C245" s="9"/>
      <c r="D245" s="9"/>
      <c r="E245" s="42"/>
      <c r="F245" s="4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spans="1:19" x14ac:dyDescent="0.25">
      <c r="A246" s="9"/>
      <c r="B246" s="9"/>
      <c r="C246" s="9"/>
      <c r="D246" s="9"/>
      <c r="E246" s="42"/>
      <c r="F246" s="4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spans="1:19" x14ac:dyDescent="0.25">
      <c r="A247" s="9"/>
      <c r="B247" s="9"/>
      <c r="C247" s="9"/>
      <c r="D247" s="9"/>
      <c r="E247" s="42"/>
      <c r="F247" s="4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spans="1:19" x14ac:dyDescent="0.25">
      <c r="A248" s="9"/>
      <c r="B248" s="9"/>
      <c r="C248" s="9"/>
      <c r="D248" s="9"/>
      <c r="E248" s="42"/>
      <c r="F248" s="4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spans="1:19" x14ac:dyDescent="0.25">
      <c r="A249" s="9"/>
      <c r="B249" s="9"/>
      <c r="C249" s="9"/>
      <c r="D249" s="9"/>
      <c r="E249" s="42"/>
      <c r="F249" s="4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spans="1:19" x14ac:dyDescent="0.25">
      <c r="A250" s="9"/>
      <c r="B250" s="9"/>
      <c r="C250" s="9"/>
      <c r="D250" s="9"/>
      <c r="E250" s="42"/>
      <c r="F250" s="4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spans="1:19" x14ac:dyDescent="0.25">
      <c r="A251" s="9"/>
      <c r="B251" s="9"/>
      <c r="C251" s="9"/>
      <c r="D251" s="9"/>
      <c r="E251" s="42"/>
      <c r="F251" s="4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spans="1:19" x14ac:dyDescent="0.25">
      <c r="A252" s="9"/>
      <c r="B252" s="9"/>
      <c r="C252" s="9"/>
      <c r="D252" s="9"/>
      <c r="E252" s="42"/>
      <c r="F252" s="4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spans="1:19" x14ac:dyDescent="0.25">
      <c r="A253" s="9"/>
      <c r="B253" s="9"/>
      <c r="C253" s="9"/>
      <c r="D253" s="9"/>
      <c r="E253" s="42"/>
      <c r="F253" s="4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spans="1:19" x14ac:dyDescent="0.25">
      <c r="A254" s="9"/>
      <c r="B254" s="9"/>
      <c r="C254" s="9"/>
      <c r="D254" s="9"/>
      <c r="E254" s="42"/>
      <c r="F254" s="4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spans="1:19" x14ac:dyDescent="0.25">
      <c r="A255" s="9"/>
      <c r="B255" s="9"/>
      <c r="C255" s="9"/>
      <c r="D255" s="9"/>
      <c r="E255" s="42"/>
      <c r="F255" s="4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spans="1:19" x14ac:dyDescent="0.25">
      <c r="A256" s="9"/>
      <c r="B256" s="9"/>
      <c r="C256" s="9"/>
      <c r="D256" s="9"/>
      <c r="E256" s="42"/>
      <c r="F256" s="4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spans="1:19" x14ac:dyDescent="0.25">
      <c r="A257" s="9"/>
      <c r="B257" s="9"/>
      <c r="C257" s="9"/>
      <c r="D257" s="9"/>
      <c r="E257" s="42"/>
      <c r="F257" s="4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spans="1:19" x14ac:dyDescent="0.25">
      <c r="A258" s="9"/>
      <c r="B258" s="9"/>
      <c r="C258" s="9"/>
      <c r="D258" s="9"/>
      <c r="E258" s="42"/>
      <c r="F258" s="4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spans="1:19" x14ac:dyDescent="0.25">
      <c r="A259" s="9"/>
      <c r="B259" s="9"/>
      <c r="C259" s="9"/>
      <c r="D259" s="9"/>
      <c r="E259" s="42"/>
      <c r="F259" s="4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spans="1:19" x14ac:dyDescent="0.25">
      <c r="A260" s="9"/>
      <c r="B260" s="9"/>
      <c r="C260" s="9"/>
      <c r="D260" s="9"/>
      <c r="E260" s="42"/>
      <c r="F260" s="4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spans="1:19" x14ac:dyDescent="0.25">
      <c r="A261" s="9"/>
      <c r="B261" s="9"/>
      <c r="C261" s="9"/>
      <c r="D261" s="9"/>
      <c r="E261" s="42"/>
      <c r="F261" s="4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spans="1:19" x14ac:dyDescent="0.25">
      <c r="A262" s="9"/>
      <c r="B262" s="9"/>
      <c r="C262" s="9"/>
      <c r="D262" s="9"/>
      <c r="E262" s="42"/>
      <c r="F262" s="4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spans="1:19" x14ac:dyDescent="0.25">
      <c r="A263" s="9"/>
      <c r="B263" s="9"/>
      <c r="C263" s="9"/>
      <c r="D263" s="9"/>
      <c r="E263" s="42"/>
      <c r="F263" s="4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spans="1:19" x14ac:dyDescent="0.25">
      <c r="A264" s="9"/>
      <c r="B264" s="9"/>
      <c r="C264" s="9"/>
      <c r="D264" s="9"/>
      <c r="E264" s="42"/>
      <c r="F264" s="4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spans="1:19" x14ac:dyDescent="0.25">
      <c r="A265" s="9"/>
      <c r="B265" s="9"/>
      <c r="C265" s="9"/>
      <c r="D265" s="9"/>
      <c r="E265" s="42"/>
      <c r="F265" s="4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spans="1:19" x14ac:dyDescent="0.25">
      <c r="A266" s="9"/>
      <c r="B266" s="9"/>
      <c r="C266" s="9"/>
      <c r="D266" s="9"/>
      <c r="E266" s="42"/>
      <c r="F266" s="4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spans="1:19" x14ac:dyDescent="0.25">
      <c r="A267" s="9"/>
      <c r="B267" s="9"/>
      <c r="C267" s="9"/>
      <c r="D267" s="9"/>
      <c r="E267" s="42"/>
      <c r="F267" s="4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spans="1:19" x14ac:dyDescent="0.25">
      <c r="A268" s="9"/>
      <c r="B268" s="9"/>
      <c r="C268" s="9"/>
      <c r="D268" s="9"/>
      <c r="E268" s="42"/>
      <c r="F268" s="4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spans="1:19" x14ac:dyDescent="0.25">
      <c r="A269" s="9"/>
      <c r="B269" s="9"/>
      <c r="C269" s="9"/>
      <c r="D269" s="9"/>
      <c r="E269" s="42"/>
      <c r="F269" s="4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spans="1:19" x14ac:dyDescent="0.25">
      <c r="A270" s="9"/>
      <c r="B270" s="9"/>
      <c r="C270" s="9"/>
      <c r="D270" s="9"/>
      <c r="E270" s="42"/>
      <c r="F270" s="4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spans="1:19" x14ac:dyDescent="0.25">
      <c r="A271" s="9"/>
      <c r="B271" s="9"/>
      <c r="C271" s="9"/>
      <c r="D271" s="9"/>
      <c r="E271" s="42"/>
      <c r="F271" s="4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spans="1:19" x14ac:dyDescent="0.25">
      <c r="A272" s="9"/>
      <c r="B272" s="9"/>
      <c r="C272" s="9"/>
      <c r="D272" s="9"/>
      <c r="E272" s="42"/>
      <c r="F272" s="4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spans="1:19" x14ac:dyDescent="0.25">
      <c r="A273" s="9"/>
      <c r="B273" s="9"/>
      <c r="C273" s="9"/>
      <c r="D273" s="9"/>
      <c r="E273" s="42"/>
      <c r="F273" s="4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spans="1:19" x14ac:dyDescent="0.25">
      <c r="A274" s="9"/>
      <c r="B274" s="9"/>
      <c r="C274" s="9"/>
      <c r="D274" s="9"/>
      <c r="E274" s="42"/>
      <c r="F274" s="4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spans="1:19" x14ac:dyDescent="0.25">
      <c r="A275" s="9"/>
      <c r="B275" s="9"/>
      <c r="C275" s="9"/>
      <c r="D275" s="9"/>
      <c r="E275" s="42"/>
      <c r="F275" s="4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spans="1:19" x14ac:dyDescent="0.25">
      <c r="A276" s="9"/>
      <c r="B276" s="9"/>
      <c r="C276" s="9"/>
      <c r="D276" s="9"/>
      <c r="E276" s="42"/>
      <c r="F276" s="4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spans="1:19" x14ac:dyDescent="0.25">
      <c r="A277" s="9"/>
      <c r="B277" s="9"/>
      <c r="C277" s="9"/>
      <c r="D277" s="9"/>
      <c r="E277" s="42"/>
      <c r="F277" s="4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spans="1:19" x14ac:dyDescent="0.25">
      <c r="A278" s="9"/>
      <c r="B278" s="9"/>
      <c r="C278" s="9"/>
      <c r="D278" s="9"/>
      <c r="E278" s="42"/>
      <c r="F278" s="4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spans="1:19" x14ac:dyDescent="0.25">
      <c r="A279" s="9"/>
      <c r="B279" s="9"/>
      <c r="C279" s="9"/>
      <c r="D279" s="9"/>
      <c r="E279" s="42"/>
      <c r="F279" s="4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spans="1:19" x14ac:dyDescent="0.25">
      <c r="A280" s="9"/>
      <c r="B280" s="9"/>
      <c r="C280" s="9"/>
      <c r="D280" s="9"/>
      <c r="E280" s="42"/>
      <c r="F280" s="4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spans="1:19" x14ac:dyDescent="0.25">
      <c r="A281" s="9"/>
      <c r="B281" s="9"/>
      <c r="C281" s="9"/>
      <c r="D281" s="9"/>
      <c r="E281" s="42"/>
      <c r="F281" s="4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spans="1:19" x14ac:dyDescent="0.25">
      <c r="A282" s="9"/>
      <c r="B282" s="9"/>
      <c r="C282" s="9"/>
      <c r="D282" s="9"/>
      <c r="E282" s="42"/>
      <c r="F282" s="4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spans="1:19" x14ac:dyDescent="0.25">
      <c r="A283" s="9"/>
      <c r="B283" s="9"/>
      <c r="C283" s="9"/>
      <c r="D283" s="9"/>
      <c r="E283" s="42"/>
      <c r="F283" s="4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spans="1:19" x14ac:dyDescent="0.25">
      <c r="A284" s="9"/>
      <c r="B284" s="9"/>
      <c r="C284" s="9"/>
      <c r="D284" s="9"/>
      <c r="E284" s="42"/>
      <c r="F284" s="4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spans="1:19" x14ac:dyDescent="0.25">
      <c r="A285" s="9"/>
      <c r="B285" s="9"/>
      <c r="C285" s="9"/>
      <c r="D285" s="9"/>
      <c r="E285" s="42"/>
      <c r="F285" s="4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spans="1:19" x14ac:dyDescent="0.25">
      <c r="A286" s="9"/>
      <c r="B286" s="9"/>
      <c r="C286" s="9"/>
      <c r="D286" s="9"/>
      <c r="E286" s="42"/>
      <c r="F286" s="4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spans="1:19" x14ac:dyDescent="0.25">
      <c r="A287" s="9"/>
      <c r="B287" s="9"/>
      <c r="C287" s="9"/>
      <c r="D287" s="9"/>
      <c r="E287" s="42"/>
      <c r="F287" s="4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spans="1:19" x14ac:dyDescent="0.25">
      <c r="A288" s="9"/>
      <c r="B288" s="9"/>
      <c r="C288" s="9"/>
      <c r="D288" s="9"/>
      <c r="E288" s="42"/>
      <c r="F288" s="4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spans="1:19" x14ac:dyDescent="0.25">
      <c r="A289" s="9"/>
      <c r="B289" s="9"/>
      <c r="C289" s="9"/>
      <c r="D289" s="9"/>
      <c r="E289" s="42"/>
      <c r="F289" s="4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spans="1:19" x14ac:dyDescent="0.25">
      <c r="A290" s="9"/>
      <c r="B290" s="9"/>
      <c r="C290" s="9"/>
      <c r="D290" s="9"/>
      <c r="E290" s="42"/>
      <c r="F290" s="4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spans="1:19" x14ac:dyDescent="0.25">
      <c r="A291" s="9"/>
      <c r="B291" s="9"/>
      <c r="C291" s="9"/>
      <c r="D291" s="9"/>
      <c r="E291" s="42"/>
      <c r="F291" s="4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spans="1:19" x14ac:dyDescent="0.25">
      <c r="A292" s="9"/>
      <c r="B292" s="9"/>
      <c r="C292" s="9"/>
      <c r="D292" s="9"/>
      <c r="E292" s="42"/>
      <c r="F292" s="4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spans="1:19" x14ac:dyDescent="0.25">
      <c r="A293" s="9"/>
      <c r="B293" s="9"/>
      <c r="C293" s="9"/>
      <c r="D293" s="9"/>
      <c r="E293" s="42"/>
      <c r="F293" s="4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spans="1:19" x14ac:dyDescent="0.25">
      <c r="A294" s="9"/>
      <c r="B294" s="9"/>
      <c r="C294" s="9"/>
      <c r="D294" s="9"/>
      <c r="E294" s="42"/>
      <c r="F294" s="4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spans="1:19" x14ac:dyDescent="0.25">
      <c r="A295" s="9"/>
      <c r="B295" s="9"/>
      <c r="C295" s="9"/>
      <c r="D295" s="9"/>
      <c r="E295" s="42"/>
      <c r="F295" s="4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spans="1:19" x14ac:dyDescent="0.25">
      <c r="A296" s="9"/>
      <c r="B296" s="9"/>
      <c r="C296" s="9"/>
      <c r="D296" s="9"/>
      <c r="E296" s="42"/>
      <c r="F296" s="4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spans="1:19" x14ac:dyDescent="0.25">
      <c r="A297" s="9"/>
      <c r="B297" s="9"/>
      <c r="C297" s="9"/>
      <c r="D297" s="9"/>
      <c r="E297" s="42"/>
      <c r="F297" s="4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spans="1:19" x14ac:dyDescent="0.25">
      <c r="A298" s="9"/>
      <c r="B298" s="9"/>
      <c r="C298" s="9"/>
      <c r="D298" s="9"/>
      <c r="E298" s="42"/>
      <c r="F298" s="4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spans="1:19" x14ac:dyDescent="0.25">
      <c r="A299" s="9"/>
      <c r="B299" s="9"/>
      <c r="C299" s="9"/>
      <c r="D299" s="9"/>
      <c r="E299" s="42"/>
      <c r="F299" s="4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spans="1:19" x14ac:dyDescent="0.25">
      <c r="A300" s="9"/>
      <c r="B300" s="9"/>
      <c r="C300" s="9"/>
      <c r="D300" s="9"/>
      <c r="E300" s="42"/>
      <c r="F300" s="4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spans="1:19" x14ac:dyDescent="0.25">
      <c r="A301" s="9"/>
      <c r="B301" s="9"/>
      <c r="C301" s="9"/>
      <c r="D301" s="9"/>
      <c r="E301" s="42"/>
      <c r="F301" s="4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spans="1:19" x14ac:dyDescent="0.25">
      <c r="A302" s="9"/>
      <c r="B302" s="9"/>
      <c r="C302" s="9"/>
      <c r="D302" s="9"/>
      <c r="E302" s="42"/>
      <c r="F302" s="4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spans="1:19" x14ac:dyDescent="0.25">
      <c r="A303" s="9"/>
      <c r="B303" s="9"/>
      <c r="C303" s="9"/>
      <c r="D303" s="9"/>
      <c r="E303" s="42"/>
      <c r="F303" s="4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spans="1:19" x14ac:dyDescent="0.25">
      <c r="A304" s="9"/>
      <c r="B304" s="9"/>
      <c r="C304" s="9"/>
      <c r="D304" s="9"/>
      <c r="E304" s="42"/>
      <c r="F304" s="4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spans="1:19" x14ac:dyDescent="0.25">
      <c r="A305" s="9"/>
      <c r="B305" s="9"/>
      <c r="C305" s="9"/>
      <c r="D305" s="9"/>
      <c r="E305" s="42"/>
      <c r="F305" s="4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spans="1:19" x14ac:dyDescent="0.25">
      <c r="A306" s="9"/>
      <c r="B306" s="9"/>
      <c r="C306" s="9"/>
      <c r="D306" s="9"/>
      <c r="E306" s="42"/>
      <c r="F306" s="4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spans="1:19" x14ac:dyDescent="0.25">
      <c r="A307" s="9"/>
      <c r="B307" s="9"/>
      <c r="C307" s="9"/>
      <c r="D307" s="9"/>
      <c r="E307" s="42"/>
      <c r="F307" s="4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spans="1:19" x14ac:dyDescent="0.25">
      <c r="A308" s="9"/>
      <c r="B308" s="9"/>
      <c r="C308" s="9"/>
      <c r="D308" s="9"/>
      <c r="E308" s="42"/>
      <c r="F308" s="4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spans="1:19" x14ac:dyDescent="0.25">
      <c r="A309" s="9"/>
      <c r="B309" s="9"/>
      <c r="C309" s="9"/>
      <c r="D309" s="9"/>
      <c r="E309" s="42"/>
      <c r="F309" s="4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spans="1:19" x14ac:dyDescent="0.25">
      <c r="A310" s="9"/>
      <c r="B310" s="9"/>
      <c r="C310" s="9"/>
      <c r="D310" s="9"/>
      <c r="E310" s="42"/>
      <c r="F310" s="4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spans="1:19" x14ac:dyDescent="0.25">
      <c r="A311" s="9"/>
      <c r="B311" s="9"/>
      <c r="C311" s="9"/>
      <c r="D311" s="9"/>
      <c r="E311" s="42"/>
      <c r="F311" s="4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spans="1:19" x14ac:dyDescent="0.25">
      <c r="A312" s="9"/>
      <c r="B312" s="9"/>
      <c r="C312" s="9"/>
      <c r="D312" s="9"/>
      <c r="E312" s="42"/>
      <c r="F312" s="4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spans="1:19" x14ac:dyDescent="0.25">
      <c r="A313" s="9"/>
      <c r="B313" s="9"/>
      <c r="C313" s="9"/>
      <c r="D313" s="9"/>
      <c r="E313" s="42"/>
      <c r="F313" s="4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spans="1:19" x14ac:dyDescent="0.25">
      <c r="A314" s="9"/>
      <c r="B314" s="9"/>
      <c r="C314" s="9"/>
      <c r="D314" s="9"/>
      <c r="E314" s="42"/>
      <c r="F314" s="4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spans="1:19" x14ac:dyDescent="0.25">
      <c r="A315" s="9"/>
      <c r="B315" s="9"/>
      <c r="C315" s="9"/>
      <c r="D315" s="9"/>
      <c r="E315" s="42"/>
      <c r="F315" s="4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spans="1:19" x14ac:dyDescent="0.25">
      <c r="A316" s="9"/>
      <c r="B316" s="9"/>
      <c r="C316" s="9"/>
      <c r="D316" s="9"/>
      <c r="E316" s="42"/>
      <c r="F316" s="4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spans="1:19" x14ac:dyDescent="0.25">
      <c r="A317" s="9"/>
      <c r="B317" s="9"/>
      <c r="C317" s="9"/>
      <c r="D317" s="9"/>
      <c r="E317" s="42"/>
      <c r="F317" s="4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spans="1:19" x14ac:dyDescent="0.25">
      <c r="A318" s="9"/>
      <c r="B318" s="9"/>
      <c r="C318" s="9"/>
      <c r="D318" s="9"/>
      <c r="E318" s="42"/>
      <c r="F318" s="4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spans="1:19" x14ac:dyDescent="0.25">
      <c r="A319" s="9"/>
      <c r="B319" s="9"/>
      <c r="C319" s="9"/>
      <c r="D319" s="9"/>
      <c r="E319" s="42"/>
      <c r="F319" s="4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spans="1:19" x14ac:dyDescent="0.25">
      <c r="A320" s="9"/>
      <c r="B320" s="9"/>
      <c r="C320" s="9"/>
      <c r="D320" s="9"/>
      <c r="E320" s="42"/>
      <c r="F320" s="4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spans="1:19" x14ac:dyDescent="0.25">
      <c r="A321" s="9"/>
      <c r="B321" s="9"/>
      <c r="C321" s="9"/>
      <c r="D321" s="9"/>
      <c r="E321" s="42"/>
      <c r="F321" s="4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spans="1:19" x14ac:dyDescent="0.25">
      <c r="A322" s="9"/>
      <c r="B322" s="9"/>
      <c r="C322" s="9"/>
      <c r="D322" s="9"/>
      <c r="E322" s="42"/>
      <c r="F322" s="4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spans="1:19" x14ac:dyDescent="0.25">
      <c r="A323" s="9"/>
      <c r="B323" s="9"/>
      <c r="C323" s="9"/>
      <c r="D323" s="9"/>
      <c r="E323" s="42"/>
      <c r="F323" s="4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spans="1:19" x14ac:dyDescent="0.25">
      <c r="A324" s="9"/>
      <c r="B324" s="9"/>
      <c r="C324" s="9"/>
      <c r="D324" s="9"/>
      <c r="E324" s="42"/>
      <c r="F324" s="4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spans="1:19" x14ac:dyDescent="0.25">
      <c r="A325" s="9"/>
      <c r="B325" s="9"/>
      <c r="C325" s="9"/>
      <c r="D325" s="9"/>
      <c r="E325" s="42"/>
      <c r="F325" s="4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spans="1:19" x14ac:dyDescent="0.25">
      <c r="A326" s="9"/>
      <c r="B326" s="9"/>
      <c r="C326" s="9"/>
      <c r="D326" s="9"/>
      <c r="E326" s="42"/>
      <c r="F326" s="4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spans="1:19" x14ac:dyDescent="0.25">
      <c r="A327" s="9"/>
      <c r="B327" s="9"/>
      <c r="C327" s="9"/>
      <c r="D327" s="9"/>
      <c r="E327" s="42"/>
      <c r="F327" s="4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spans="1:19" x14ac:dyDescent="0.25">
      <c r="A328" s="9"/>
      <c r="B328" s="9"/>
      <c r="C328" s="9"/>
      <c r="D328" s="9"/>
      <c r="E328" s="42"/>
      <c r="F328" s="4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spans="1:19" x14ac:dyDescent="0.25">
      <c r="A329" s="9"/>
      <c r="B329" s="9"/>
      <c r="C329" s="9"/>
      <c r="D329" s="9"/>
      <c r="E329" s="42"/>
      <c r="F329" s="4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spans="1:19" x14ac:dyDescent="0.25">
      <c r="A330" s="9"/>
      <c r="B330" s="9"/>
      <c r="C330" s="9"/>
      <c r="D330" s="9"/>
      <c r="E330" s="42"/>
      <c r="F330" s="4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spans="1:19" x14ac:dyDescent="0.25">
      <c r="A331" s="9"/>
      <c r="B331" s="9"/>
      <c r="C331" s="9"/>
      <c r="D331" s="9"/>
      <c r="E331" s="42"/>
      <c r="F331" s="4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spans="1:19" x14ac:dyDescent="0.25">
      <c r="A332" s="9"/>
      <c r="B332" s="9"/>
      <c r="C332" s="9"/>
      <c r="D332" s="9"/>
      <c r="E332" s="42"/>
      <c r="F332" s="4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spans="1:19" x14ac:dyDescent="0.25">
      <c r="A333" s="9"/>
      <c r="B333" s="9"/>
      <c r="C333" s="9"/>
      <c r="D333" s="9"/>
      <c r="E333" s="42"/>
      <c r="F333" s="4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spans="1:19" x14ac:dyDescent="0.25">
      <c r="A334" s="9"/>
      <c r="B334" s="9"/>
      <c r="C334" s="9"/>
      <c r="D334" s="9"/>
      <c r="E334" s="42"/>
      <c r="F334" s="4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spans="1:19" x14ac:dyDescent="0.25">
      <c r="A335" s="9"/>
      <c r="B335" s="9"/>
      <c r="C335" s="9"/>
      <c r="D335" s="9"/>
      <c r="E335" s="42"/>
      <c r="F335" s="4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spans="1:19" x14ac:dyDescent="0.25">
      <c r="A336" s="9"/>
      <c r="B336" s="9"/>
      <c r="C336" s="9"/>
      <c r="D336" s="9"/>
      <c r="E336" s="42"/>
      <c r="F336" s="4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spans="1:19" x14ac:dyDescent="0.25">
      <c r="A337" s="9"/>
      <c r="B337" s="9"/>
      <c r="C337" s="9"/>
      <c r="D337" s="9"/>
      <c r="E337" s="42"/>
      <c r="F337" s="4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spans="1:19" x14ac:dyDescent="0.25">
      <c r="A338" s="9"/>
      <c r="B338" s="9"/>
      <c r="C338" s="9"/>
      <c r="D338" s="9"/>
      <c r="E338" s="42"/>
      <c r="F338" s="4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spans="1:19" x14ac:dyDescent="0.25">
      <c r="A339" s="9"/>
      <c r="B339" s="9"/>
      <c r="C339" s="9"/>
      <c r="D339" s="9"/>
      <c r="E339" s="42"/>
      <c r="F339" s="4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spans="1:19" x14ac:dyDescent="0.25">
      <c r="A340" s="9"/>
      <c r="B340" s="9"/>
      <c r="C340" s="9"/>
      <c r="D340" s="9"/>
      <c r="E340" s="42"/>
      <c r="F340" s="4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spans="1:19" x14ac:dyDescent="0.25">
      <c r="A341" s="9"/>
      <c r="B341" s="9"/>
      <c r="C341" s="9"/>
      <c r="D341" s="9"/>
      <c r="E341" s="42"/>
      <c r="F341" s="4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spans="1:19" x14ac:dyDescent="0.25">
      <c r="A342" s="9"/>
      <c r="B342" s="9"/>
      <c r="C342" s="9"/>
      <c r="D342" s="9"/>
      <c r="E342" s="42"/>
      <c r="F342" s="4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spans="1:19" x14ac:dyDescent="0.25">
      <c r="A343" s="9"/>
      <c r="B343" s="9"/>
      <c r="C343" s="9"/>
      <c r="D343" s="9"/>
      <c r="E343" s="42"/>
      <c r="F343" s="4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spans="1:19" x14ac:dyDescent="0.25">
      <c r="A344" s="9"/>
      <c r="B344" s="9"/>
      <c r="C344" s="9"/>
      <c r="D344" s="9"/>
      <c r="E344" s="42"/>
      <c r="F344" s="4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spans="1:19" x14ac:dyDescent="0.25">
      <c r="A345" s="9"/>
      <c r="B345" s="9"/>
      <c r="C345" s="9"/>
      <c r="D345" s="9"/>
      <c r="E345" s="42"/>
      <c r="F345" s="4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spans="1:19" x14ac:dyDescent="0.25">
      <c r="A346" s="9"/>
      <c r="B346" s="9"/>
      <c r="C346" s="9"/>
      <c r="D346" s="9"/>
      <c r="E346" s="42"/>
      <c r="F346" s="4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spans="1:19" x14ac:dyDescent="0.25">
      <c r="A347" s="9"/>
      <c r="B347" s="9"/>
      <c r="C347" s="9"/>
      <c r="D347" s="9"/>
      <c r="E347" s="42"/>
      <c r="F347" s="4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spans="1:19" x14ac:dyDescent="0.25">
      <c r="A348" s="9"/>
      <c r="B348" s="9"/>
      <c r="C348" s="9"/>
      <c r="D348" s="9"/>
      <c r="E348" s="42"/>
      <c r="F348" s="4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spans="1:19" x14ac:dyDescent="0.25">
      <c r="A349" s="9"/>
      <c r="B349" s="9"/>
      <c r="C349" s="9"/>
      <c r="D349" s="9"/>
      <c r="E349" s="42"/>
      <c r="F349" s="4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spans="1:19" x14ac:dyDescent="0.25">
      <c r="A350" s="9"/>
      <c r="B350" s="9"/>
      <c r="C350" s="9"/>
      <c r="D350" s="9"/>
      <c r="E350" s="42"/>
      <c r="F350" s="4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spans="1:19" x14ac:dyDescent="0.25">
      <c r="A351" s="9"/>
      <c r="B351" s="9"/>
      <c r="C351" s="9"/>
      <c r="D351" s="9"/>
      <c r="E351" s="42"/>
      <c r="F351" s="4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spans="1:19" x14ac:dyDescent="0.25">
      <c r="A352" s="9"/>
      <c r="B352" s="9"/>
      <c r="C352" s="9"/>
      <c r="D352" s="9"/>
      <c r="E352" s="42"/>
      <c r="F352" s="4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spans="1:19" x14ac:dyDescent="0.25">
      <c r="A353" s="9"/>
      <c r="B353" s="9"/>
      <c r="C353" s="9"/>
      <c r="D353" s="9"/>
      <c r="E353" s="42"/>
      <c r="F353" s="4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spans="1:19" x14ac:dyDescent="0.25">
      <c r="A354" s="9"/>
      <c r="B354" s="9"/>
      <c r="C354" s="9"/>
      <c r="D354" s="9"/>
      <c r="E354" s="42"/>
      <c r="F354" s="4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spans="1:19" x14ac:dyDescent="0.25">
      <c r="A355" s="9"/>
      <c r="B355" s="9"/>
      <c r="C355" s="9"/>
      <c r="D355" s="9"/>
      <c r="E355" s="42"/>
      <c r="F355" s="4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spans="1:19" x14ac:dyDescent="0.25">
      <c r="A356" s="9"/>
      <c r="B356" s="9"/>
      <c r="C356" s="9"/>
      <c r="D356" s="9"/>
      <c r="E356" s="42"/>
      <c r="F356" s="4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spans="1:19" x14ac:dyDescent="0.25">
      <c r="A357" s="9"/>
      <c r="B357" s="9"/>
      <c r="C357" s="9"/>
      <c r="D357" s="9"/>
      <c r="E357" s="42"/>
      <c r="F357" s="4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spans="1:19" x14ac:dyDescent="0.25">
      <c r="A358" s="9"/>
      <c r="B358" s="9"/>
      <c r="C358" s="9"/>
      <c r="D358" s="9"/>
      <c r="E358" s="42"/>
      <c r="F358" s="4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spans="1:19" x14ac:dyDescent="0.25">
      <c r="A359" s="9"/>
      <c r="B359" s="9"/>
      <c r="C359" s="9"/>
      <c r="D359" s="9"/>
      <c r="E359" s="42"/>
      <c r="F359" s="4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spans="1:19" x14ac:dyDescent="0.25">
      <c r="A360" s="9"/>
      <c r="B360" s="9"/>
      <c r="C360" s="9"/>
      <c r="D360" s="9"/>
      <c r="E360" s="42"/>
      <c r="F360" s="4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spans="1:19" x14ac:dyDescent="0.25">
      <c r="A361" s="9"/>
      <c r="B361" s="9"/>
      <c r="C361" s="9"/>
      <c r="D361" s="9"/>
      <c r="E361" s="42"/>
      <c r="F361" s="4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spans="1:19" x14ac:dyDescent="0.25">
      <c r="A362" s="9"/>
      <c r="B362" s="9"/>
      <c r="C362" s="9"/>
      <c r="D362" s="9"/>
      <c r="E362" s="42"/>
      <c r="F362" s="4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spans="1:19" x14ac:dyDescent="0.25">
      <c r="A363" s="9"/>
      <c r="B363" s="9"/>
      <c r="C363" s="9"/>
      <c r="D363" s="9"/>
      <c r="E363" s="42"/>
      <c r="F363" s="4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spans="1:19" x14ac:dyDescent="0.25">
      <c r="A364" s="9"/>
      <c r="B364" s="9"/>
      <c r="C364" s="9"/>
      <c r="D364" s="9"/>
      <c r="E364" s="42"/>
      <c r="F364" s="4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spans="1:19" x14ac:dyDescent="0.25">
      <c r="A365" s="9"/>
      <c r="B365" s="9"/>
      <c r="C365" s="9"/>
      <c r="D365" s="9"/>
      <c r="E365" s="42"/>
      <c r="F365" s="4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spans="1:19" x14ac:dyDescent="0.25">
      <c r="A366" s="9"/>
      <c r="B366" s="9"/>
      <c r="C366" s="9"/>
      <c r="D366" s="9"/>
      <c r="E366" s="42"/>
      <c r="F366" s="4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spans="1:19" x14ac:dyDescent="0.25">
      <c r="A367" s="9"/>
      <c r="B367" s="9"/>
      <c r="C367" s="9"/>
      <c r="D367" s="9"/>
      <c r="E367" s="42"/>
      <c r="F367" s="4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spans="1:19" x14ac:dyDescent="0.25">
      <c r="A368" s="9"/>
      <c r="B368" s="9"/>
      <c r="C368" s="9"/>
      <c r="D368" s="9"/>
      <c r="E368" s="42"/>
      <c r="F368" s="4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spans="1:19" x14ac:dyDescent="0.25">
      <c r="A369" s="9"/>
      <c r="B369" s="9"/>
      <c r="C369" s="9"/>
      <c r="D369" s="9"/>
      <c r="E369" s="42"/>
      <c r="F369" s="4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spans="1:19" x14ac:dyDescent="0.25">
      <c r="A370" s="9"/>
      <c r="B370" s="9"/>
      <c r="C370" s="9"/>
      <c r="D370" s="9"/>
      <c r="E370" s="42"/>
      <c r="F370" s="4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spans="1:19" x14ac:dyDescent="0.25">
      <c r="A371" s="9"/>
      <c r="B371" s="9"/>
      <c r="C371" s="9"/>
      <c r="D371" s="9"/>
      <c r="E371" s="42"/>
      <c r="F371" s="4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spans="1:19" x14ac:dyDescent="0.25">
      <c r="A372" s="9"/>
      <c r="B372" s="9"/>
      <c r="C372" s="9"/>
      <c r="D372" s="9"/>
      <c r="E372" s="42"/>
      <c r="F372" s="4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spans="1:19" x14ac:dyDescent="0.25">
      <c r="A373" s="9"/>
      <c r="B373" s="9"/>
      <c r="C373" s="9"/>
      <c r="D373" s="9"/>
      <c r="E373" s="42"/>
      <c r="F373" s="4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spans="1:19" x14ac:dyDescent="0.25">
      <c r="A374" s="9"/>
      <c r="B374" s="9"/>
      <c r="C374" s="9"/>
      <c r="D374" s="9"/>
      <c r="E374" s="42"/>
      <c r="F374" s="4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spans="1:19" x14ac:dyDescent="0.25">
      <c r="A375" s="9"/>
      <c r="B375" s="9"/>
      <c r="C375" s="9"/>
      <c r="D375" s="9"/>
      <c r="E375" s="42"/>
      <c r="F375" s="4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spans="1:19" x14ac:dyDescent="0.25">
      <c r="A376" s="9"/>
      <c r="B376" s="9"/>
      <c r="C376" s="9"/>
      <c r="D376" s="9"/>
      <c r="E376" s="42"/>
      <c r="F376" s="4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spans="1:19" x14ac:dyDescent="0.25">
      <c r="A377" s="9"/>
      <c r="B377" s="9"/>
      <c r="C377" s="9"/>
      <c r="D377" s="9"/>
      <c r="E377" s="42"/>
      <c r="F377" s="4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spans="1:19" x14ac:dyDescent="0.25">
      <c r="A378" s="9"/>
      <c r="B378" s="9"/>
      <c r="C378" s="9"/>
      <c r="D378" s="9"/>
      <c r="E378" s="42"/>
      <c r="F378" s="4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spans="1:19" x14ac:dyDescent="0.25">
      <c r="A379" s="9"/>
      <c r="B379" s="9"/>
      <c r="C379" s="9"/>
      <c r="D379" s="9"/>
      <c r="E379" s="42"/>
      <c r="F379" s="4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spans="1:19" x14ac:dyDescent="0.25">
      <c r="A380" s="9"/>
      <c r="B380" s="9"/>
      <c r="C380" s="9"/>
      <c r="D380" s="9"/>
      <c r="E380" s="42"/>
      <c r="F380" s="4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spans="1:19" x14ac:dyDescent="0.25">
      <c r="A381" s="9"/>
      <c r="B381" s="9"/>
      <c r="C381" s="9"/>
      <c r="D381" s="9"/>
      <c r="E381" s="42"/>
      <c r="F381" s="4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spans="1:19" x14ac:dyDescent="0.25">
      <c r="A382" s="9"/>
      <c r="B382" s="9"/>
      <c r="C382" s="9"/>
      <c r="D382" s="9"/>
      <c r="E382" s="42"/>
      <c r="F382" s="4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spans="1:19" x14ac:dyDescent="0.25">
      <c r="A383" s="9"/>
      <c r="B383" s="9"/>
      <c r="C383" s="9"/>
      <c r="D383" s="9"/>
      <c r="E383" s="42"/>
      <c r="F383" s="4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spans="1:19" x14ac:dyDescent="0.25">
      <c r="A384" s="9"/>
      <c r="B384" s="9"/>
      <c r="C384" s="9"/>
      <c r="D384" s="9"/>
      <c r="E384" s="42"/>
      <c r="F384" s="4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spans="1:19" x14ac:dyDescent="0.25">
      <c r="A385" s="9"/>
      <c r="B385" s="9"/>
      <c r="C385" s="9"/>
      <c r="D385" s="9"/>
      <c r="E385" s="42"/>
      <c r="F385" s="4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spans="1:19" x14ac:dyDescent="0.25">
      <c r="A386" s="9"/>
      <c r="B386" s="9"/>
      <c r="C386" s="9"/>
      <c r="D386" s="9"/>
      <c r="E386" s="42"/>
      <c r="F386" s="4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spans="1:19" x14ac:dyDescent="0.25">
      <c r="A387" s="9"/>
      <c r="B387" s="9"/>
      <c r="C387" s="9"/>
      <c r="D387" s="9"/>
      <c r="E387" s="42"/>
      <c r="F387" s="4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spans="1:19" x14ac:dyDescent="0.25">
      <c r="A388" s="9"/>
      <c r="B388" s="9"/>
      <c r="C388" s="9"/>
      <c r="D388" s="9"/>
      <c r="E388" s="42"/>
      <c r="F388" s="4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spans="1:19" x14ac:dyDescent="0.25">
      <c r="A389" s="9"/>
      <c r="B389" s="9"/>
      <c r="C389" s="9"/>
      <c r="D389" s="9"/>
      <c r="E389" s="42"/>
      <c r="F389" s="4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spans="1:19" x14ac:dyDescent="0.25">
      <c r="A390" s="9"/>
      <c r="B390" s="9"/>
      <c r="C390" s="9"/>
      <c r="D390" s="9"/>
      <c r="E390" s="42"/>
      <c r="F390" s="4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spans="1:19" x14ac:dyDescent="0.25">
      <c r="A391" s="9"/>
      <c r="B391" s="9"/>
      <c r="C391" s="9"/>
      <c r="D391" s="9"/>
      <c r="E391" s="42"/>
      <c r="F391" s="4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spans="1:19" x14ac:dyDescent="0.25">
      <c r="A392" s="9"/>
      <c r="B392" s="9"/>
      <c r="C392" s="9"/>
      <c r="D392" s="9"/>
      <c r="E392" s="42"/>
      <c r="F392" s="4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spans="1:19" x14ac:dyDescent="0.25">
      <c r="A393" s="9"/>
      <c r="B393" s="9"/>
      <c r="C393" s="9"/>
      <c r="D393" s="9"/>
      <c r="E393" s="42"/>
      <c r="F393" s="4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spans="1:19" x14ac:dyDescent="0.25">
      <c r="A394" s="9"/>
      <c r="B394" s="9"/>
      <c r="C394" s="9"/>
      <c r="D394" s="9"/>
      <c r="E394" s="42"/>
      <c r="F394" s="4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spans="1:19" x14ac:dyDescent="0.25">
      <c r="A395" s="9"/>
      <c r="B395" s="9"/>
      <c r="C395" s="9"/>
      <c r="D395" s="9"/>
      <c r="E395" s="42"/>
      <c r="F395" s="4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spans="1:19" x14ac:dyDescent="0.25">
      <c r="A396" s="9"/>
      <c r="B396" s="9"/>
      <c r="C396" s="9"/>
      <c r="D396" s="9"/>
      <c r="E396" s="42"/>
      <c r="F396" s="4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spans="1:19" x14ac:dyDescent="0.25">
      <c r="A397" s="9"/>
      <c r="B397" s="9"/>
      <c r="C397" s="9"/>
      <c r="D397" s="9"/>
      <c r="E397" s="42"/>
      <c r="F397" s="4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spans="1:19" x14ac:dyDescent="0.25">
      <c r="A398" s="9"/>
      <c r="B398" s="9"/>
      <c r="C398" s="9"/>
      <c r="D398" s="9"/>
      <c r="E398" s="42"/>
      <c r="F398" s="4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spans="1:19" x14ac:dyDescent="0.25">
      <c r="A399" s="9"/>
      <c r="B399" s="9"/>
      <c r="C399" s="9"/>
      <c r="D399" s="9"/>
      <c r="E399" s="42"/>
      <c r="F399" s="4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spans="1:19" x14ac:dyDescent="0.25">
      <c r="A400" s="9"/>
      <c r="B400" s="9"/>
      <c r="C400" s="9"/>
      <c r="D400" s="9"/>
      <c r="E400" s="42"/>
      <c r="F400" s="4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spans="1:19" x14ac:dyDescent="0.25">
      <c r="A401" s="9"/>
      <c r="B401" s="9"/>
      <c r="C401" s="9"/>
      <c r="D401" s="9"/>
      <c r="E401" s="42"/>
      <c r="F401" s="4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spans="1:19" x14ac:dyDescent="0.25">
      <c r="A402" s="9"/>
      <c r="B402" s="9"/>
      <c r="C402" s="9"/>
      <c r="D402" s="9"/>
      <c r="E402" s="42"/>
      <c r="F402" s="4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spans="1:19" x14ac:dyDescent="0.25">
      <c r="A403" s="9"/>
      <c r="B403" s="9"/>
      <c r="C403" s="9"/>
      <c r="D403" s="9"/>
      <c r="E403" s="42"/>
      <c r="F403" s="4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spans="1:19" x14ac:dyDescent="0.25">
      <c r="A404" s="9"/>
      <c r="B404" s="9"/>
      <c r="C404" s="9"/>
      <c r="D404" s="9"/>
      <c r="E404" s="42"/>
      <c r="F404" s="4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spans="1:19" x14ac:dyDescent="0.25">
      <c r="A405" s="9"/>
      <c r="B405" s="9"/>
      <c r="C405" s="9"/>
      <c r="D405" s="9"/>
      <c r="E405" s="42"/>
      <c r="F405" s="4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spans="1:19" x14ac:dyDescent="0.25">
      <c r="A406" s="9"/>
      <c r="B406" s="9"/>
      <c r="C406" s="9"/>
      <c r="D406" s="9"/>
      <c r="E406" s="42"/>
      <c r="F406" s="4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spans="1:19" x14ac:dyDescent="0.25">
      <c r="A407" s="9"/>
      <c r="B407" s="9"/>
      <c r="C407" s="9"/>
      <c r="D407" s="9"/>
      <c r="E407" s="42"/>
      <c r="F407" s="4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spans="1:19" x14ac:dyDescent="0.25">
      <c r="A408" s="9"/>
      <c r="B408" s="9"/>
      <c r="C408" s="9"/>
      <c r="D408" s="9"/>
      <c r="E408" s="42"/>
      <c r="F408" s="4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spans="1:19" x14ac:dyDescent="0.25">
      <c r="A409" s="9"/>
      <c r="B409" s="9"/>
      <c r="C409" s="9"/>
      <c r="D409" s="9"/>
      <c r="E409" s="42"/>
      <c r="F409" s="4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spans="1:19" x14ac:dyDescent="0.25">
      <c r="A410" s="9"/>
      <c r="B410" s="9"/>
      <c r="C410" s="9"/>
      <c r="D410" s="9"/>
      <c r="E410" s="42"/>
      <c r="F410" s="4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spans="1:19" x14ac:dyDescent="0.25">
      <c r="A411" s="9"/>
      <c r="B411" s="9"/>
      <c r="C411" s="9"/>
      <c r="D411" s="9"/>
      <c r="E411" s="42"/>
      <c r="F411" s="4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spans="1:19" x14ac:dyDescent="0.25">
      <c r="A412" s="9"/>
      <c r="B412" s="9"/>
      <c r="C412" s="9"/>
      <c r="D412" s="9"/>
      <c r="E412" s="42"/>
      <c r="F412" s="4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spans="1:19" x14ac:dyDescent="0.25">
      <c r="A413" s="9"/>
      <c r="B413" s="9"/>
      <c r="C413" s="9"/>
      <c r="D413" s="9"/>
      <c r="E413" s="42"/>
      <c r="F413" s="4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spans="1:19" x14ac:dyDescent="0.25">
      <c r="A414" s="9"/>
      <c r="B414" s="9"/>
      <c r="C414" s="9"/>
      <c r="D414" s="9"/>
      <c r="E414" s="42"/>
      <c r="F414" s="4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spans="1:19" x14ac:dyDescent="0.25">
      <c r="A415" s="9"/>
      <c r="B415" s="9"/>
      <c r="C415" s="9"/>
      <c r="D415" s="9"/>
      <c r="E415" s="42"/>
      <c r="F415" s="4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spans="1:19" x14ac:dyDescent="0.25">
      <c r="A416" s="9"/>
      <c r="B416" s="9"/>
      <c r="C416" s="9"/>
      <c r="D416" s="9"/>
      <c r="E416" s="42"/>
      <c r="F416" s="4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spans="1:19" x14ac:dyDescent="0.25">
      <c r="A417" s="9"/>
      <c r="B417" s="9"/>
      <c r="C417" s="9"/>
      <c r="D417" s="9"/>
      <c r="E417" s="42"/>
      <c r="F417" s="4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spans="1:19" x14ac:dyDescent="0.25">
      <c r="A418" s="9"/>
      <c r="B418" s="9"/>
      <c r="C418" s="9"/>
      <c r="D418" s="9"/>
      <c r="E418" s="42"/>
      <c r="F418" s="4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spans="1:19" x14ac:dyDescent="0.25">
      <c r="A419" s="9"/>
      <c r="B419" s="9"/>
      <c r="C419" s="9"/>
      <c r="D419" s="9"/>
      <c r="E419" s="42"/>
      <c r="F419" s="4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spans="1:19" x14ac:dyDescent="0.25">
      <c r="A420" s="9"/>
      <c r="B420" s="9"/>
      <c r="C420" s="9"/>
      <c r="D420" s="9"/>
      <c r="E420" s="42"/>
      <c r="F420" s="4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spans="1:19" x14ac:dyDescent="0.25">
      <c r="A421" s="9"/>
      <c r="B421" s="9"/>
      <c r="C421" s="9"/>
      <c r="D421" s="9"/>
      <c r="E421" s="42"/>
      <c r="F421" s="4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spans="1:19" x14ac:dyDescent="0.25">
      <c r="A422" s="9"/>
      <c r="B422" s="9"/>
      <c r="C422" s="9"/>
      <c r="D422" s="9"/>
      <c r="E422" s="42"/>
      <c r="F422" s="4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spans="1:19" x14ac:dyDescent="0.25">
      <c r="A423" s="9"/>
      <c r="B423" s="9"/>
      <c r="C423" s="9"/>
      <c r="D423" s="9"/>
      <c r="E423" s="42"/>
      <c r="F423" s="4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spans="1:19" x14ac:dyDescent="0.25">
      <c r="A424" s="9"/>
      <c r="B424" s="9"/>
      <c r="C424" s="9"/>
      <c r="D424" s="9"/>
      <c r="E424" s="42"/>
      <c r="F424" s="4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spans="1:19" x14ac:dyDescent="0.25">
      <c r="A425" s="9"/>
      <c r="B425" s="9"/>
      <c r="C425" s="9"/>
      <c r="D425" s="9"/>
      <c r="E425" s="42"/>
      <c r="F425" s="4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spans="1:19" x14ac:dyDescent="0.25">
      <c r="A426" s="9"/>
      <c r="B426" s="9"/>
      <c r="C426" s="9"/>
      <c r="D426" s="9"/>
      <c r="E426" s="42"/>
      <c r="F426" s="4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spans="1:19" x14ac:dyDescent="0.25">
      <c r="A427" s="9"/>
      <c r="B427" s="9"/>
      <c r="C427" s="9"/>
      <c r="D427" s="9"/>
      <c r="E427" s="42"/>
      <c r="F427" s="4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spans="1:19" x14ac:dyDescent="0.25">
      <c r="A428" s="9"/>
      <c r="B428" s="9"/>
      <c r="C428" s="9"/>
      <c r="D428" s="9"/>
      <c r="E428" s="42"/>
      <c r="F428" s="4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spans="1:19" x14ac:dyDescent="0.25">
      <c r="A429" s="9"/>
      <c r="B429" s="9"/>
      <c r="C429" s="9"/>
      <c r="D429" s="9"/>
      <c r="E429" s="42"/>
      <c r="F429" s="4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spans="1:19" x14ac:dyDescent="0.25">
      <c r="A430" s="9"/>
      <c r="B430" s="9"/>
      <c r="C430" s="9"/>
      <c r="D430" s="9"/>
      <c r="E430" s="42"/>
      <c r="F430" s="4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spans="1:19" x14ac:dyDescent="0.25">
      <c r="A431" s="9"/>
      <c r="B431" s="9"/>
      <c r="C431" s="9"/>
      <c r="D431" s="9"/>
      <c r="E431" s="42"/>
      <c r="F431" s="4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spans="1:19" x14ac:dyDescent="0.25">
      <c r="A432" s="9"/>
      <c r="B432" s="9"/>
      <c r="C432" s="9"/>
      <c r="D432" s="9"/>
      <c r="E432" s="42"/>
      <c r="F432" s="4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spans="1:19" x14ac:dyDescent="0.25">
      <c r="A433" s="9"/>
      <c r="B433" s="9"/>
      <c r="C433" s="9"/>
      <c r="D433" s="9"/>
      <c r="E433" s="42"/>
      <c r="F433" s="4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spans="1:19" x14ac:dyDescent="0.25">
      <c r="A434" s="9"/>
      <c r="B434" s="9"/>
      <c r="C434" s="9"/>
      <c r="D434" s="9"/>
      <c r="E434" s="42"/>
      <c r="F434" s="4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spans="1:19" x14ac:dyDescent="0.25">
      <c r="A435" s="9"/>
      <c r="B435" s="9"/>
      <c r="C435" s="9"/>
      <c r="D435" s="9"/>
      <c r="E435" s="42"/>
      <c r="F435" s="4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spans="1:19" x14ac:dyDescent="0.25">
      <c r="A436" s="9"/>
      <c r="B436" s="9"/>
      <c r="C436" s="9"/>
      <c r="D436" s="9"/>
      <c r="E436" s="42"/>
      <c r="F436" s="4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spans="1:19" x14ac:dyDescent="0.25">
      <c r="A437" s="9"/>
      <c r="B437" s="9"/>
      <c r="C437" s="9"/>
      <c r="D437" s="9"/>
      <c r="E437" s="42"/>
      <c r="F437" s="4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spans="1:19" x14ac:dyDescent="0.25">
      <c r="A438" s="9"/>
      <c r="B438" s="9"/>
      <c r="C438" s="9"/>
      <c r="D438" s="9"/>
      <c r="E438" s="42"/>
      <c r="F438" s="4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spans="1:19" x14ac:dyDescent="0.25">
      <c r="A439" s="9"/>
      <c r="B439" s="9"/>
      <c r="C439" s="9"/>
      <c r="D439" s="9"/>
      <c r="E439" s="42"/>
      <c r="F439" s="4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spans="1:19" x14ac:dyDescent="0.25">
      <c r="A440" s="9"/>
      <c r="B440" s="9"/>
      <c r="C440" s="9"/>
      <c r="D440" s="9"/>
      <c r="E440" s="42"/>
      <c r="F440" s="4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spans="1:19" x14ac:dyDescent="0.25">
      <c r="A441" s="9"/>
      <c r="B441" s="9"/>
      <c r="C441" s="9"/>
      <c r="D441" s="9"/>
      <c r="E441" s="42"/>
      <c r="F441" s="4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spans="1:19" x14ac:dyDescent="0.25">
      <c r="A442" s="9"/>
      <c r="B442" s="9"/>
      <c r="C442" s="9"/>
      <c r="D442" s="9"/>
      <c r="E442" s="42"/>
      <c r="F442" s="4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spans="1:19" x14ac:dyDescent="0.25">
      <c r="A443" s="9"/>
      <c r="B443" s="9"/>
      <c r="C443" s="9"/>
      <c r="D443" s="9"/>
      <c r="E443" s="42"/>
      <c r="F443" s="4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spans="1:19" x14ac:dyDescent="0.25">
      <c r="A444" s="9"/>
      <c r="B444" s="9"/>
      <c r="C444" s="9"/>
      <c r="D444" s="9"/>
      <c r="E444" s="42"/>
      <c r="F444" s="4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spans="1:19" x14ac:dyDescent="0.25">
      <c r="A445" s="9"/>
      <c r="B445" s="9"/>
      <c r="C445" s="9"/>
      <c r="D445" s="9"/>
      <c r="E445" s="42"/>
      <c r="F445" s="4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spans="1:19" x14ac:dyDescent="0.25">
      <c r="A446" s="9"/>
      <c r="B446" s="9"/>
      <c r="C446" s="9"/>
      <c r="D446" s="9"/>
      <c r="E446" s="42"/>
      <c r="F446" s="4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spans="1:19" x14ac:dyDescent="0.25">
      <c r="A447" s="9"/>
      <c r="B447" s="9"/>
      <c r="C447" s="9"/>
      <c r="D447" s="9"/>
      <c r="E447" s="42"/>
      <c r="F447" s="4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spans="1:19" x14ac:dyDescent="0.25">
      <c r="A448" s="9"/>
      <c r="B448" s="9"/>
      <c r="C448" s="9"/>
      <c r="D448" s="9"/>
      <c r="E448" s="42"/>
      <c r="F448" s="4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spans="1:19" x14ac:dyDescent="0.25">
      <c r="A449" s="9"/>
      <c r="B449" s="9"/>
      <c r="C449" s="9"/>
      <c r="D449" s="9"/>
      <c r="E449" s="42"/>
      <c r="F449" s="4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spans="1:19" x14ac:dyDescent="0.25">
      <c r="A450" s="9"/>
      <c r="B450" s="9"/>
      <c r="C450" s="9"/>
      <c r="D450" s="9"/>
      <c r="E450" s="42"/>
      <c r="F450" s="4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spans="1:19" x14ac:dyDescent="0.25">
      <c r="A451" s="9"/>
      <c r="B451" s="9"/>
      <c r="C451" s="9"/>
      <c r="D451" s="9"/>
      <c r="E451" s="42"/>
      <c r="F451" s="4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spans="1:19" x14ac:dyDescent="0.25">
      <c r="A452" s="9"/>
      <c r="B452" s="9"/>
      <c r="C452" s="9"/>
      <c r="D452" s="9"/>
      <c r="E452" s="42"/>
      <c r="F452" s="4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spans="1:19" x14ac:dyDescent="0.25">
      <c r="A453" s="9"/>
      <c r="B453" s="9"/>
      <c r="C453" s="9"/>
      <c r="D453" s="9"/>
      <c r="E453" s="42"/>
      <c r="F453" s="4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spans="1:19" x14ac:dyDescent="0.25">
      <c r="A454" s="9"/>
      <c r="B454" s="9"/>
      <c r="C454" s="9"/>
      <c r="D454" s="9"/>
      <c r="E454" s="42"/>
      <c r="F454" s="4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spans="1:19" x14ac:dyDescent="0.25">
      <c r="A455" s="9"/>
      <c r="B455" s="9"/>
      <c r="C455" s="9"/>
      <c r="D455" s="9"/>
      <c r="E455" s="42"/>
      <c r="F455" s="4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spans="1:19" x14ac:dyDescent="0.25">
      <c r="A456" s="9"/>
      <c r="B456" s="9"/>
      <c r="C456" s="9"/>
      <c r="D456" s="9"/>
      <c r="E456" s="42"/>
      <c r="F456" s="4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spans="1:19" x14ac:dyDescent="0.25">
      <c r="A457" s="9"/>
      <c r="B457" s="9"/>
      <c r="C457" s="9"/>
      <c r="D457" s="9"/>
      <c r="E457" s="42"/>
      <c r="F457" s="4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spans="1:19" x14ac:dyDescent="0.25">
      <c r="A458" s="9"/>
      <c r="B458" s="9"/>
      <c r="C458" s="9"/>
      <c r="D458" s="9"/>
      <c r="E458" s="42"/>
      <c r="F458" s="4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spans="1:19" x14ac:dyDescent="0.25">
      <c r="A459" s="9"/>
      <c r="B459" s="9"/>
      <c r="C459" s="9"/>
      <c r="D459" s="9"/>
      <c r="E459" s="42"/>
      <c r="F459" s="4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spans="1:19" x14ac:dyDescent="0.25">
      <c r="A460" s="9"/>
      <c r="B460" s="9"/>
      <c r="C460" s="9"/>
      <c r="D460" s="9"/>
      <c r="E460" s="42"/>
      <c r="F460" s="4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spans="1:19" x14ac:dyDescent="0.25">
      <c r="A461" s="9"/>
      <c r="B461" s="9"/>
      <c r="C461" s="9"/>
      <c r="D461" s="9"/>
      <c r="E461" s="42"/>
      <c r="F461" s="4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spans="1:19" x14ac:dyDescent="0.25">
      <c r="A462" s="9"/>
      <c r="B462" s="9"/>
      <c r="C462" s="9"/>
      <c r="D462" s="9"/>
      <c r="E462" s="42"/>
      <c r="F462" s="4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spans="1:19" x14ac:dyDescent="0.25">
      <c r="A463" s="9"/>
      <c r="B463" s="9"/>
      <c r="C463" s="9"/>
      <c r="D463" s="9"/>
      <c r="E463" s="42"/>
      <c r="F463" s="4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spans="1:19" x14ac:dyDescent="0.25">
      <c r="A464" s="9"/>
      <c r="B464" s="9"/>
      <c r="C464" s="9"/>
      <c r="D464" s="9"/>
      <c r="E464" s="42"/>
      <c r="F464" s="4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spans="1:19" x14ac:dyDescent="0.25">
      <c r="A465" s="9"/>
      <c r="B465" s="9"/>
      <c r="C465" s="9"/>
      <c r="D465" s="9"/>
      <c r="E465" s="42"/>
      <c r="F465" s="4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spans="1:19" x14ac:dyDescent="0.25">
      <c r="A466" s="9"/>
      <c r="B466" s="9"/>
      <c r="C466" s="9"/>
      <c r="D466" s="9"/>
      <c r="E466" s="42"/>
      <c r="F466" s="4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spans="1:19" x14ac:dyDescent="0.25">
      <c r="A467" s="9"/>
      <c r="B467" s="9"/>
      <c r="C467" s="9"/>
      <c r="D467" s="9"/>
      <c r="E467" s="42"/>
      <c r="F467" s="4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spans="1:19" x14ac:dyDescent="0.25">
      <c r="A468" s="9"/>
      <c r="B468" s="9"/>
      <c r="C468" s="9"/>
      <c r="D468" s="9"/>
      <c r="E468" s="42"/>
      <c r="F468" s="4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spans="1:19" x14ac:dyDescent="0.25">
      <c r="A469" s="9"/>
      <c r="B469" s="9"/>
      <c r="C469" s="9"/>
      <c r="D469" s="9"/>
      <c r="E469" s="42"/>
      <c r="F469" s="4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spans="1:19" x14ac:dyDescent="0.25">
      <c r="A470" s="9"/>
      <c r="B470" s="9"/>
      <c r="C470" s="9"/>
      <c r="D470" s="9"/>
      <c r="E470" s="42"/>
      <c r="F470" s="4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spans="1:19" x14ac:dyDescent="0.25">
      <c r="A471" s="9"/>
      <c r="B471" s="9"/>
      <c r="C471" s="9"/>
      <c r="D471" s="9"/>
      <c r="E471" s="42"/>
      <c r="F471" s="4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spans="1:19" x14ac:dyDescent="0.25">
      <c r="A472" s="9"/>
      <c r="B472" s="9"/>
      <c r="C472" s="9"/>
      <c r="D472" s="9"/>
      <c r="E472" s="42"/>
      <c r="F472" s="4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spans="1:19" x14ac:dyDescent="0.25">
      <c r="A473" s="9"/>
      <c r="B473" s="9"/>
      <c r="C473" s="9"/>
      <c r="D473" s="9"/>
      <c r="E473" s="42"/>
      <c r="F473" s="4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spans="1:19" x14ac:dyDescent="0.25">
      <c r="A474" s="9"/>
      <c r="B474" s="9"/>
      <c r="C474" s="9"/>
      <c r="D474" s="9"/>
      <c r="E474" s="42"/>
      <c r="F474" s="4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spans="1:19" x14ac:dyDescent="0.25">
      <c r="A475" s="9"/>
      <c r="B475" s="9"/>
      <c r="C475" s="9"/>
      <c r="D475" s="9"/>
      <c r="E475" s="42"/>
      <c r="F475" s="4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spans="1:19" x14ac:dyDescent="0.25">
      <c r="A476" s="9"/>
      <c r="B476" s="9"/>
      <c r="C476" s="9"/>
      <c r="D476" s="9"/>
      <c r="E476" s="42"/>
      <c r="F476" s="4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spans="1:19" x14ac:dyDescent="0.25">
      <c r="A477" s="9"/>
      <c r="B477" s="9"/>
      <c r="C477" s="9"/>
      <c r="D477" s="9"/>
      <c r="E477" s="42"/>
      <c r="F477" s="4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spans="1:19" x14ac:dyDescent="0.25">
      <c r="A478" s="9"/>
      <c r="B478" s="9"/>
      <c r="C478" s="9"/>
      <c r="D478" s="9"/>
      <c r="E478" s="42"/>
      <c r="F478" s="4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spans="1:19" x14ac:dyDescent="0.25">
      <c r="A479" s="9"/>
      <c r="B479" s="9"/>
      <c r="C479" s="9"/>
      <c r="D479" s="9"/>
      <c r="E479" s="42"/>
      <c r="F479" s="4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spans="1:19" x14ac:dyDescent="0.25">
      <c r="A480" s="9"/>
      <c r="B480" s="9"/>
      <c r="C480" s="9"/>
      <c r="D480" s="9"/>
      <c r="E480" s="42"/>
      <c r="F480" s="4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spans="1:19" x14ac:dyDescent="0.25">
      <c r="A481" s="9"/>
      <c r="B481" s="9"/>
      <c r="C481" s="9"/>
      <c r="D481" s="9"/>
      <c r="E481" s="42"/>
      <c r="F481" s="4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spans="1:19" x14ac:dyDescent="0.25">
      <c r="A482" s="9"/>
      <c r="B482" s="9"/>
      <c r="C482" s="9"/>
      <c r="D482" s="9"/>
      <c r="E482" s="42"/>
      <c r="F482" s="4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spans="1:19" x14ac:dyDescent="0.25">
      <c r="A483" s="9"/>
      <c r="B483" s="9"/>
      <c r="C483" s="9"/>
      <c r="D483" s="9"/>
      <c r="E483" s="42"/>
      <c r="F483" s="4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spans="1:19" x14ac:dyDescent="0.25">
      <c r="A484" s="9"/>
      <c r="B484" s="9"/>
      <c r="C484" s="9"/>
      <c r="D484" s="9"/>
      <c r="E484" s="42"/>
      <c r="F484" s="4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spans="1:19" x14ac:dyDescent="0.25">
      <c r="A485" s="9"/>
      <c r="B485" s="9"/>
      <c r="C485" s="9"/>
      <c r="D485" s="9"/>
      <c r="E485" s="42"/>
      <c r="F485" s="4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spans="1:19" x14ac:dyDescent="0.25">
      <c r="A486" s="9"/>
      <c r="B486" s="9"/>
      <c r="C486" s="9"/>
      <c r="D486" s="9"/>
      <c r="E486" s="42"/>
      <c r="F486" s="4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spans="1:19" x14ac:dyDescent="0.25">
      <c r="A487" s="9"/>
      <c r="B487" s="9"/>
      <c r="C487" s="9"/>
      <c r="D487" s="9"/>
      <c r="E487" s="42"/>
      <c r="F487" s="4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spans="1:19" x14ac:dyDescent="0.25">
      <c r="A488" s="9"/>
      <c r="B488" s="9"/>
      <c r="C488" s="9"/>
      <c r="D488" s="9"/>
      <c r="E488" s="42"/>
      <c r="F488" s="4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spans="1:19" x14ac:dyDescent="0.25">
      <c r="A489" s="9"/>
      <c r="B489" s="9"/>
      <c r="C489" s="9"/>
      <c r="D489" s="9"/>
      <c r="E489" s="42"/>
      <c r="F489" s="4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spans="1:19" x14ac:dyDescent="0.25">
      <c r="A490" s="9"/>
      <c r="B490" s="9"/>
      <c r="C490" s="9"/>
      <c r="D490" s="9"/>
      <c r="E490" s="42"/>
      <c r="F490" s="4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spans="1:19" x14ac:dyDescent="0.25">
      <c r="A491" s="9"/>
      <c r="B491" s="9"/>
      <c r="C491" s="9"/>
      <c r="D491" s="9"/>
      <c r="E491" s="42"/>
      <c r="F491" s="4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spans="1:19" x14ac:dyDescent="0.25">
      <c r="A492" s="9"/>
      <c r="B492" s="9"/>
      <c r="C492" s="9"/>
      <c r="D492" s="9"/>
      <c r="E492" s="42"/>
      <c r="F492" s="4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spans="1:19" x14ac:dyDescent="0.25">
      <c r="A493" s="9"/>
      <c r="B493" s="9"/>
      <c r="C493" s="9"/>
      <c r="D493" s="9"/>
      <c r="E493" s="42"/>
      <c r="F493" s="4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spans="1:19" x14ac:dyDescent="0.25">
      <c r="A494" s="9"/>
      <c r="B494" s="9"/>
      <c r="C494" s="9"/>
      <c r="D494" s="9"/>
      <c r="E494" s="42"/>
      <c r="F494" s="4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spans="1:19" x14ac:dyDescent="0.25">
      <c r="A495" s="9"/>
      <c r="B495" s="9"/>
      <c r="C495" s="9"/>
      <c r="D495" s="9"/>
      <c r="E495" s="42"/>
      <c r="F495" s="4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spans="1:19" x14ac:dyDescent="0.25">
      <c r="A496" s="9"/>
      <c r="B496" s="9"/>
      <c r="C496" s="9"/>
      <c r="D496" s="9"/>
      <c r="E496" s="42"/>
      <c r="F496" s="4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spans="1:19" x14ac:dyDescent="0.25">
      <c r="A497" s="9"/>
      <c r="B497" s="9"/>
      <c r="C497" s="9"/>
      <c r="D497" s="9"/>
      <c r="E497" s="42"/>
      <c r="F497" s="4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spans="1:19" x14ac:dyDescent="0.25">
      <c r="A498" s="9"/>
      <c r="B498" s="9"/>
      <c r="C498" s="9"/>
      <c r="D498" s="9"/>
      <c r="E498" s="42"/>
      <c r="F498" s="4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spans="1:19" x14ac:dyDescent="0.25">
      <c r="A499" s="9"/>
      <c r="B499" s="9"/>
      <c r="C499" s="9"/>
      <c r="D499" s="9"/>
      <c r="E499" s="42"/>
      <c r="F499" s="4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spans="1:19" x14ac:dyDescent="0.25">
      <c r="A500" s="9"/>
      <c r="B500" s="9"/>
      <c r="C500" s="9"/>
      <c r="D500" s="9"/>
      <c r="E500" s="42"/>
      <c r="F500" s="4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spans="1:19" x14ac:dyDescent="0.25">
      <c r="A501" s="9"/>
      <c r="B501" s="9"/>
      <c r="C501" s="9"/>
      <c r="D501" s="9"/>
      <c r="E501" s="42"/>
      <c r="F501" s="4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spans="1:19" x14ac:dyDescent="0.25">
      <c r="A502" s="9"/>
      <c r="B502" s="9"/>
      <c r="C502" s="9"/>
      <c r="D502" s="9"/>
      <c r="E502" s="42"/>
      <c r="F502" s="4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spans="1:19" x14ac:dyDescent="0.25">
      <c r="A503" s="9"/>
      <c r="B503" s="9"/>
      <c r="C503" s="9"/>
      <c r="D503" s="9"/>
      <c r="E503" s="42"/>
      <c r="F503" s="4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spans="1:19" x14ac:dyDescent="0.25">
      <c r="A504" s="9"/>
      <c r="B504" s="9"/>
      <c r="C504" s="9"/>
      <c r="D504" s="9"/>
      <c r="E504" s="42"/>
      <c r="F504" s="4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spans="1:19" x14ac:dyDescent="0.25">
      <c r="A505" s="9"/>
      <c r="B505" s="9"/>
      <c r="C505" s="9"/>
      <c r="D505" s="9"/>
      <c r="E505" s="42"/>
      <c r="F505" s="4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spans="1:19" x14ac:dyDescent="0.25">
      <c r="A506" s="9"/>
      <c r="B506" s="9"/>
      <c r="C506" s="9"/>
      <c r="D506" s="9"/>
      <c r="E506" s="42"/>
      <c r="F506" s="4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spans="1:19" x14ac:dyDescent="0.25">
      <c r="A507" s="9"/>
      <c r="B507" s="9"/>
      <c r="C507" s="9"/>
      <c r="D507" s="9"/>
      <c r="E507" s="42"/>
      <c r="F507" s="4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spans="1:19" x14ac:dyDescent="0.25">
      <c r="A508" s="9"/>
      <c r="B508" s="9"/>
      <c r="C508" s="9"/>
      <c r="D508" s="9"/>
      <c r="E508" s="42"/>
      <c r="F508" s="4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spans="1:19" x14ac:dyDescent="0.25">
      <c r="A509" s="9"/>
      <c r="B509" s="9"/>
      <c r="C509" s="9"/>
      <c r="D509" s="9"/>
      <c r="E509" s="42"/>
      <c r="F509" s="4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spans="1:19" x14ac:dyDescent="0.25">
      <c r="A510" s="9"/>
      <c r="B510" s="9"/>
      <c r="C510" s="9"/>
      <c r="D510" s="9"/>
      <c r="E510" s="42"/>
      <c r="F510" s="4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spans="1:19" x14ac:dyDescent="0.25">
      <c r="A511" s="9"/>
      <c r="B511" s="9"/>
      <c r="C511" s="9"/>
      <c r="D511" s="9"/>
      <c r="E511" s="42"/>
      <c r="F511" s="4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spans="1:19" x14ac:dyDescent="0.25">
      <c r="A512" s="9"/>
      <c r="B512" s="9"/>
      <c r="C512" s="9"/>
      <c r="D512" s="9"/>
      <c r="E512" s="42"/>
      <c r="F512" s="4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spans="1:19" x14ac:dyDescent="0.25">
      <c r="A513" s="9"/>
      <c r="B513" s="9"/>
      <c r="C513" s="9"/>
      <c r="D513" s="9"/>
      <c r="E513" s="42"/>
      <c r="F513" s="4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spans="1:19" x14ac:dyDescent="0.25">
      <c r="A514" s="9"/>
      <c r="B514" s="9"/>
      <c r="C514" s="9"/>
      <c r="D514" s="9"/>
      <c r="E514" s="42"/>
      <c r="F514" s="4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spans="1:19" x14ac:dyDescent="0.25">
      <c r="A515" s="9"/>
      <c r="B515" s="9"/>
      <c r="C515" s="9"/>
      <c r="D515" s="9"/>
      <c r="E515" s="42"/>
      <c r="F515" s="4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spans="1:19" x14ac:dyDescent="0.25">
      <c r="A516" s="9"/>
      <c r="B516" s="9"/>
      <c r="C516" s="9"/>
      <c r="D516" s="9"/>
      <c r="E516" s="42"/>
      <c r="F516" s="4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spans="1:19" x14ac:dyDescent="0.25">
      <c r="A517" s="9"/>
      <c r="B517" s="9"/>
      <c r="C517" s="9"/>
      <c r="D517" s="9"/>
      <c r="E517" s="42"/>
      <c r="F517" s="4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spans="1:19" x14ac:dyDescent="0.25">
      <c r="A518" s="9"/>
      <c r="B518" s="9"/>
      <c r="C518" s="9"/>
      <c r="D518" s="9"/>
      <c r="E518" s="42"/>
      <c r="F518" s="4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spans="1:19" x14ac:dyDescent="0.25">
      <c r="A519" s="9"/>
      <c r="B519" s="9"/>
      <c r="C519" s="9"/>
      <c r="D519" s="9"/>
      <c r="E519" s="42"/>
      <c r="F519" s="4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spans="1:19" x14ac:dyDescent="0.25">
      <c r="A520" s="9"/>
      <c r="B520" s="9"/>
      <c r="C520" s="9"/>
      <c r="D520" s="9"/>
      <c r="E520" s="42"/>
      <c r="F520" s="4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spans="1:19" x14ac:dyDescent="0.25">
      <c r="A521" s="9"/>
      <c r="B521" s="9"/>
      <c r="C521" s="9"/>
      <c r="D521" s="9"/>
      <c r="E521" s="42"/>
      <c r="F521" s="4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spans="1:19" x14ac:dyDescent="0.25">
      <c r="A522" s="9"/>
      <c r="B522" s="9"/>
      <c r="C522" s="9"/>
      <c r="D522" s="9"/>
      <c r="E522" s="42"/>
      <c r="F522" s="4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spans="1:19" x14ac:dyDescent="0.25">
      <c r="A523" s="9"/>
      <c r="B523" s="9"/>
      <c r="C523" s="9"/>
      <c r="D523" s="9"/>
      <c r="E523" s="42"/>
      <c r="F523" s="4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spans="1:19" x14ac:dyDescent="0.25">
      <c r="A524" s="9"/>
      <c r="B524" s="9"/>
      <c r="C524" s="9"/>
      <c r="D524" s="9"/>
      <c r="E524" s="42"/>
      <c r="F524" s="4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spans="1:19" x14ac:dyDescent="0.25">
      <c r="A525" s="9"/>
      <c r="B525" s="9"/>
      <c r="C525" s="9"/>
      <c r="D525" s="9"/>
      <c r="E525" s="42"/>
      <c r="F525" s="4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spans="1:19" x14ac:dyDescent="0.25">
      <c r="A526" s="9"/>
      <c r="B526" s="9"/>
      <c r="C526" s="9"/>
      <c r="D526" s="9"/>
      <c r="E526" s="42"/>
      <c r="F526" s="4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spans="1:19" x14ac:dyDescent="0.25">
      <c r="A527" s="9"/>
      <c r="B527" s="9"/>
      <c r="C527" s="9"/>
      <c r="D527" s="9"/>
      <c r="E527" s="42"/>
      <c r="F527" s="4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spans="1:19" x14ac:dyDescent="0.25">
      <c r="A528" s="9"/>
      <c r="B528" s="9"/>
      <c r="C528" s="9"/>
      <c r="D528" s="9"/>
      <c r="E528" s="42"/>
      <c r="F528" s="4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spans="1:19" x14ac:dyDescent="0.25">
      <c r="A529" s="9"/>
      <c r="B529" s="9"/>
      <c r="C529" s="9"/>
      <c r="D529" s="9"/>
      <c r="E529" s="42"/>
      <c r="F529" s="4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spans="1:19" x14ac:dyDescent="0.25">
      <c r="A530" s="9"/>
      <c r="B530" s="9"/>
      <c r="C530" s="9"/>
      <c r="D530" s="9"/>
      <c r="E530" s="42"/>
      <c r="F530" s="4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spans="1:19" x14ac:dyDescent="0.25">
      <c r="A531" s="9"/>
      <c r="B531" s="9"/>
      <c r="C531" s="9"/>
      <c r="D531" s="9"/>
      <c r="E531" s="42"/>
      <c r="F531" s="4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spans="1:19" x14ac:dyDescent="0.25">
      <c r="A532" s="9"/>
      <c r="B532" s="9"/>
      <c r="C532" s="9"/>
      <c r="D532" s="9"/>
      <c r="E532" s="42"/>
      <c r="F532" s="4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spans="1:19" x14ac:dyDescent="0.25">
      <c r="A533" s="9"/>
      <c r="B533" s="9"/>
      <c r="C533" s="9"/>
      <c r="D533" s="9"/>
      <c r="E533" s="42"/>
      <c r="F533" s="4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spans="1:19" x14ac:dyDescent="0.25">
      <c r="A534" s="9"/>
      <c r="B534" s="9"/>
      <c r="C534" s="9"/>
      <c r="D534" s="9"/>
      <c r="E534" s="42"/>
      <c r="F534" s="4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spans="1:19" x14ac:dyDescent="0.25">
      <c r="A535" s="9"/>
      <c r="B535" s="9"/>
      <c r="C535" s="9"/>
      <c r="D535" s="9"/>
      <c r="E535" s="42"/>
      <c r="F535" s="4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spans="1:19" x14ac:dyDescent="0.25">
      <c r="A536" s="9"/>
      <c r="B536" s="9"/>
      <c r="C536" s="9"/>
      <c r="D536" s="9"/>
      <c r="E536" s="42"/>
      <c r="F536" s="4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spans="1:19" x14ac:dyDescent="0.25">
      <c r="A537" s="9"/>
      <c r="B537" s="9"/>
      <c r="C537" s="9"/>
      <c r="D537" s="9"/>
      <c r="E537" s="42"/>
      <c r="F537" s="4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spans="1:19" x14ac:dyDescent="0.25">
      <c r="A538" s="9"/>
      <c r="B538" s="9"/>
      <c r="C538" s="9"/>
      <c r="D538" s="9"/>
      <c r="E538" s="42"/>
      <c r="F538" s="4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spans="1:19" x14ac:dyDescent="0.25">
      <c r="A539" s="9"/>
      <c r="B539" s="9"/>
      <c r="C539" s="9"/>
      <c r="D539" s="9"/>
      <c r="E539" s="42"/>
      <c r="F539" s="4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spans="1:19" x14ac:dyDescent="0.25">
      <c r="A540" s="9"/>
      <c r="B540" s="9"/>
      <c r="C540" s="9"/>
      <c r="D540" s="9"/>
      <c r="E540" s="42"/>
      <c r="F540" s="4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spans="1:19" x14ac:dyDescent="0.25">
      <c r="A541" s="9"/>
      <c r="B541" s="9"/>
      <c r="C541" s="9"/>
      <c r="D541" s="9"/>
      <c r="E541" s="42"/>
      <c r="F541" s="4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spans="1:19" x14ac:dyDescent="0.25">
      <c r="A542" s="9"/>
      <c r="B542" s="9"/>
      <c r="C542" s="9"/>
      <c r="D542" s="9"/>
      <c r="E542" s="42"/>
      <c r="F542" s="4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spans="1:19" x14ac:dyDescent="0.25">
      <c r="A543" s="9"/>
      <c r="B543" s="9"/>
      <c r="C543" s="9"/>
      <c r="D543" s="9"/>
      <c r="E543" s="42"/>
      <c r="F543" s="4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spans="1:19" x14ac:dyDescent="0.25">
      <c r="A544" s="9"/>
      <c r="B544" s="9"/>
      <c r="C544" s="9"/>
      <c r="D544" s="9"/>
      <c r="E544" s="42"/>
      <c r="F544" s="4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spans="1:19" x14ac:dyDescent="0.25">
      <c r="A545" s="9"/>
      <c r="B545" s="9"/>
      <c r="C545" s="9"/>
      <c r="D545" s="9"/>
      <c r="E545" s="42"/>
      <c r="F545" s="4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spans="1:19" x14ac:dyDescent="0.25">
      <c r="A546" s="9"/>
      <c r="B546" s="9"/>
      <c r="C546" s="9"/>
      <c r="D546" s="9"/>
      <c r="E546" s="42"/>
      <c r="F546" s="4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spans="1:19" x14ac:dyDescent="0.25">
      <c r="A547" s="9"/>
      <c r="B547" s="9"/>
      <c r="C547" s="9"/>
      <c r="D547" s="9"/>
      <c r="E547" s="42"/>
      <c r="F547" s="4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spans="1:19" x14ac:dyDescent="0.25">
      <c r="A548" s="9"/>
      <c r="B548" s="9"/>
      <c r="C548" s="9"/>
      <c r="D548" s="9"/>
      <c r="E548" s="42"/>
      <c r="F548" s="4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spans="1:19" x14ac:dyDescent="0.25">
      <c r="A549" s="9"/>
      <c r="B549" s="9"/>
      <c r="C549" s="9"/>
      <c r="D549" s="9"/>
      <c r="E549" s="42"/>
      <c r="F549" s="4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spans="1:19" x14ac:dyDescent="0.25">
      <c r="A550" s="9"/>
      <c r="B550" s="9"/>
      <c r="C550" s="9"/>
      <c r="D550" s="9"/>
      <c r="E550" s="42"/>
      <c r="F550" s="4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spans="1:19" x14ac:dyDescent="0.25">
      <c r="A551" s="9"/>
      <c r="B551" s="9"/>
      <c r="C551" s="9"/>
      <c r="D551" s="9"/>
      <c r="E551" s="42"/>
      <c r="F551" s="4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spans="1:19" x14ac:dyDescent="0.25">
      <c r="A552" s="9"/>
      <c r="B552" s="9"/>
      <c r="C552" s="9"/>
      <c r="D552" s="9"/>
      <c r="E552" s="42"/>
      <c r="F552" s="4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spans="1:19" x14ac:dyDescent="0.25">
      <c r="A553" s="9"/>
      <c r="B553" s="9"/>
      <c r="C553" s="9"/>
      <c r="D553" s="9"/>
      <c r="E553" s="42"/>
      <c r="F553" s="4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spans="1:19" x14ac:dyDescent="0.25">
      <c r="A554" s="9"/>
      <c r="B554" s="9"/>
      <c r="C554" s="9"/>
      <c r="D554" s="9"/>
      <c r="E554" s="42"/>
      <c r="F554" s="4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spans="1:19" x14ac:dyDescent="0.25">
      <c r="A555" s="9"/>
      <c r="B555" s="9"/>
      <c r="C555" s="9"/>
      <c r="D555" s="9"/>
      <c r="E555" s="42"/>
      <c r="F555" s="4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spans="1:19" x14ac:dyDescent="0.25">
      <c r="A556" s="9"/>
      <c r="B556" s="9"/>
      <c r="C556" s="9"/>
      <c r="D556" s="9"/>
      <c r="E556" s="42"/>
      <c r="F556" s="4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spans="1:19" x14ac:dyDescent="0.25">
      <c r="A557" s="9"/>
      <c r="B557" s="9"/>
      <c r="C557" s="9"/>
      <c r="D557" s="9"/>
      <c r="E557" s="42"/>
      <c r="F557" s="4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spans="1:19" x14ac:dyDescent="0.25">
      <c r="A558" s="9"/>
      <c r="B558" s="9"/>
      <c r="C558" s="9"/>
      <c r="D558" s="9"/>
      <c r="E558" s="42"/>
      <c r="F558" s="4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spans="1:19" x14ac:dyDescent="0.25">
      <c r="A559" s="9"/>
      <c r="B559" s="9"/>
      <c r="C559" s="9"/>
      <c r="D559" s="9"/>
      <c r="E559" s="42"/>
      <c r="F559" s="4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spans="1:19" x14ac:dyDescent="0.25">
      <c r="A560" s="9"/>
      <c r="B560" s="9"/>
      <c r="C560" s="9"/>
      <c r="D560" s="9"/>
      <c r="E560" s="42"/>
      <c r="F560" s="4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spans="1:19" x14ac:dyDescent="0.25">
      <c r="A561" s="9"/>
      <c r="B561" s="9"/>
      <c r="C561" s="9"/>
      <c r="D561" s="9"/>
      <c r="E561" s="42"/>
      <c r="F561" s="4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spans="1:19" x14ac:dyDescent="0.25">
      <c r="A562" s="9"/>
      <c r="B562" s="9"/>
      <c r="C562" s="9"/>
      <c r="D562" s="9"/>
      <c r="E562" s="42"/>
      <c r="F562" s="4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spans="1:19" x14ac:dyDescent="0.25">
      <c r="A563" s="9"/>
      <c r="B563" s="9"/>
      <c r="C563" s="9"/>
      <c r="D563" s="9"/>
      <c r="E563" s="42"/>
      <c r="F563" s="4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spans="1:19" x14ac:dyDescent="0.25">
      <c r="A564" s="9"/>
      <c r="B564" s="9"/>
      <c r="C564" s="9"/>
      <c r="D564" s="9"/>
      <c r="E564" s="42"/>
      <c r="F564" s="4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spans="1:19" x14ac:dyDescent="0.25">
      <c r="A565" s="9"/>
      <c r="B565" s="9"/>
      <c r="C565" s="9"/>
      <c r="D565" s="9"/>
      <c r="E565" s="42"/>
      <c r="F565" s="4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spans="1:19" x14ac:dyDescent="0.25">
      <c r="A566" s="9"/>
      <c r="B566" s="9"/>
      <c r="C566" s="9"/>
      <c r="D566" s="9"/>
      <c r="E566" s="42"/>
      <c r="F566" s="4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spans="1:19" x14ac:dyDescent="0.25">
      <c r="A567" s="9"/>
      <c r="B567" s="9"/>
      <c r="C567" s="9"/>
      <c r="D567" s="9"/>
      <c r="E567" s="42"/>
      <c r="F567" s="4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spans="1:19" x14ac:dyDescent="0.25">
      <c r="A568" s="9"/>
      <c r="B568" s="9"/>
      <c r="C568" s="9"/>
      <c r="D568" s="9"/>
      <c r="E568" s="42"/>
      <c r="F568" s="4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spans="1:19" x14ac:dyDescent="0.25">
      <c r="A569" s="9"/>
      <c r="B569" s="9"/>
      <c r="C569" s="9"/>
      <c r="D569" s="9"/>
      <c r="E569" s="42"/>
      <c r="F569" s="4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spans="1:19" x14ac:dyDescent="0.25">
      <c r="A570" s="9"/>
      <c r="B570" s="9"/>
      <c r="C570" s="9"/>
      <c r="D570" s="9"/>
      <c r="E570" s="42"/>
      <c r="F570" s="4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spans="1:19" x14ac:dyDescent="0.25">
      <c r="A571" s="9"/>
      <c r="B571" s="9"/>
      <c r="C571" s="9"/>
      <c r="D571" s="9"/>
      <c r="E571" s="42"/>
      <c r="F571" s="4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spans="1:19" x14ac:dyDescent="0.25">
      <c r="A572" s="9"/>
      <c r="B572" s="9"/>
      <c r="C572" s="9"/>
      <c r="D572" s="9"/>
      <c r="E572" s="42"/>
      <c r="F572" s="4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spans="1:19" x14ac:dyDescent="0.25">
      <c r="A573" s="9"/>
      <c r="B573" s="9"/>
      <c r="C573" s="9"/>
      <c r="D573" s="9"/>
      <c r="E573" s="42"/>
      <c r="F573" s="4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spans="1:19" x14ac:dyDescent="0.25">
      <c r="A574" s="9"/>
      <c r="B574" s="9"/>
      <c r="C574" s="9"/>
      <c r="D574" s="9"/>
      <c r="E574" s="42"/>
      <c r="F574" s="4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spans="1:19" x14ac:dyDescent="0.25">
      <c r="A575" s="9"/>
      <c r="B575" s="9"/>
      <c r="C575" s="9"/>
      <c r="D575" s="9"/>
      <c r="E575" s="42"/>
      <c r="F575" s="4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spans="1:19" x14ac:dyDescent="0.25">
      <c r="A576" s="9"/>
      <c r="B576" s="9"/>
      <c r="C576" s="9"/>
      <c r="D576" s="9"/>
      <c r="E576" s="42"/>
      <c r="F576" s="4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spans="1:19" x14ac:dyDescent="0.25">
      <c r="A577" s="9"/>
      <c r="B577" s="9"/>
      <c r="C577" s="9"/>
      <c r="D577" s="9"/>
      <c r="E577" s="42"/>
      <c r="F577" s="4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spans="1:19" x14ac:dyDescent="0.25">
      <c r="A578" s="9"/>
      <c r="B578" s="9"/>
      <c r="C578" s="9"/>
      <c r="D578" s="9"/>
      <c r="E578" s="42"/>
      <c r="F578" s="4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spans="1:19" x14ac:dyDescent="0.25">
      <c r="A579" s="9"/>
      <c r="B579" s="9"/>
      <c r="C579" s="9"/>
      <c r="D579" s="9"/>
      <c r="E579" s="42"/>
      <c r="F579" s="4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spans="1:19" x14ac:dyDescent="0.25">
      <c r="A580" s="9"/>
      <c r="B580" s="9"/>
      <c r="C580" s="9"/>
      <c r="D580" s="9"/>
      <c r="E580" s="42"/>
      <c r="F580" s="4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spans="1:19" x14ac:dyDescent="0.25">
      <c r="A581" s="9"/>
      <c r="B581" s="9"/>
      <c r="C581" s="9"/>
      <c r="D581" s="9"/>
      <c r="E581" s="42"/>
      <c r="F581" s="4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spans="1:19" x14ac:dyDescent="0.25">
      <c r="A582" s="9"/>
      <c r="B582" s="9"/>
      <c r="C582" s="9"/>
      <c r="D582" s="9"/>
      <c r="E582" s="42"/>
      <c r="F582" s="4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spans="1:19" x14ac:dyDescent="0.25">
      <c r="A583" s="9"/>
      <c r="B583" s="9"/>
      <c r="C583" s="9"/>
      <c r="D583" s="9"/>
      <c r="E583" s="42"/>
      <c r="F583" s="4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spans="1:19" x14ac:dyDescent="0.25">
      <c r="A584" s="9"/>
      <c r="B584" s="9"/>
      <c r="C584" s="9"/>
      <c r="D584" s="9"/>
      <c r="E584" s="42"/>
      <c r="F584" s="4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spans="1:19" x14ac:dyDescent="0.25">
      <c r="A585" s="9"/>
      <c r="B585" s="9"/>
      <c r="C585" s="9"/>
      <c r="D585" s="9"/>
      <c r="E585" s="42"/>
      <c r="F585" s="4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spans="1:19" x14ac:dyDescent="0.25">
      <c r="A586" s="9"/>
      <c r="B586" s="9"/>
      <c r="C586" s="9"/>
      <c r="D586" s="9"/>
      <c r="E586" s="42"/>
      <c r="F586" s="4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spans="1:19" x14ac:dyDescent="0.25">
      <c r="A587" s="9"/>
      <c r="B587" s="9"/>
      <c r="C587" s="9"/>
      <c r="D587" s="9"/>
      <c r="E587" s="42"/>
      <c r="F587" s="4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spans="1:19" x14ac:dyDescent="0.25">
      <c r="A588" s="9"/>
      <c r="B588" s="9"/>
      <c r="C588" s="9"/>
      <c r="D588" s="9"/>
      <c r="E588" s="42"/>
      <c r="F588" s="4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spans="1:19" x14ac:dyDescent="0.25">
      <c r="A589" s="9"/>
      <c r="B589" s="9"/>
      <c r="C589" s="9"/>
      <c r="D589" s="9"/>
      <c r="E589" s="42"/>
      <c r="F589" s="4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spans="1:19" x14ac:dyDescent="0.25">
      <c r="A590" s="9"/>
      <c r="B590" s="9"/>
      <c r="C590" s="9"/>
      <c r="D590" s="9"/>
      <c r="E590" s="42"/>
      <c r="F590" s="4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spans="1:19" x14ac:dyDescent="0.25">
      <c r="A591" s="9"/>
      <c r="B591" s="9"/>
      <c r="C591" s="9"/>
      <c r="D591" s="9"/>
      <c r="E591" s="42"/>
      <c r="F591" s="4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spans="1:19" x14ac:dyDescent="0.25">
      <c r="A592" s="9"/>
      <c r="B592" s="9"/>
      <c r="C592" s="9"/>
      <c r="D592" s="9"/>
      <c r="E592" s="42"/>
      <c r="F592" s="4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spans="1:19" x14ac:dyDescent="0.25">
      <c r="A593" s="9"/>
      <c r="B593" s="9"/>
      <c r="C593" s="9"/>
      <c r="D593" s="9"/>
      <c r="E593" s="42"/>
      <c r="F593" s="4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spans="1:19" x14ac:dyDescent="0.25">
      <c r="A594" s="9"/>
      <c r="B594" s="9"/>
      <c r="C594" s="9"/>
      <c r="D594" s="9"/>
      <c r="E594" s="42"/>
      <c r="F594" s="4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spans="1:19" x14ac:dyDescent="0.25">
      <c r="A595" s="9"/>
      <c r="B595" s="9"/>
      <c r="C595" s="9"/>
      <c r="D595" s="9"/>
      <c r="E595" s="42"/>
      <c r="F595" s="4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spans="1:19" x14ac:dyDescent="0.25">
      <c r="A596" s="9"/>
      <c r="B596" s="9"/>
      <c r="C596" s="9"/>
      <c r="D596" s="9"/>
      <c r="E596" s="42"/>
      <c r="F596" s="4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spans="1:19" x14ac:dyDescent="0.25">
      <c r="A597" s="9"/>
      <c r="B597" s="9"/>
      <c r="C597" s="9"/>
      <c r="D597" s="9"/>
      <c r="E597" s="42"/>
      <c r="F597" s="4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spans="1:19" x14ac:dyDescent="0.25">
      <c r="A598" s="9"/>
      <c r="B598" s="9"/>
      <c r="C598" s="9"/>
      <c r="D598" s="9"/>
      <c r="E598" s="42"/>
      <c r="F598" s="4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spans="1:19" x14ac:dyDescent="0.25">
      <c r="A599" s="9"/>
      <c r="B599" s="9"/>
      <c r="C599" s="9"/>
      <c r="D599" s="9"/>
      <c r="E599" s="42"/>
      <c r="F599" s="4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spans="1:19" x14ac:dyDescent="0.25">
      <c r="A600" s="9"/>
      <c r="B600" s="9"/>
      <c r="C600" s="9"/>
      <c r="D600" s="9"/>
      <c r="E600" s="42"/>
      <c r="F600" s="4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spans="1:19" x14ac:dyDescent="0.25">
      <c r="A601" s="9"/>
      <c r="B601" s="9"/>
      <c r="C601" s="9"/>
      <c r="D601" s="9"/>
      <c r="E601" s="42"/>
      <c r="F601" s="4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spans="1:19" x14ac:dyDescent="0.25">
      <c r="A602" s="9"/>
      <c r="B602" s="9"/>
      <c r="C602" s="9"/>
      <c r="D602" s="9"/>
      <c r="E602" s="42"/>
      <c r="F602" s="4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spans="1:19" x14ac:dyDescent="0.25">
      <c r="A603" s="9"/>
      <c r="B603" s="9"/>
      <c r="C603" s="9"/>
      <c r="D603" s="9"/>
      <c r="E603" s="42"/>
      <c r="F603" s="4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spans="1:19" x14ac:dyDescent="0.25">
      <c r="A604" s="9"/>
      <c r="B604" s="9"/>
      <c r="C604" s="9"/>
      <c r="D604" s="9"/>
      <c r="E604" s="42"/>
      <c r="F604" s="4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spans="1:19" x14ac:dyDescent="0.25">
      <c r="A605" s="9"/>
      <c r="B605" s="9"/>
      <c r="C605" s="9"/>
      <c r="D605" s="9"/>
      <c r="E605" s="42"/>
      <c r="F605" s="4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spans="1:19" x14ac:dyDescent="0.25">
      <c r="A606" s="9"/>
      <c r="B606" s="9"/>
      <c r="C606" s="9"/>
      <c r="D606" s="9"/>
      <c r="E606" s="42"/>
      <c r="F606" s="4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spans="1:19" x14ac:dyDescent="0.25">
      <c r="A607" s="9"/>
      <c r="B607" s="9"/>
      <c r="C607" s="9"/>
      <c r="D607" s="9"/>
      <c r="E607" s="42"/>
      <c r="F607" s="4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spans="1:19" x14ac:dyDescent="0.25">
      <c r="A608" s="9"/>
      <c r="B608" s="9"/>
      <c r="C608" s="9"/>
      <c r="D608" s="9"/>
      <c r="E608" s="42"/>
      <c r="F608" s="4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spans="1:19" x14ac:dyDescent="0.25">
      <c r="A609" s="9"/>
      <c r="B609" s="9"/>
      <c r="C609" s="9"/>
      <c r="D609" s="9"/>
      <c r="E609" s="42"/>
      <c r="F609" s="4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spans="1:19" x14ac:dyDescent="0.25">
      <c r="A610" s="9"/>
      <c r="B610" s="9"/>
      <c r="C610" s="9"/>
      <c r="D610" s="9"/>
      <c r="E610" s="42"/>
      <c r="F610" s="4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spans="1:19" x14ac:dyDescent="0.25">
      <c r="A611" s="9"/>
      <c r="B611" s="9"/>
      <c r="C611" s="9"/>
      <c r="D611" s="9"/>
      <c r="E611" s="42"/>
      <c r="F611" s="4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spans="1:19" x14ac:dyDescent="0.25">
      <c r="A612" s="9"/>
      <c r="B612" s="9"/>
      <c r="C612" s="9"/>
      <c r="D612" s="9"/>
      <c r="E612" s="42"/>
      <c r="F612" s="4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spans="1:19" x14ac:dyDescent="0.25">
      <c r="A613" s="9"/>
      <c r="B613" s="9"/>
      <c r="C613" s="9"/>
      <c r="D613" s="9"/>
      <c r="E613" s="42"/>
      <c r="F613" s="4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spans="1:19" x14ac:dyDescent="0.25">
      <c r="A614" s="9"/>
      <c r="B614" s="9"/>
      <c r="C614" s="9"/>
      <c r="D614" s="9"/>
      <c r="E614" s="42"/>
      <c r="F614" s="4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spans="1:19" x14ac:dyDescent="0.25">
      <c r="A615" s="9"/>
      <c r="B615" s="9"/>
      <c r="C615" s="9"/>
      <c r="D615" s="9"/>
      <c r="E615" s="42"/>
      <c r="F615" s="4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spans="1:19" x14ac:dyDescent="0.25">
      <c r="A616" s="9"/>
      <c r="B616" s="9"/>
      <c r="C616" s="9"/>
      <c r="D616" s="9"/>
      <c r="E616" s="42"/>
      <c r="F616" s="4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spans="1:19" x14ac:dyDescent="0.25">
      <c r="A617" s="9"/>
      <c r="B617" s="9"/>
      <c r="C617" s="9"/>
      <c r="D617" s="9"/>
      <c r="E617" s="42"/>
      <c r="F617" s="4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spans="1:19" x14ac:dyDescent="0.25">
      <c r="A618" s="9"/>
      <c r="B618" s="9"/>
      <c r="C618" s="9"/>
      <c r="D618" s="9"/>
      <c r="E618" s="42"/>
      <c r="F618" s="4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spans="1:19" x14ac:dyDescent="0.25">
      <c r="A619" s="9"/>
      <c r="B619" s="9"/>
      <c r="C619" s="9"/>
      <c r="D619" s="9"/>
      <c r="E619" s="42"/>
      <c r="F619" s="4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spans="1:19" x14ac:dyDescent="0.25">
      <c r="A620" s="9"/>
      <c r="B620" s="9"/>
      <c r="C620" s="9"/>
      <c r="D620" s="9"/>
      <c r="E620" s="42"/>
      <c r="F620" s="4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spans="1:19" x14ac:dyDescent="0.25">
      <c r="A621" s="9"/>
      <c r="B621" s="9"/>
      <c r="C621" s="9"/>
      <c r="D621" s="9"/>
      <c r="E621" s="42"/>
      <c r="F621" s="4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spans="1:19" x14ac:dyDescent="0.25">
      <c r="A622" s="9"/>
      <c r="B622" s="9"/>
      <c r="C622" s="9"/>
      <c r="D622" s="9"/>
      <c r="E622" s="42"/>
      <c r="F622" s="4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spans="1:19" x14ac:dyDescent="0.25">
      <c r="A623" s="9"/>
      <c r="B623" s="9"/>
      <c r="C623" s="9"/>
      <c r="D623" s="9"/>
      <c r="E623" s="42"/>
      <c r="F623" s="4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spans="1:19" x14ac:dyDescent="0.25">
      <c r="A624" s="9"/>
      <c r="B624" s="9"/>
      <c r="C624" s="9"/>
      <c r="D624" s="9"/>
      <c r="E624" s="42"/>
      <c r="F624" s="4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spans="1:19" x14ac:dyDescent="0.25">
      <c r="A625" s="9"/>
      <c r="B625" s="9"/>
      <c r="C625" s="9"/>
      <c r="D625" s="9"/>
      <c r="E625" s="42"/>
      <c r="F625" s="4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spans="1:19" x14ac:dyDescent="0.25">
      <c r="A626" s="9"/>
      <c r="B626" s="9"/>
      <c r="C626" s="9"/>
      <c r="D626" s="9"/>
      <c r="E626" s="42"/>
      <c r="F626" s="4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spans="1:19" x14ac:dyDescent="0.25">
      <c r="A627" s="9"/>
      <c r="B627" s="9"/>
      <c r="C627" s="9"/>
      <c r="D627" s="9"/>
      <c r="E627" s="42"/>
      <c r="F627" s="4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spans="1:19" x14ac:dyDescent="0.25">
      <c r="A628" s="9"/>
      <c r="B628" s="9"/>
      <c r="C628" s="9"/>
      <c r="D628" s="9"/>
      <c r="E628" s="42"/>
      <c r="F628" s="4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spans="1:19" x14ac:dyDescent="0.25">
      <c r="A629" s="9"/>
      <c r="B629" s="9"/>
      <c r="C629" s="9"/>
      <c r="D629" s="9"/>
      <c r="E629" s="42"/>
      <c r="F629" s="4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spans="1:19" x14ac:dyDescent="0.25">
      <c r="A630" s="9"/>
      <c r="B630" s="9"/>
      <c r="C630" s="9"/>
      <c r="D630" s="9"/>
      <c r="E630" s="42"/>
      <c r="F630" s="4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spans="1:19" x14ac:dyDescent="0.25">
      <c r="A631" s="9"/>
      <c r="B631" s="9"/>
      <c r="C631" s="9"/>
      <c r="D631" s="9"/>
      <c r="E631" s="42"/>
      <c r="F631" s="4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spans="1:19" x14ac:dyDescent="0.25">
      <c r="A632" s="9"/>
      <c r="B632" s="9"/>
      <c r="C632" s="9"/>
      <c r="D632" s="9"/>
      <c r="E632" s="42"/>
      <c r="F632" s="4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spans="1:19" x14ac:dyDescent="0.25">
      <c r="A633" s="9"/>
      <c r="B633" s="9"/>
      <c r="C633" s="9"/>
      <c r="D633" s="9"/>
      <c r="E633" s="42"/>
      <c r="F633" s="4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spans="1:19" x14ac:dyDescent="0.25">
      <c r="A634" s="9"/>
      <c r="B634" s="9"/>
      <c r="C634" s="9"/>
      <c r="D634" s="9"/>
      <c r="E634" s="42"/>
      <c r="F634" s="4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spans="1:19" x14ac:dyDescent="0.25">
      <c r="A635" s="9"/>
      <c r="B635" s="9"/>
      <c r="C635" s="9"/>
      <c r="D635" s="9"/>
      <c r="E635" s="42"/>
      <c r="F635" s="4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spans="1:19" x14ac:dyDescent="0.25">
      <c r="A636" s="9"/>
      <c r="B636" s="9"/>
      <c r="C636" s="9"/>
      <c r="D636" s="9"/>
      <c r="E636" s="42"/>
      <c r="F636" s="4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spans="1:19" x14ac:dyDescent="0.25">
      <c r="A637" s="9"/>
      <c r="B637" s="9"/>
      <c r="C637" s="9"/>
      <c r="D637" s="9"/>
      <c r="E637" s="42"/>
      <c r="F637" s="4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spans="1:19" x14ac:dyDescent="0.25">
      <c r="A638" s="9"/>
      <c r="B638" s="9"/>
      <c r="C638" s="9"/>
      <c r="D638" s="9"/>
      <c r="E638" s="42"/>
      <c r="F638" s="4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spans="1:19" x14ac:dyDescent="0.25">
      <c r="A639" s="9"/>
      <c r="B639" s="9"/>
      <c r="C639" s="9"/>
      <c r="D639" s="9"/>
      <c r="E639" s="42"/>
      <c r="F639" s="4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spans="1:19" x14ac:dyDescent="0.25">
      <c r="A640" s="9"/>
      <c r="B640" s="9"/>
      <c r="C640" s="9"/>
      <c r="D640" s="9"/>
      <c r="E640" s="42"/>
      <c r="F640" s="4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spans="1:19" x14ac:dyDescent="0.25">
      <c r="A641" s="9"/>
      <c r="B641" s="9"/>
      <c r="C641" s="9"/>
      <c r="D641" s="9"/>
      <c r="E641" s="42"/>
      <c r="F641" s="4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spans="1:19" x14ac:dyDescent="0.25">
      <c r="A642" s="9"/>
      <c r="B642" s="9"/>
      <c r="C642" s="9"/>
      <c r="D642" s="9"/>
      <c r="E642" s="42"/>
      <c r="F642" s="4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spans="1:19" x14ac:dyDescent="0.25">
      <c r="A643" s="9"/>
      <c r="B643" s="9"/>
      <c r="C643" s="9"/>
      <c r="D643" s="9"/>
      <c r="E643" s="42"/>
      <c r="F643" s="4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spans="1:19" x14ac:dyDescent="0.25">
      <c r="A644" s="9"/>
      <c r="B644" s="9"/>
      <c r="C644" s="9"/>
      <c r="D644" s="9"/>
      <c r="E644" s="42"/>
      <c r="F644" s="4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spans="1:19" x14ac:dyDescent="0.25">
      <c r="A645" s="9"/>
      <c r="B645" s="9"/>
      <c r="C645" s="9"/>
      <c r="D645" s="9"/>
      <c r="E645" s="42"/>
      <c r="F645" s="4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spans="1:19" x14ac:dyDescent="0.25">
      <c r="A646" s="9"/>
      <c r="B646" s="9"/>
      <c r="C646" s="9"/>
      <c r="D646" s="9"/>
      <c r="E646" s="42"/>
      <c r="F646" s="4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spans="1:19" x14ac:dyDescent="0.25">
      <c r="A647" s="9"/>
      <c r="B647" s="9"/>
      <c r="C647" s="9"/>
      <c r="D647" s="9"/>
      <c r="E647" s="42"/>
      <c r="F647" s="4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spans="1:19" x14ac:dyDescent="0.25">
      <c r="A648" s="9"/>
      <c r="B648" s="9"/>
      <c r="C648" s="9"/>
      <c r="D648" s="9"/>
      <c r="E648" s="42"/>
      <c r="F648" s="4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spans="1:19" x14ac:dyDescent="0.25">
      <c r="A649" s="9"/>
      <c r="B649" s="9"/>
      <c r="C649" s="9"/>
      <c r="D649" s="9"/>
      <c r="E649" s="42"/>
      <c r="F649" s="4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spans="1:19" x14ac:dyDescent="0.25">
      <c r="A650" s="9"/>
      <c r="B650" s="9"/>
      <c r="C650" s="9"/>
      <c r="D650" s="9"/>
      <c r="E650" s="42"/>
      <c r="F650" s="4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spans="1:19" x14ac:dyDescent="0.25">
      <c r="A651" s="9"/>
      <c r="B651" s="9"/>
      <c r="C651" s="9"/>
      <c r="D651" s="9"/>
      <c r="E651" s="42"/>
      <c r="F651" s="4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spans="1:19" x14ac:dyDescent="0.25">
      <c r="A652" s="9"/>
      <c r="B652" s="9"/>
      <c r="C652" s="9"/>
      <c r="D652" s="9"/>
      <c r="E652" s="42"/>
      <c r="F652" s="4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spans="1:19" x14ac:dyDescent="0.25">
      <c r="A653" s="9"/>
      <c r="B653" s="9"/>
      <c r="C653" s="9"/>
      <c r="D653" s="9"/>
      <c r="E653" s="42"/>
      <c r="F653" s="4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spans="1:19" x14ac:dyDescent="0.25">
      <c r="A654" s="9"/>
      <c r="B654" s="9"/>
      <c r="C654" s="9"/>
      <c r="D654" s="9"/>
      <c r="E654" s="42"/>
      <c r="F654" s="4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spans="1:19" x14ac:dyDescent="0.25">
      <c r="A655" s="9"/>
      <c r="B655" s="9"/>
      <c r="C655" s="9"/>
      <c r="D655" s="9"/>
      <c r="E655" s="42"/>
      <c r="F655" s="4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spans="1:19" x14ac:dyDescent="0.25">
      <c r="A656" s="9"/>
      <c r="B656" s="9"/>
      <c r="C656" s="9"/>
      <c r="D656" s="9"/>
      <c r="E656" s="42"/>
      <c r="F656" s="4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spans="1:19" x14ac:dyDescent="0.25">
      <c r="A657" s="9"/>
      <c r="B657" s="9"/>
      <c r="C657" s="9"/>
      <c r="D657" s="9"/>
      <c r="E657" s="42"/>
      <c r="F657" s="4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spans="1:19" x14ac:dyDescent="0.25">
      <c r="A658" s="9"/>
      <c r="B658" s="9"/>
      <c r="C658" s="9"/>
      <c r="D658" s="9"/>
      <c r="E658" s="42"/>
      <c r="F658" s="4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spans="1:19" x14ac:dyDescent="0.25">
      <c r="A659" s="9"/>
      <c r="B659" s="9"/>
      <c r="C659" s="9"/>
      <c r="D659" s="9"/>
      <c r="E659" s="42"/>
      <c r="F659" s="4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spans="1:19" x14ac:dyDescent="0.25">
      <c r="A660" s="9"/>
      <c r="B660" s="9"/>
      <c r="C660" s="9"/>
      <c r="D660" s="9"/>
      <c r="E660" s="42"/>
      <c r="F660" s="4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spans="1:19" x14ac:dyDescent="0.25">
      <c r="A661" s="9"/>
      <c r="B661" s="9"/>
      <c r="C661" s="9"/>
      <c r="D661" s="9"/>
      <c r="E661" s="42"/>
      <c r="F661" s="4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spans="1:19" x14ac:dyDescent="0.25">
      <c r="A662" s="9"/>
      <c r="B662" s="9"/>
      <c r="C662" s="9"/>
      <c r="D662" s="9"/>
      <c r="E662" s="42"/>
      <c r="F662" s="4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spans="1:19" x14ac:dyDescent="0.25">
      <c r="A663" s="9"/>
      <c r="B663" s="9"/>
      <c r="C663" s="9"/>
      <c r="D663" s="9"/>
      <c r="E663" s="42"/>
      <c r="F663" s="4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spans="1:19" x14ac:dyDescent="0.25">
      <c r="A664" s="9"/>
      <c r="B664" s="9"/>
      <c r="C664" s="9"/>
      <c r="D664" s="9"/>
      <c r="E664" s="42"/>
      <c r="F664" s="4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spans="1:19" x14ac:dyDescent="0.25">
      <c r="A665" s="9"/>
      <c r="B665" s="9"/>
      <c r="C665" s="9"/>
      <c r="D665" s="9"/>
      <c r="E665" s="42"/>
      <c r="F665" s="4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spans="1:19" x14ac:dyDescent="0.25">
      <c r="A666" s="9"/>
      <c r="B666" s="9"/>
      <c r="C666" s="9"/>
      <c r="D666" s="9"/>
      <c r="E666" s="42"/>
      <c r="F666" s="4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spans="1:19" x14ac:dyDescent="0.25">
      <c r="A667" s="9"/>
      <c r="B667" s="9"/>
      <c r="C667" s="9"/>
      <c r="D667" s="9"/>
      <c r="E667" s="42"/>
      <c r="F667" s="4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spans="1:19" x14ac:dyDescent="0.25">
      <c r="A668" s="9"/>
      <c r="B668" s="9"/>
      <c r="C668" s="9"/>
      <c r="D668" s="9"/>
      <c r="E668" s="42"/>
      <c r="F668" s="4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spans="1:19" x14ac:dyDescent="0.25">
      <c r="A669" s="9"/>
      <c r="B669" s="9"/>
      <c r="C669" s="9"/>
      <c r="D669" s="9"/>
      <c r="E669" s="42"/>
      <c r="F669" s="4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spans="1:19" x14ac:dyDescent="0.25">
      <c r="A670" s="9"/>
      <c r="B670" s="9"/>
      <c r="C670" s="9"/>
      <c r="D670" s="9"/>
      <c r="E670" s="42"/>
      <c r="F670" s="4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spans="1:19" x14ac:dyDescent="0.25">
      <c r="A671" s="9"/>
      <c r="B671" s="9"/>
      <c r="C671" s="9"/>
      <c r="D671" s="9"/>
      <c r="E671" s="42"/>
      <c r="F671" s="4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spans="1:19" x14ac:dyDescent="0.25">
      <c r="A672" s="9"/>
      <c r="B672" s="9"/>
      <c r="C672" s="9"/>
      <c r="D672" s="9"/>
      <c r="E672" s="42"/>
      <c r="F672" s="4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spans="1:19" x14ac:dyDescent="0.25">
      <c r="A673" s="9"/>
      <c r="B673" s="9"/>
      <c r="C673" s="9"/>
      <c r="D673" s="9"/>
      <c r="E673" s="42"/>
      <c r="F673" s="4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spans="1:19" x14ac:dyDescent="0.25">
      <c r="A674" s="9"/>
      <c r="B674" s="9"/>
      <c r="C674" s="9"/>
      <c r="D674" s="9"/>
      <c r="E674" s="42"/>
      <c r="F674" s="4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spans="1:19" x14ac:dyDescent="0.25">
      <c r="A675" s="9"/>
      <c r="B675" s="9"/>
      <c r="C675" s="9"/>
      <c r="D675" s="9"/>
      <c r="E675" s="42"/>
      <c r="F675" s="4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spans="1:19" x14ac:dyDescent="0.25">
      <c r="A676" s="9"/>
      <c r="B676" s="9"/>
      <c r="C676" s="9"/>
      <c r="D676" s="9"/>
      <c r="E676" s="42"/>
      <c r="F676" s="4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spans="1:19" x14ac:dyDescent="0.25">
      <c r="A677" s="9"/>
      <c r="B677" s="9"/>
      <c r="C677" s="9"/>
      <c r="D677" s="9"/>
      <c r="E677" s="42"/>
      <c r="F677" s="4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spans="1:19" x14ac:dyDescent="0.25">
      <c r="A678" s="9"/>
      <c r="B678" s="9"/>
      <c r="C678" s="9"/>
      <c r="D678" s="9"/>
      <c r="E678" s="42"/>
      <c r="F678" s="4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spans="1:19" x14ac:dyDescent="0.25">
      <c r="A679" s="9"/>
      <c r="B679" s="9"/>
      <c r="C679" s="9"/>
      <c r="D679" s="9"/>
      <c r="E679" s="42"/>
      <c r="F679" s="4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spans="1:19" x14ac:dyDescent="0.25">
      <c r="A680" s="9"/>
      <c r="B680" s="9"/>
      <c r="C680" s="9"/>
      <c r="D680" s="9"/>
      <c r="E680" s="42"/>
      <c r="F680" s="4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spans="1:19" x14ac:dyDescent="0.25">
      <c r="A681" s="9"/>
      <c r="B681" s="9"/>
      <c r="C681" s="9"/>
      <c r="D681" s="9"/>
      <c r="E681" s="42"/>
      <c r="F681" s="4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spans="1:19" x14ac:dyDescent="0.25">
      <c r="A682" s="9"/>
      <c r="B682" s="9"/>
      <c r="C682" s="9"/>
      <c r="D682" s="9"/>
      <c r="E682" s="42"/>
      <c r="F682" s="4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spans="1:19" x14ac:dyDescent="0.25">
      <c r="A683" s="9"/>
      <c r="B683" s="9"/>
      <c r="C683" s="9"/>
      <c r="D683" s="9"/>
      <c r="E683" s="42"/>
      <c r="F683" s="4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spans="1:19" x14ac:dyDescent="0.25">
      <c r="A684" s="9"/>
      <c r="B684" s="9"/>
      <c r="C684" s="9"/>
      <c r="D684" s="9"/>
      <c r="E684" s="42"/>
      <c r="F684" s="4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spans="1:19" x14ac:dyDescent="0.25">
      <c r="A685" s="9"/>
      <c r="B685" s="9"/>
      <c r="C685" s="9"/>
      <c r="D685" s="9"/>
      <c r="E685" s="42"/>
      <c r="F685" s="4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spans="1:19" x14ac:dyDescent="0.25">
      <c r="A686" s="9"/>
      <c r="B686" s="9"/>
      <c r="C686" s="9"/>
      <c r="D686" s="9"/>
      <c r="E686" s="42"/>
      <c r="F686" s="4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spans="1:19" x14ac:dyDescent="0.25">
      <c r="A687" s="9"/>
      <c r="B687" s="9"/>
      <c r="C687" s="9"/>
      <c r="D687" s="9"/>
      <c r="E687" s="42"/>
      <c r="F687" s="4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spans="1:19" x14ac:dyDescent="0.25">
      <c r="A688" s="9"/>
      <c r="B688" s="9"/>
      <c r="C688" s="9"/>
      <c r="D688" s="9"/>
      <c r="E688" s="42"/>
      <c r="F688" s="4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spans="1:19" x14ac:dyDescent="0.25">
      <c r="A689" s="9"/>
      <c r="B689" s="9"/>
      <c r="C689" s="9"/>
      <c r="D689" s="9"/>
      <c r="E689" s="42"/>
      <c r="F689" s="4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spans="1:19" x14ac:dyDescent="0.25">
      <c r="A690" s="9"/>
      <c r="B690" s="9"/>
      <c r="C690" s="9"/>
      <c r="D690" s="9"/>
      <c r="E690" s="42"/>
      <c r="F690" s="4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spans="1:19" x14ac:dyDescent="0.25">
      <c r="A691" s="9"/>
      <c r="B691" s="9"/>
      <c r="C691" s="9"/>
      <c r="D691" s="9"/>
      <c r="E691" s="42"/>
      <c r="F691" s="4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x14ac:dyDescent="0.25">
      <c r="A692" s="9"/>
      <c r="B692" s="9"/>
      <c r="C692" s="9"/>
      <c r="D692" s="9"/>
      <c r="E692" s="42"/>
      <c r="F692" s="4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9"/>
      <c r="B693" s="9"/>
      <c r="C693" s="9"/>
      <c r="D693" s="9"/>
      <c r="E693" s="42"/>
      <c r="F693" s="4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9"/>
      <c r="B694" s="9"/>
      <c r="C694" s="9"/>
      <c r="D694" s="9"/>
      <c r="E694" s="42"/>
      <c r="F694" s="4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9"/>
      <c r="B695" s="9"/>
      <c r="C695" s="9"/>
      <c r="D695" s="9"/>
      <c r="E695" s="42"/>
      <c r="F695" s="4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9"/>
      <c r="B696" s="9"/>
      <c r="C696" s="9"/>
      <c r="D696" s="9"/>
      <c r="E696" s="42"/>
      <c r="F696" s="4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9"/>
      <c r="B697" s="9"/>
      <c r="C697" s="9"/>
      <c r="D697" s="9"/>
      <c r="E697" s="42"/>
      <c r="F697" s="4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9"/>
      <c r="B698" s="9"/>
      <c r="C698" s="9"/>
      <c r="D698" s="9"/>
      <c r="E698" s="42"/>
      <c r="F698" s="4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x14ac:dyDescent="0.25">
      <c r="A699" s="9"/>
      <c r="B699" s="9"/>
      <c r="C699" s="9"/>
      <c r="D699" s="9"/>
      <c r="E699" s="42"/>
      <c r="F699" s="4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x14ac:dyDescent="0.25">
      <c r="A700" s="9"/>
      <c r="B700" s="9"/>
      <c r="C700" s="9"/>
      <c r="D700" s="9"/>
      <c r="E700" s="42"/>
      <c r="F700" s="4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42"/>
      <c r="F701" s="4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9"/>
      <c r="B702" s="9"/>
      <c r="C702" s="9"/>
      <c r="D702" s="9"/>
      <c r="E702" s="42"/>
      <c r="F702" s="4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spans="1:19" x14ac:dyDescent="0.25">
      <c r="A703" s="9"/>
      <c r="B703" s="9"/>
      <c r="C703" s="9"/>
      <c r="D703" s="9"/>
      <c r="E703" s="42"/>
      <c r="F703" s="4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spans="1:19" x14ac:dyDescent="0.25">
      <c r="A704" s="9"/>
      <c r="B704" s="9"/>
      <c r="C704" s="9"/>
      <c r="D704" s="9"/>
      <c r="E704" s="42"/>
      <c r="F704" s="4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spans="1:19" x14ac:dyDescent="0.25">
      <c r="A705" s="9"/>
      <c r="B705" s="9"/>
      <c r="C705" s="9"/>
      <c r="D705" s="9"/>
      <c r="E705" s="42"/>
      <c r="F705" s="4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spans="1:19" x14ac:dyDescent="0.25">
      <c r="A706" s="9"/>
      <c r="B706" s="9"/>
      <c r="C706" s="9"/>
      <c r="D706" s="9"/>
      <c r="E706" s="42"/>
      <c r="F706" s="4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spans="1:19" x14ac:dyDescent="0.25">
      <c r="A707" s="9"/>
      <c r="B707" s="9"/>
      <c r="C707" s="9"/>
      <c r="D707" s="9"/>
      <c r="E707" s="42"/>
      <c r="F707" s="4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spans="1:19" x14ac:dyDescent="0.25">
      <c r="A708" s="9"/>
      <c r="B708" s="9"/>
      <c r="C708" s="9"/>
      <c r="D708" s="9"/>
      <c r="E708" s="42"/>
      <c r="F708" s="4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x14ac:dyDescent="0.25">
      <c r="A709" s="9"/>
      <c r="B709" s="9"/>
      <c r="C709" s="9"/>
      <c r="D709" s="9"/>
      <c r="E709" s="42"/>
      <c r="F709" s="4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spans="1:19" x14ac:dyDescent="0.25">
      <c r="A710" s="9"/>
      <c r="B710" s="9"/>
      <c r="C710" s="9"/>
      <c r="D710" s="9"/>
      <c r="E710" s="42"/>
      <c r="F710" s="4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spans="1:19" x14ac:dyDescent="0.25">
      <c r="A711" s="9"/>
      <c r="B711" s="9"/>
      <c r="C711" s="9"/>
      <c r="D711" s="9"/>
      <c r="E711" s="42"/>
      <c r="F711" s="4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spans="1:19" x14ac:dyDescent="0.25">
      <c r="A712" s="9"/>
      <c r="B712" s="9"/>
      <c r="C712" s="9"/>
      <c r="D712" s="9"/>
      <c r="E712" s="42"/>
      <c r="F712" s="4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spans="1:19" x14ac:dyDescent="0.25">
      <c r="A713" s="9"/>
      <c r="B713" s="9"/>
      <c r="C713" s="9"/>
      <c r="D713" s="9"/>
      <c r="E713" s="42"/>
      <c r="F713" s="4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spans="1:19" x14ac:dyDescent="0.25">
      <c r="A714" s="9"/>
      <c r="B714" s="9"/>
      <c r="C714" s="9"/>
      <c r="D714" s="9"/>
      <c r="E714" s="42"/>
      <c r="F714" s="4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spans="1:19" x14ac:dyDescent="0.25">
      <c r="A715" s="9"/>
      <c r="B715" s="9"/>
      <c r="C715" s="9"/>
      <c r="D715" s="9"/>
      <c r="E715" s="42"/>
      <c r="F715" s="4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spans="1:19" x14ac:dyDescent="0.25">
      <c r="A716" s="9"/>
      <c r="B716" s="9"/>
      <c r="C716" s="9"/>
      <c r="D716" s="9"/>
      <c r="E716" s="42"/>
      <c r="F716" s="4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spans="1:19" x14ac:dyDescent="0.25">
      <c r="A717" s="9"/>
      <c r="B717" s="9"/>
      <c r="C717" s="9"/>
      <c r="D717" s="9"/>
      <c r="E717" s="42"/>
      <c r="F717" s="4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spans="1:19" x14ac:dyDescent="0.25">
      <c r="A718" s="9"/>
      <c r="B718" s="9"/>
      <c r="C718" s="9"/>
      <c r="D718" s="9"/>
      <c r="E718" s="42"/>
      <c r="F718" s="4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spans="1:19" x14ac:dyDescent="0.25">
      <c r="A719" s="9"/>
      <c r="B719" s="9"/>
      <c r="C719" s="9"/>
      <c r="D719" s="9"/>
      <c r="E719" s="42"/>
      <c r="F719" s="4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spans="1:19" x14ac:dyDescent="0.25">
      <c r="A720" s="9"/>
      <c r="B720" s="9"/>
      <c r="C720" s="9"/>
      <c r="D720" s="9"/>
      <c r="E720" s="42"/>
      <c r="F720" s="4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spans="1:19" x14ac:dyDescent="0.25">
      <c r="A721" s="9"/>
      <c r="B721" s="9"/>
      <c r="C721" s="9"/>
      <c r="D721" s="9"/>
      <c r="E721" s="42"/>
      <c r="F721" s="4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spans="1:19" x14ac:dyDescent="0.25">
      <c r="A722" s="9"/>
      <c r="B722" s="9"/>
      <c r="C722" s="9"/>
      <c r="D722" s="9"/>
      <c r="E722" s="42"/>
      <c r="F722" s="4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spans="1:19" x14ac:dyDescent="0.25">
      <c r="A723" s="9"/>
      <c r="B723" s="9"/>
      <c r="C723" s="9"/>
      <c r="D723" s="9"/>
      <c r="E723" s="42"/>
      <c r="F723" s="4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spans="1:19" x14ac:dyDescent="0.25">
      <c r="A724" s="9"/>
      <c r="B724" s="9"/>
      <c r="C724" s="9"/>
      <c r="D724" s="9"/>
      <c r="E724" s="42"/>
      <c r="F724" s="4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spans="1:19" x14ac:dyDescent="0.25">
      <c r="A725" s="9"/>
      <c r="B725" s="9"/>
      <c r="C725" s="9"/>
      <c r="D725" s="9"/>
      <c r="E725" s="42"/>
      <c r="F725" s="4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spans="1:19" x14ac:dyDescent="0.25">
      <c r="A726" s="9"/>
      <c r="B726" s="9"/>
      <c r="C726" s="9"/>
      <c r="D726" s="9"/>
      <c r="E726" s="42"/>
      <c r="F726" s="4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spans="1:19" x14ac:dyDescent="0.25">
      <c r="A727" s="9"/>
      <c r="B727" s="9"/>
      <c r="C727" s="9"/>
      <c r="D727" s="9"/>
      <c r="E727" s="42"/>
      <c r="F727" s="4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spans="1:19" x14ac:dyDescent="0.25">
      <c r="A728" s="9"/>
      <c r="B728" s="9"/>
      <c r="C728" s="9"/>
      <c r="D728" s="9"/>
      <c r="E728" s="42"/>
      <c r="F728" s="4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spans="1:19" x14ac:dyDescent="0.25">
      <c r="A729" s="9"/>
      <c r="B729" s="9"/>
      <c r="C729" s="9"/>
      <c r="D729" s="9"/>
      <c r="E729" s="42"/>
      <c r="F729" s="4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spans="1:19" x14ac:dyDescent="0.25">
      <c r="A730" s="9"/>
      <c r="B730" s="9"/>
      <c r="C730" s="9"/>
      <c r="D730" s="9"/>
      <c r="E730" s="42"/>
      <c r="F730" s="4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spans="1:19" x14ac:dyDescent="0.25">
      <c r="A731" s="9"/>
      <c r="B731" s="9"/>
      <c r="C731" s="9"/>
      <c r="D731" s="9"/>
      <c r="E731" s="42"/>
      <c r="F731" s="4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spans="1:19" x14ac:dyDescent="0.25">
      <c r="A732" s="9"/>
      <c r="B732" s="9"/>
      <c r="C732" s="9"/>
      <c r="D732" s="9"/>
      <c r="E732" s="42"/>
      <c r="F732" s="4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spans="1:19" x14ac:dyDescent="0.25">
      <c r="A733" s="9"/>
      <c r="B733" s="9"/>
      <c r="C733" s="9"/>
      <c r="D733" s="9"/>
      <c r="E733" s="42"/>
      <c r="F733" s="4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spans="1:19" x14ac:dyDescent="0.25">
      <c r="A734" s="9"/>
      <c r="B734" s="9"/>
      <c r="C734" s="9"/>
      <c r="D734" s="9"/>
      <c r="E734" s="42"/>
      <c r="F734" s="4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spans="1:19" x14ac:dyDescent="0.25">
      <c r="A735" s="9"/>
      <c r="B735" s="9"/>
      <c r="C735" s="9"/>
      <c r="D735" s="9"/>
      <c r="E735" s="42"/>
      <c r="F735" s="4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spans="1:19" x14ac:dyDescent="0.25">
      <c r="A736" s="9"/>
      <c r="B736" s="9"/>
      <c r="C736" s="9"/>
      <c r="D736" s="9"/>
      <c r="E736" s="42"/>
      <c r="F736" s="4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spans="1:19" x14ac:dyDescent="0.25">
      <c r="A737" s="9"/>
      <c r="B737" s="9"/>
      <c r="C737" s="9"/>
      <c r="D737" s="9"/>
      <c r="E737" s="42"/>
      <c r="F737" s="4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spans="1:19" x14ac:dyDescent="0.25">
      <c r="A738" s="9"/>
      <c r="B738" s="9"/>
      <c r="C738" s="9"/>
      <c r="D738" s="9"/>
      <c r="E738" s="42"/>
      <c r="F738" s="4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spans="1:19" x14ac:dyDescent="0.25">
      <c r="A739" s="9"/>
      <c r="B739" s="9"/>
      <c r="C739" s="9"/>
      <c r="D739" s="9"/>
      <c r="E739" s="42"/>
      <c r="F739" s="4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spans="1:19" x14ac:dyDescent="0.25">
      <c r="A740" s="9"/>
      <c r="B740" s="9"/>
      <c r="C740" s="9"/>
      <c r="D740" s="9"/>
      <c r="E740" s="42"/>
      <c r="F740" s="4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spans="1:19" x14ac:dyDescent="0.25">
      <c r="A741" s="9"/>
      <c r="B741" s="9"/>
      <c r="C741" s="9"/>
      <c r="D741" s="9"/>
      <c r="E741" s="42"/>
      <c r="F741" s="4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spans="1:19" x14ac:dyDescent="0.25">
      <c r="A742" s="9"/>
      <c r="B742" s="9"/>
      <c r="C742" s="9"/>
      <c r="D742" s="9"/>
      <c r="E742" s="42"/>
      <c r="F742" s="4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spans="1:19" x14ac:dyDescent="0.25">
      <c r="A743" s="9"/>
      <c r="B743" s="9"/>
      <c r="C743" s="9"/>
      <c r="D743" s="9"/>
      <c r="E743" s="42"/>
      <c r="F743" s="4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</sheetData>
  <mergeCells count="17">
    <mergeCell ref="A11:F11"/>
    <mergeCell ref="A13:A18"/>
    <mergeCell ref="A2:F2"/>
    <mergeCell ref="A4:B4"/>
    <mergeCell ref="A5:B5"/>
    <mergeCell ref="A6:B6"/>
    <mergeCell ref="A7:B7"/>
    <mergeCell ref="F13:F14"/>
    <mergeCell ref="G13:G14"/>
    <mergeCell ref="C19:D19"/>
    <mergeCell ref="E19:F19"/>
    <mergeCell ref="A24:F24"/>
    <mergeCell ref="B13:B14"/>
    <mergeCell ref="C13:C14"/>
    <mergeCell ref="A19:A23"/>
    <mergeCell ref="B19:B20"/>
    <mergeCell ref="D13:E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8"/>
  <sheetViews>
    <sheetView workbookViewId="0"/>
  </sheetViews>
  <sheetFormatPr defaultColWidth="14.42578125" defaultRowHeight="15" customHeight="1" x14ac:dyDescent="0.25"/>
  <cols>
    <col min="1" max="1" width="20.28515625" customWidth="1"/>
    <col min="2" max="2" width="13.42578125" customWidth="1"/>
    <col min="3" max="3" width="12" customWidth="1"/>
    <col min="4" max="4" width="11" customWidth="1"/>
    <col min="5" max="5" width="8.7109375" customWidth="1"/>
    <col min="6" max="6" width="8" customWidth="1"/>
    <col min="7" max="7" width="11.42578125" customWidth="1"/>
    <col min="8" max="8" width="12.7109375" customWidth="1"/>
    <col min="9" max="9" width="8.7109375" customWidth="1"/>
    <col min="10" max="10" width="10.7109375" customWidth="1"/>
    <col min="11" max="11" width="8.7109375" customWidth="1"/>
  </cols>
  <sheetData>
    <row r="1" spans="1:11" ht="13.5" customHeight="1" x14ac:dyDescent="0.25">
      <c r="A1" s="1"/>
      <c r="B1" s="1"/>
      <c r="C1" s="44"/>
      <c r="D1" s="1"/>
      <c r="E1" s="1"/>
      <c r="F1" s="1"/>
      <c r="G1" s="2"/>
      <c r="H1" s="3"/>
      <c r="I1" s="45"/>
      <c r="J1" s="46"/>
      <c r="K1" s="4"/>
    </row>
    <row r="2" spans="1:11" ht="13.5" customHeight="1" x14ac:dyDescent="0.25">
      <c r="A2" s="348" t="s">
        <v>20</v>
      </c>
      <c r="B2" s="349"/>
      <c r="C2" s="349"/>
      <c r="D2" s="349"/>
      <c r="E2" s="349"/>
      <c r="F2" s="349"/>
      <c r="G2" s="349"/>
      <c r="H2" s="349"/>
      <c r="I2" s="45"/>
      <c r="J2" s="46"/>
      <c r="K2" s="4"/>
    </row>
    <row r="3" spans="1:11" ht="13.5" customHeight="1" x14ac:dyDescent="0.25">
      <c r="A3" s="1"/>
      <c r="B3" s="1"/>
      <c r="C3" s="44"/>
      <c r="D3" s="1"/>
      <c r="E3" s="1"/>
      <c r="F3" s="1"/>
      <c r="G3" s="2"/>
      <c r="H3" s="3"/>
      <c r="I3" s="45"/>
      <c r="J3" s="46"/>
      <c r="K3" s="4"/>
    </row>
    <row r="4" spans="1:11" ht="13.5" customHeight="1" x14ac:dyDescent="0.25">
      <c r="A4" s="9"/>
      <c r="B4" s="9"/>
      <c r="C4" s="9"/>
      <c r="D4" s="9"/>
      <c r="E4" s="9"/>
      <c r="F4" s="9"/>
      <c r="G4" s="42"/>
      <c r="H4" s="43"/>
      <c r="I4" s="9"/>
      <c r="J4" s="9"/>
      <c r="K4" s="9"/>
    </row>
    <row r="5" spans="1:11" ht="13.5" customHeight="1" x14ac:dyDescent="0.25">
      <c r="A5" s="9"/>
      <c r="B5" s="9"/>
      <c r="C5" s="9"/>
      <c r="D5" s="9"/>
      <c r="E5" s="9"/>
      <c r="F5" s="9"/>
      <c r="G5" s="42"/>
      <c r="H5" s="43"/>
      <c r="I5" s="9"/>
      <c r="J5" s="9"/>
      <c r="K5" s="9"/>
    </row>
    <row r="6" spans="1:11" ht="13.5" customHeight="1" x14ac:dyDescent="0.25">
      <c r="A6" s="356" t="s">
        <v>21</v>
      </c>
      <c r="B6" s="349"/>
      <c r="C6" s="349"/>
      <c r="D6" s="349"/>
      <c r="E6" s="349"/>
      <c r="F6" s="349"/>
      <c r="G6" s="349"/>
      <c r="H6" s="349"/>
      <c r="I6" s="45"/>
      <c r="J6" s="46"/>
      <c r="K6" s="4"/>
    </row>
    <row r="7" spans="1:11" ht="8.25" customHeight="1" x14ac:dyDescent="0.25">
      <c r="A7" s="1"/>
      <c r="B7" s="1"/>
      <c r="C7" s="44"/>
      <c r="D7" s="1"/>
      <c r="E7" s="1"/>
      <c r="F7" s="1"/>
      <c r="G7" s="2"/>
      <c r="H7" s="3"/>
      <c r="I7" s="45"/>
      <c r="J7" s="46"/>
      <c r="K7" s="4"/>
    </row>
    <row r="8" spans="1:11" ht="13.5" customHeight="1" x14ac:dyDescent="0.25">
      <c r="A8" s="47" t="s">
        <v>22</v>
      </c>
      <c r="B8" s="47" t="s">
        <v>23</v>
      </c>
      <c r="C8" s="47" t="s">
        <v>24</v>
      </c>
      <c r="D8" s="47" t="s">
        <v>25</v>
      </c>
      <c r="E8" s="47" t="s">
        <v>26</v>
      </c>
      <c r="F8" s="47" t="s">
        <v>27</v>
      </c>
      <c r="G8" s="48" t="s">
        <v>28</v>
      </c>
      <c r="H8" s="49" t="s">
        <v>29</v>
      </c>
      <c r="I8" s="45"/>
      <c r="J8" s="46"/>
      <c r="K8" s="4"/>
    </row>
    <row r="9" spans="1:11" ht="13.5" customHeight="1" x14ac:dyDescent="0.25">
      <c r="A9" s="50">
        <v>46052</v>
      </c>
      <c r="B9" s="51"/>
      <c r="C9" s="51"/>
      <c r="D9" s="51"/>
      <c r="E9" s="51"/>
      <c r="F9" s="51"/>
      <c r="G9" s="51"/>
      <c r="H9" s="52"/>
      <c r="I9" s="16"/>
      <c r="J9" s="16"/>
      <c r="K9" s="16"/>
    </row>
    <row r="10" spans="1:11" ht="14.25" customHeight="1" x14ac:dyDescent="0.25">
      <c r="A10" s="53" t="s">
        <v>30</v>
      </c>
      <c r="B10" s="54">
        <v>1.7999999999999999E-2</v>
      </c>
      <c r="C10" s="55">
        <v>0.14499999999999999</v>
      </c>
      <c r="D10" s="56">
        <v>6</v>
      </c>
      <c r="E10" s="57">
        <v>454</v>
      </c>
      <c r="F10" s="57">
        <f>(B10*C10*D10)*E10</f>
        <v>7.1096399999999988</v>
      </c>
      <c r="G10" s="58">
        <v>24</v>
      </c>
      <c r="H10" s="59">
        <f>G10*F10</f>
        <v>170.63135999999997</v>
      </c>
      <c r="I10" s="9"/>
      <c r="J10" s="9"/>
      <c r="K10" s="9"/>
    </row>
    <row r="11" spans="1:11" ht="13.5" customHeight="1" x14ac:dyDescent="0.25">
      <c r="A11" s="60" t="s">
        <v>31</v>
      </c>
      <c r="B11" s="60"/>
      <c r="C11" s="61"/>
      <c r="D11" s="60"/>
      <c r="E11" s="62"/>
      <c r="F11" s="62"/>
      <c r="G11" s="63"/>
      <c r="H11" s="64">
        <f>SUM(H9:H10)</f>
        <v>170.63135999999997</v>
      </c>
      <c r="I11" s="9"/>
      <c r="J11" s="9"/>
      <c r="K11" s="9"/>
    </row>
    <row r="12" spans="1:11" ht="13.5" customHeight="1" x14ac:dyDescent="0.25">
      <c r="A12" s="9"/>
      <c r="B12" s="9"/>
      <c r="C12" s="9"/>
      <c r="D12" s="9"/>
      <c r="E12" s="9"/>
      <c r="F12" s="9"/>
      <c r="G12" s="42"/>
      <c r="H12" s="43"/>
      <c r="I12" s="9"/>
      <c r="J12" s="9"/>
      <c r="K12" s="9"/>
    </row>
    <row r="13" spans="1:11" ht="13.5" customHeight="1" x14ac:dyDescent="0.25">
      <c r="A13" s="9"/>
      <c r="B13" s="9"/>
      <c r="C13" s="9"/>
      <c r="D13" s="9"/>
      <c r="E13" s="9"/>
      <c r="F13" s="9"/>
      <c r="G13" s="42"/>
      <c r="H13" s="43"/>
      <c r="I13" s="9"/>
      <c r="J13" s="9"/>
      <c r="K13" s="9"/>
    </row>
    <row r="14" spans="1:11" ht="13.5" customHeight="1" x14ac:dyDescent="0.25">
      <c r="A14" s="357" t="s">
        <v>32</v>
      </c>
      <c r="B14" s="349"/>
      <c r="C14" s="349"/>
      <c r="D14" s="349"/>
      <c r="E14" s="349"/>
      <c r="F14" s="349"/>
      <c r="G14" s="349"/>
      <c r="H14" s="349"/>
      <c r="I14" s="9"/>
      <c r="J14" s="9"/>
      <c r="K14" s="9"/>
    </row>
    <row r="15" spans="1:11" ht="13.5" customHeight="1" x14ac:dyDescent="0.25">
      <c r="A15" s="65"/>
      <c r="B15" s="65"/>
      <c r="C15" s="65"/>
      <c r="D15" s="65"/>
      <c r="E15" s="65"/>
      <c r="F15" s="65"/>
      <c r="G15" s="66"/>
      <c r="H15" s="67"/>
      <c r="I15" s="9"/>
      <c r="J15" s="9"/>
      <c r="K15" s="9"/>
    </row>
    <row r="16" spans="1:11" ht="13.5" customHeight="1" x14ac:dyDescent="0.25">
      <c r="A16" s="68" t="s">
        <v>22</v>
      </c>
      <c r="B16" s="68" t="s">
        <v>23</v>
      </c>
      <c r="C16" s="68" t="s">
        <v>24</v>
      </c>
      <c r="D16" s="68" t="s">
        <v>25</v>
      </c>
      <c r="E16" s="68" t="s">
        <v>26</v>
      </c>
      <c r="F16" s="68" t="s">
        <v>27</v>
      </c>
      <c r="G16" s="48" t="s">
        <v>28</v>
      </c>
      <c r="H16" s="49" t="s">
        <v>29</v>
      </c>
      <c r="I16" s="9"/>
      <c r="J16" s="9"/>
      <c r="K16" s="9"/>
    </row>
    <row r="17" spans="1:11" ht="13.5" customHeight="1" x14ac:dyDescent="0.25">
      <c r="A17" s="69">
        <v>46063</v>
      </c>
      <c r="B17" s="70"/>
      <c r="C17" s="70"/>
      <c r="D17" s="70"/>
      <c r="E17" s="70"/>
      <c r="F17" s="70"/>
      <c r="G17" s="70"/>
      <c r="H17" s="71"/>
      <c r="I17" s="9"/>
      <c r="J17" s="9"/>
      <c r="K17" s="9"/>
    </row>
    <row r="18" spans="1:11" ht="13.5" customHeight="1" x14ac:dyDescent="0.25">
      <c r="A18" s="72"/>
      <c r="B18" s="54"/>
      <c r="C18" s="55"/>
      <c r="D18" s="55"/>
      <c r="E18" s="57"/>
      <c r="F18" s="57">
        <f t="shared" ref="F18:F19" si="0">(B18*C18*D18)*E18</f>
        <v>0</v>
      </c>
      <c r="G18" s="73"/>
      <c r="H18" s="74">
        <f t="shared" ref="H18:H19" si="1">G18*F18</f>
        <v>0</v>
      </c>
      <c r="I18" s="9"/>
      <c r="J18" s="9"/>
      <c r="K18" s="9"/>
    </row>
    <row r="19" spans="1:11" ht="13.5" customHeight="1" x14ac:dyDescent="0.25">
      <c r="A19" s="75"/>
      <c r="B19" s="76"/>
      <c r="C19" s="77"/>
      <c r="D19" s="78"/>
      <c r="E19" s="79"/>
      <c r="F19" s="79">
        <f t="shared" si="0"/>
        <v>0</v>
      </c>
      <c r="G19" s="73"/>
      <c r="H19" s="74">
        <f t="shared" si="1"/>
        <v>0</v>
      </c>
      <c r="I19" s="9"/>
      <c r="J19" s="9"/>
      <c r="K19" s="9"/>
    </row>
    <row r="20" spans="1:11" ht="13.5" customHeight="1" x14ac:dyDescent="0.25">
      <c r="A20" s="80" t="s">
        <v>33</v>
      </c>
      <c r="B20" s="70"/>
      <c r="C20" s="70"/>
      <c r="D20" s="70"/>
      <c r="E20" s="70"/>
      <c r="F20" s="70"/>
      <c r="G20" s="70"/>
      <c r="H20" s="71"/>
      <c r="I20" s="9"/>
      <c r="J20" s="9"/>
      <c r="K20" s="9"/>
    </row>
    <row r="21" spans="1:11" ht="13.5" customHeight="1" x14ac:dyDescent="0.25">
      <c r="A21" s="75"/>
      <c r="B21" s="81"/>
      <c r="C21" s="81"/>
      <c r="D21" s="82"/>
      <c r="E21" s="82"/>
      <c r="F21" s="57">
        <f t="shared" ref="F21:F22" si="2">(B21*C21*D21)*E21</f>
        <v>0</v>
      </c>
      <c r="G21" s="83"/>
      <c r="H21" s="74">
        <f t="shared" ref="H21:H22" si="3">G21*F21</f>
        <v>0</v>
      </c>
      <c r="I21" s="9"/>
      <c r="J21" s="9"/>
      <c r="K21" s="9"/>
    </row>
    <row r="22" spans="1:11" ht="13.5" customHeight="1" x14ac:dyDescent="0.25">
      <c r="A22" s="84"/>
      <c r="B22" s="85"/>
      <c r="C22" s="85"/>
      <c r="D22" s="86"/>
      <c r="E22" s="84"/>
      <c r="F22" s="87">
        <f t="shared" si="2"/>
        <v>0</v>
      </c>
      <c r="G22" s="88"/>
      <c r="H22" s="89">
        <f t="shared" si="3"/>
        <v>0</v>
      </c>
      <c r="I22" s="9"/>
      <c r="J22" s="9"/>
      <c r="K22" s="9"/>
    </row>
    <row r="23" spans="1:11" ht="13.5" customHeight="1" x14ac:dyDescent="0.25">
      <c r="A23" s="80" t="s">
        <v>33</v>
      </c>
      <c r="B23" s="70"/>
      <c r="C23" s="70"/>
      <c r="D23" s="70"/>
      <c r="E23" s="70"/>
      <c r="F23" s="70"/>
      <c r="G23" s="70"/>
      <c r="H23" s="71"/>
      <c r="I23" s="9"/>
      <c r="J23" s="9"/>
      <c r="K23" s="9"/>
    </row>
    <row r="24" spans="1:11" ht="13.5" customHeight="1" x14ac:dyDescent="0.25">
      <c r="A24" s="75"/>
      <c r="B24" s="81"/>
      <c r="C24" s="81"/>
      <c r="D24" s="82"/>
      <c r="E24" s="82"/>
      <c r="F24" s="57">
        <f t="shared" ref="F24:F25" si="4">(B24*C24*D24)*E24</f>
        <v>0</v>
      </c>
      <c r="G24" s="83"/>
      <c r="H24" s="74">
        <f t="shared" ref="H24:H25" si="5">G24*F24</f>
        <v>0</v>
      </c>
      <c r="I24" s="9"/>
      <c r="J24" s="9"/>
      <c r="K24" s="9"/>
    </row>
    <row r="25" spans="1:11" ht="13.5" customHeight="1" x14ac:dyDescent="0.25">
      <c r="A25" s="84"/>
      <c r="B25" s="85"/>
      <c r="C25" s="85"/>
      <c r="D25" s="86"/>
      <c r="E25" s="84"/>
      <c r="F25" s="87">
        <f t="shared" si="4"/>
        <v>0</v>
      </c>
      <c r="G25" s="88"/>
      <c r="H25" s="89">
        <f t="shared" si="5"/>
        <v>0</v>
      </c>
      <c r="I25" s="9"/>
      <c r="J25" s="9"/>
      <c r="K25" s="9"/>
    </row>
    <row r="26" spans="1:11" ht="13.5" customHeight="1" x14ac:dyDescent="0.25">
      <c r="A26" s="90" t="s">
        <v>31</v>
      </c>
      <c r="B26" s="91"/>
      <c r="C26" s="91"/>
      <c r="D26" s="91"/>
      <c r="E26" s="91"/>
      <c r="F26" s="91"/>
      <c r="G26" s="92"/>
      <c r="H26" s="93">
        <f>SUM(H17:H25)</f>
        <v>0</v>
      </c>
      <c r="I26" s="9"/>
      <c r="J26" s="9"/>
      <c r="K26" s="9"/>
    </row>
    <row r="27" spans="1:11" ht="13.5" customHeight="1" x14ac:dyDescent="0.25">
      <c r="A27" s="9"/>
      <c r="B27" s="9"/>
      <c r="C27" s="9"/>
      <c r="D27" s="9"/>
      <c r="E27" s="9"/>
      <c r="F27" s="9"/>
      <c r="G27" s="42"/>
      <c r="H27" s="43"/>
      <c r="I27" s="9"/>
      <c r="J27" s="9"/>
      <c r="K27" s="9"/>
    </row>
    <row r="28" spans="1:11" ht="13.5" customHeight="1" x14ac:dyDescent="0.25">
      <c r="A28" s="9"/>
      <c r="B28" s="9"/>
      <c r="C28" s="9"/>
      <c r="D28" s="9"/>
      <c r="E28" s="9"/>
      <c r="F28" s="9"/>
      <c r="G28" s="42"/>
      <c r="H28" s="43"/>
      <c r="I28" s="9"/>
      <c r="J28" s="9"/>
      <c r="K28" s="9"/>
    </row>
    <row r="29" spans="1:11" ht="13.5" customHeight="1" x14ac:dyDescent="0.25">
      <c r="A29" s="9"/>
      <c r="B29" s="9"/>
      <c r="C29" s="9"/>
      <c r="D29" s="9"/>
      <c r="E29" s="9"/>
      <c r="F29" s="9"/>
      <c r="G29" s="42"/>
      <c r="H29" s="43"/>
      <c r="I29" s="9"/>
      <c r="J29" s="9"/>
      <c r="K29" s="9"/>
    </row>
    <row r="30" spans="1:11" ht="13.5" customHeight="1" x14ac:dyDescent="0.25">
      <c r="A30" s="9"/>
      <c r="B30" s="9"/>
      <c r="C30" s="9"/>
      <c r="D30" s="9"/>
      <c r="E30" s="9"/>
      <c r="F30" s="9"/>
      <c r="G30" s="42"/>
      <c r="H30" s="43"/>
      <c r="I30" s="9"/>
      <c r="J30" s="9"/>
      <c r="K30" s="9"/>
    </row>
    <row r="31" spans="1:11" ht="13.5" customHeight="1" x14ac:dyDescent="0.25">
      <c r="A31" s="9"/>
      <c r="B31" s="9"/>
      <c r="C31" s="9"/>
      <c r="D31" s="9"/>
      <c r="E31" s="9"/>
      <c r="F31" s="9"/>
      <c r="G31" s="42"/>
      <c r="H31" s="43"/>
      <c r="I31" s="9"/>
      <c r="J31" s="9"/>
      <c r="K31" s="9"/>
    </row>
    <row r="32" spans="1:11" ht="13.5" customHeight="1" x14ac:dyDescent="0.25">
      <c r="A32" s="9"/>
      <c r="B32" s="9"/>
      <c r="C32" s="9"/>
      <c r="D32" s="9"/>
      <c r="E32" s="9"/>
      <c r="F32" s="9"/>
      <c r="G32" s="42"/>
      <c r="H32" s="43"/>
      <c r="I32" s="9"/>
      <c r="J32" s="9"/>
      <c r="K32" s="9"/>
    </row>
    <row r="33" spans="1:11" ht="13.5" customHeight="1" x14ac:dyDescent="0.25">
      <c r="A33" s="9"/>
      <c r="B33" s="9"/>
      <c r="C33" s="9"/>
      <c r="D33" s="9"/>
      <c r="E33" s="9"/>
      <c r="F33" s="9"/>
      <c r="G33" s="42"/>
      <c r="H33" s="43"/>
      <c r="I33" s="9"/>
      <c r="J33" s="9"/>
      <c r="K33" s="9"/>
    </row>
    <row r="34" spans="1:11" ht="13.5" customHeight="1" x14ac:dyDescent="0.25">
      <c r="A34" s="9"/>
      <c r="B34" s="9"/>
      <c r="C34" s="9"/>
      <c r="D34" s="9"/>
      <c r="E34" s="9"/>
      <c r="F34" s="9"/>
      <c r="G34" s="42"/>
      <c r="H34" s="43"/>
      <c r="I34" s="9"/>
      <c r="J34" s="9"/>
      <c r="K34" s="9"/>
    </row>
    <row r="35" spans="1:11" ht="13.5" customHeight="1" x14ac:dyDescent="0.25">
      <c r="A35" s="9"/>
      <c r="B35" s="9"/>
      <c r="C35" s="9"/>
      <c r="D35" s="9"/>
      <c r="E35" s="9"/>
      <c r="F35" s="9"/>
      <c r="G35" s="42"/>
      <c r="H35" s="43"/>
      <c r="I35" s="9"/>
      <c r="J35" s="9"/>
      <c r="K35" s="9"/>
    </row>
    <row r="36" spans="1:11" ht="13.5" customHeight="1" x14ac:dyDescent="0.25">
      <c r="A36" s="9"/>
      <c r="B36" s="9"/>
      <c r="C36" s="9"/>
      <c r="D36" s="9"/>
      <c r="E36" s="9"/>
      <c r="F36" s="9"/>
      <c r="G36" s="42"/>
      <c r="H36" s="43"/>
      <c r="I36" s="9"/>
      <c r="J36" s="9"/>
      <c r="K36" s="9"/>
    </row>
    <row r="37" spans="1:11" ht="13.5" customHeight="1" x14ac:dyDescent="0.25">
      <c r="A37" s="9"/>
      <c r="B37" s="9"/>
      <c r="C37" s="9"/>
      <c r="D37" s="9"/>
      <c r="E37" s="9"/>
      <c r="F37" s="9"/>
      <c r="G37" s="42"/>
      <c r="H37" s="43"/>
      <c r="I37" s="9"/>
      <c r="J37" s="9"/>
      <c r="K37" s="9"/>
    </row>
    <row r="38" spans="1:11" ht="13.5" customHeight="1" x14ac:dyDescent="0.25">
      <c r="A38" s="9"/>
      <c r="B38" s="9"/>
      <c r="C38" s="9"/>
      <c r="D38" s="9"/>
      <c r="E38" s="9"/>
      <c r="F38" s="9"/>
      <c r="G38" s="42"/>
      <c r="H38" s="43"/>
      <c r="I38" s="9"/>
      <c r="J38" s="9"/>
      <c r="K38" s="9"/>
    </row>
    <row r="39" spans="1:11" ht="13.5" customHeight="1" x14ac:dyDescent="0.25">
      <c r="A39" s="9"/>
      <c r="B39" s="9"/>
      <c r="C39" s="9"/>
      <c r="D39" s="9"/>
      <c r="E39" s="9"/>
      <c r="F39" s="9"/>
      <c r="G39" s="42"/>
      <c r="H39" s="43"/>
      <c r="I39" s="9"/>
      <c r="J39" s="9"/>
      <c r="K39" s="9"/>
    </row>
    <row r="40" spans="1:11" ht="13.5" customHeight="1" x14ac:dyDescent="0.25">
      <c r="A40" s="9"/>
      <c r="B40" s="9"/>
      <c r="C40" s="9"/>
      <c r="D40" s="9"/>
      <c r="E40" s="9"/>
      <c r="F40" s="9"/>
      <c r="G40" s="42"/>
      <c r="H40" s="43"/>
      <c r="I40" s="9"/>
      <c r="J40" s="9"/>
      <c r="K40" s="9"/>
    </row>
    <row r="41" spans="1:11" ht="13.5" customHeight="1" x14ac:dyDescent="0.25">
      <c r="A41" s="9"/>
      <c r="B41" s="9"/>
      <c r="C41" s="9"/>
      <c r="D41" s="9"/>
      <c r="E41" s="9"/>
      <c r="F41" s="9"/>
      <c r="G41" s="42"/>
      <c r="H41" s="43"/>
      <c r="I41" s="9"/>
      <c r="J41" s="9"/>
      <c r="K41" s="9"/>
    </row>
    <row r="42" spans="1:11" ht="13.5" customHeight="1" x14ac:dyDescent="0.25">
      <c r="A42" s="9"/>
      <c r="B42" s="9"/>
      <c r="C42" s="9"/>
      <c r="D42" s="9"/>
      <c r="E42" s="9"/>
      <c r="F42" s="9"/>
      <c r="G42" s="42"/>
      <c r="H42" s="43"/>
      <c r="I42" s="9"/>
      <c r="J42" s="9"/>
      <c r="K42" s="9"/>
    </row>
    <row r="43" spans="1:11" ht="13.5" customHeight="1" x14ac:dyDescent="0.25">
      <c r="A43" s="9"/>
      <c r="B43" s="9"/>
      <c r="C43" s="9"/>
      <c r="D43" s="9"/>
      <c r="E43" s="9"/>
      <c r="F43" s="9"/>
      <c r="G43" s="42"/>
      <c r="H43" s="43"/>
      <c r="I43" s="9"/>
      <c r="J43" s="9"/>
      <c r="K43" s="9"/>
    </row>
    <row r="44" spans="1:11" ht="13.5" customHeight="1" x14ac:dyDescent="0.25">
      <c r="A44" s="9"/>
      <c r="B44" s="9"/>
      <c r="C44" s="9"/>
      <c r="D44" s="9"/>
      <c r="E44" s="9"/>
      <c r="F44" s="9"/>
      <c r="G44" s="42"/>
      <c r="H44" s="43"/>
      <c r="I44" s="9"/>
      <c r="J44" s="9"/>
      <c r="K44" s="9"/>
    </row>
    <row r="45" spans="1:11" ht="13.5" customHeight="1" x14ac:dyDescent="0.25">
      <c r="A45" s="9"/>
      <c r="B45" s="9"/>
      <c r="C45" s="9"/>
      <c r="D45" s="9"/>
      <c r="E45" s="9"/>
      <c r="F45" s="9"/>
      <c r="G45" s="42"/>
      <c r="H45" s="43"/>
      <c r="I45" s="9"/>
      <c r="J45" s="9"/>
      <c r="K45" s="9"/>
    </row>
    <row r="46" spans="1:11" ht="13.5" customHeight="1" x14ac:dyDescent="0.25">
      <c r="A46" s="9"/>
      <c r="B46" s="9"/>
      <c r="C46" s="9"/>
      <c r="D46" s="9"/>
      <c r="E46" s="9"/>
      <c r="F46" s="9"/>
      <c r="G46" s="42"/>
      <c r="H46" s="43"/>
      <c r="I46" s="9"/>
      <c r="J46" s="9"/>
      <c r="K46" s="9"/>
    </row>
    <row r="47" spans="1:11" ht="13.5" customHeight="1" x14ac:dyDescent="0.25">
      <c r="A47" s="9"/>
      <c r="B47" s="9"/>
      <c r="C47" s="9"/>
      <c r="D47" s="9"/>
      <c r="E47" s="9"/>
      <c r="F47" s="9"/>
      <c r="G47" s="42"/>
      <c r="H47" s="43"/>
      <c r="I47" s="9"/>
      <c r="J47" s="9"/>
      <c r="K47" s="9"/>
    </row>
    <row r="48" spans="1:11" ht="13.5" customHeight="1" x14ac:dyDescent="0.25">
      <c r="A48" s="9"/>
      <c r="B48" s="9"/>
      <c r="C48" s="9"/>
      <c r="D48" s="9"/>
      <c r="E48" s="9"/>
      <c r="F48" s="9"/>
      <c r="G48" s="42"/>
      <c r="H48" s="43"/>
      <c r="I48" s="9"/>
      <c r="J48" s="9"/>
      <c r="K48" s="9"/>
    </row>
    <row r="49" spans="1:11" ht="13.5" customHeight="1" x14ac:dyDescent="0.25">
      <c r="A49" s="9"/>
      <c r="B49" s="9"/>
      <c r="C49" s="9"/>
      <c r="D49" s="9"/>
      <c r="E49" s="9"/>
      <c r="F49" s="9"/>
      <c r="G49" s="42"/>
      <c r="H49" s="43"/>
      <c r="I49" s="9"/>
      <c r="J49" s="9"/>
      <c r="K49" s="9"/>
    </row>
    <row r="50" spans="1:11" ht="13.5" customHeight="1" x14ac:dyDescent="0.25">
      <c r="A50" s="9"/>
      <c r="B50" s="9"/>
      <c r="C50" s="9"/>
      <c r="D50" s="9"/>
      <c r="E50" s="9"/>
      <c r="F50" s="9"/>
      <c r="G50" s="42"/>
      <c r="H50" s="43"/>
      <c r="I50" s="9"/>
      <c r="J50" s="9"/>
      <c r="K50" s="9"/>
    </row>
    <row r="51" spans="1:11" ht="13.5" customHeight="1" x14ac:dyDescent="0.25">
      <c r="A51" s="9"/>
      <c r="B51" s="9"/>
      <c r="C51" s="9"/>
      <c r="D51" s="9"/>
      <c r="E51" s="9"/>
      <c r="F51" s="9"/>
      <c r="G51" s="42"/>
      <c r="H51" s="43"/>
      <c r="I51" s="9"/>
      <c r="J51" s="9"/>
      <c r="K51" s="9"/>
    </row>
    <row r="52" spans="1:11" ht="13.5" customHeight="1" x14ac:dyDescent="0.25">
      <c r="A52" s="9"/>
      <c r="B52" s="9"/>
      <c r="C52" s="9"/>
      <c r="D52" s="9"/>
      <c r="E52" s="9"/>
      <c r="F52" s="9"/>
      <c r="G52" s="42"/>
      <c r="H52" s="43"/>
      <c r="I52" s="9"/>
      <c r="J52" s="9"/>
      <c r="K52" s="9"/>
    </row>
    <row r="53" spans="1:11" ht="13.5" customHeight="1" x14ac:dyDescent="0.25">
      <c r="A53" s="9"/>
      <c r="B53" s="9"/>
      <c r="C53" s="9"/>
      <c r="D53" s="9"/>
      <c r="E53" s="9"/>
      <c r="F53" s="9"/>
      <c r="G53" s="42"/>
      <c r="H53" s="43"/>
      <c r="I53" s="9"/>
      <c r="J53" s="9"/>
      <c r="K53" s="9"/>
    </row>
    <row r="54" spans="1:11" ht="13.5" customHeight="1" x14ac:dyDescent="0.25">
      <c r="A54" s="9"/>
      <c r="B54" s="9"/>
      <c r="C54" s="9"/>
      <c r="D54" s="9"/>
      <c r="E54" s="9"/>
      <c r="F54" s="9"/>
      <c r="G54" s="42"/>
      <c r="H54" s="43"/>
      <c r="I54" s="9"/>
      <c r="J54" s="9"/>
      <c r="K54" s="9"/>
    </row>
    <row r="55" spans="1:11" ht="13.5" customHeight="1" x14ac:dyDescent="0.25">
      <c r="A55" s="9"/>
      <c r="B55" s="9"/>
      <c r="C55" s="9"/>
      <c r="D55" s="9"/>
      <c r="E55" s="9"/>
      <c r="F55" s="9"/>
      <c r="G55" s="42"/>
      <c r="H55" s="43"/>
      <c r="I55" s="9"/>
      <c r="J55" s="9"/>
      <c r="K55" s="9"/>
    </row>
    <row r="56" spans="1:11" ht="13.5" customHeight="1" x14ac:dyDescent="0.25">
      <c r="A56" s="9"/>
      <c r="B56" s="9"/>
      <c r="C56" s="9"/>
      <c r="D56" s="9"/>
      <c r="E56" s="9"/>
      <c r="F56" s="9"/>
      <c r="G56" s="42"/>
      <c r="H56" s="43"/>
      <c r="I56" s="9"/>
      <c r="J56" s="9"/>
      <c r="K56" s="9"/>
    </row>
    <row r="57" spans="1:11" ht="13.5" customHeight="1" x14ac:dyDescent="0.25">
      <c r="A57" s="9"/>
      <c r="B57" s="9"/>
      <c r="C57" s="9"/>
      <c r="D57" s="9"/>
      <c r="E57" s="9"/>
      <c r="F57" s="9"/>
      <c r="G57" s="42"/>
      <c r="H57" s="43"/>
      <c r="I57" s="9"/>
      <c r="J57" s="9"/>
      <c r="K57" s="9"/>
    </row>
    <row r="58" spans="1:11" ht="13.5" customHeight="1" x14ac:dyDescent="0.25">
      <c r="A58" s="9"/>
      <c r="B58" s="9"/>
      <c r="C58" s="9"/>
      <c r="D58" s="9"/>
      <c r="E58" s="9"/>
      <c r="F58" s="9"/>
      <c r="G58" s="42"/>
      <c r="H58" s="43"/>
      <c r="I58" s="9"/>
      <c r="J58" s="9"/>
      <c r="K58" s="9"/>
    </row>
    <row r="59" spans="1:11" ht="13.5" customHeight="1" x14ac:dyDescent="0.25">
      <c r="A59" s="9"/>
      <c r="B59" s="9"/>
      <c r="C59" s="9"/>
      <c r="D59" s="9"/>
      <c r="E59" s="9"/>
      <c r="F59" s="9"/>
      <c r="G59" s="42"/>
      <c r="H59" s="43"/>
      <c r="I59" s="9"/>
      <c r="J59" s="9"/>
      <c r="K59" s="9"/>
    </row>
    <row r="60" spans="1:11" ht="13.5" customHeight="1" x14ac:dyDescent="0.25">
      <c r="A60" s="9"/>
      <c r="B60" s="9"/>
      <c r="C60" s="9"/>
      <c r="D60" s="9"/>
      <c r="E60" s="9"/>
      <c r="F60" s="9"/>
      <c r="G60" s="42"/>
      <c r="H60" s="43"/>
      <c r="I60" s="9"/>
      <c r="J60" s="9"/>
      <c r="K60" s="9"/>
    </row>
    <row r="61" spans="1:11" ht="13.5" customHeight="1" x14ac:dyDescent="0.25">
      <c r="A61" s="9"/>
      <c r="B61" s="9"/>
      <c r="C61" s="9"/>
      <c r="D61" s="9"/>
      <c r="E61" s="9"/>
      <c r="F61" s="9"/>
      <c r="G61" s="42"/>
      <c r="H61" s="43"/>
      <c r="I61" s="9"/>
      <c r="J61" s="9"/>
      <c r="K61" s="9"/>
    </row>
    <row r="62" spans="1:11" ht="13.5" customHeight="1" x14ac:dyDescent="0.25">
      <c r="A62" s="9"/>
      <c r="B62" s="9"/>
      <c r="C62" s="9"/>
      <c r="D62" s="9"/>
      <c r="E62" s="9"/>
      <c r="F62" s="9"/>
      <c r="G62" s="42"/>
      <c r="H62" s="43"/>
      <c r="I62" s="9"/>
      <c r="J62" s="9"/>
      <c r="K62" s="9"/>
    </row>
    <row r="63" spans="1:11" ht="13.5" customHeight="1" x14ac:dyDescent="0.25">
      <c r="A63" s="9"/>
      <c r="B63" s="9"/>
      <c r="C63" s="9"/>
      <c r="D63" s="9"/>
      <c r="E63" s="9"/>
      <c r="F63" s="9"/>
      <c r="G63" s="42"/>
      <c r="H63" s="43"/>
      <c r="I63" s="9"/>
      <c r="J63" s="9"/>
      <c r="K63" s="9"/>
    </row>
    <row r="64" spans="1:11" ht="13.5" customHeight="1" x14ac:dyDescent="0.25">
      <c r="A64" s="9"/>
      <c r="B64" s="9"/>
      <c r="C64" s="9"/>
      <c r="D64" s="9"/>
      <c r="E64" s="9"/>
      <c r="F64" s="9"/>
      <c r="G64" s="42"/>
      <c r="H64" s="43"/>
      <c r="I64" s="9"/>
      <c r="J64" s="9"/>
      <c r="K64" s="9"/>
    </row>
    <row r="65" spans="1:11" ht="13.5" customHeight="1" x14ac:dyDescent="0.25">
      <c r="A65" s="9"/>
      <c r="B65" s="9"/>
      <c r="C65" s="9"/>
      <c r="D65" s="9"/>
      <c r="E65" s="9"/>
      <c r="F65" s="9"/>
      <c r="G65" s="42"/>
      <c r="H65" s="43"/>
      <c r="I65" s="9"/>
      <c r="J65" s="9"/>
      <c r="K65" s="9"/>
    </row>
    <row r="66" spans="1:11" ht="13.5" customHeight="1" x14ac:dyDescent="0.25">
      <c r="A66" s="9"/>
      <c r="B66" s="9"/>
      <c r="C66" s="9"/>
      <c r="D66" s="9"/>
      <c r="E66" s="9"/>
      <c r="F66" s="9"/>
      <c r="G66" s="42"/>
      <c r="H66" s="43"/>
      <c r="I66" s="9"/>
      <c r="J66" s="9"/>
      <c r="K66" s="9"/>
    </row>
    <row r="67" spans="1:11" ht="13.5" customHeight="1" x14ac:dyDescent="0.25">
      <c r="A67" s="9"/>
      <c r="B67" s="9"/>
      <c r="C67" s="9"/>
      <c r="D67" s="9"/>
      <c r="E67" s="9"/>
      <c r="F67" s="9"/>
      <c r="G67" s="42"/>
      <c r="H67" s="43"/>
      <c r="I67" s="9"/>
      <c r="J67" s="9"/>
      <c r="K67" s="9"/>
    </row>
    <row r="68" spans="1:11" ht="13.5" customHeight="1" x14ac:dyDescent="0.25">
      <c r="A68" s="9"/>
      <c r="B68" s="9"/>
      <c r="C68" s="9"/>
      <c r="D68" s="9"/>
      <c r="E68" s="9"/>
      <c r="F68" s="9"/>
      <c r="G68" s="42"/>
      <c r="H68" s="43"/>
      <c r="I68" s="9"/>
      <c r="J68" s="9"/>
      <c r="K68" s="9"/>
    </row>
    <row r="69" spans="1:11" ht="13.5" customHeight="1" x14ac:dyDescent="0.25">
      <c r="A69" s="9"/>
      <c r="B69" s="9"/>
      <c r="C69" s="9"/>
      <c r="D69" s="9"/>
      <c r="E69" s="9"/>
      <c r="F69" s="9"/>
      <c r="G69" s="42"/>
      <c r="H69" s="43"/>
      <c r="I69" s="9"/>
      <c r="J69" s="9"/>
      <c r="K69" s="9"/>
    </row>
    <row r="70" spans="1:11" ht="13.5" customHeight="1" x14ac:dyDescent="0.25">
      <c r="A70" s="9"/>
      <c r="B70" s="9"/>
      <c r="C70" s="9"/>
      <c r="D70" s="9"/>
      <c r="E70" s="9"/>
      <c r="F70" s="9"/>
      <c r="G70" s="42"/>
      <c r="H70" s="43"/>
      <c r="I70" s="9"/>
      <c r="J70" s="9"/>
      <c r="K70" s="9"/>
    </row>
    <row r="71" spans="1:11" ht="13.5" customHeight="1" x14ac:dyDescent="0.25">
      <c r="A71" s="9"/>
      <c r="B71" s="9"/>
      <c r="C71" s="9"/>
      <c r="D71" s="9"/>
      <c r="E71" s="9"/>
      <c r="F71" s="9"/>
      <c r="G71" s="42"/>
      <c r="H71" s="43"/>
      <c r="I71" s="9"/>
      <c r="J71" s="9"/>
      <c r="K71" s="9"/>
    </row>
    <row r="72" spans="1:11" ht="13.5" customHeight="1" x14ac:dyDescent="0.25">
      <c r="A72" s="9"/>
      <c r="B72" s="9"/>
      <c r="C72" s="9"/>
      <c r="D72" s="9"/>
      <c r="E72" s="9"/>
      <c r="F72" s="9"/>
      <c r="G72" s="42"/>
      <c r="H72" s="43"/>
      <c r="I72" s="9"/>
      <c r="J72" s="9"/>
      <c r="K72" s="9"/>
    </row>
    <row r="73" spans="1:11" ht="13.5" customHeight="1" x14ac:dyDescent="0.25">
      <c r="A73" s="9"/>
      <c r="B73" s="9"/>
      <c r="C73" s="9"/>
      <c r="D73" s="9"/>
      <c r="E73" s="9"/>
      <c r="F73" s="9"/>
      <c r="G73" s="42"/>
      <c r="H73" s="43"/>
      <c r="I73" s="9"/>
      <c r="J73" s="9"/>
      <c r="K73" s="9"/>
    </row>
    <row r="74" spans="1:11" ht="13.5" customHeight="1" x14ac:dyDescent="0.25">
      <c r="A74" s="9"/>
      <c r="B74" s="9"/>
      <c r="C74" s="9"/>
      <c r="D74" s="9"/>
      <c r="E74" s="9"/>
      <c r="F74" s="9"/>
      <c r="G74" s="42"/>
      <c r="H74" s="43"/>
      <c r="I74" s="9"/>
      <c r="J74" s="9"/>
      <c r="K74" s="9"/>
    </row>
    <row r="75" spans="1:11" ht="13.5" customHeight="1" x14ac:dyDescent="0.25">
      <c r="A75" s="9"/>
      <c r="B75" s="9"/>
      <c r="C75" s="9"/>
      <c r="D75" s="9"/>
      <c r="E75" s="9"/>
      <c r="F75" s="9"/>
      <c r="G75" s="42"/>
      <c r="H75" s="43"/>
      <c r="I75" s="9"/>
      <c r="J75" s="9"/>
      <c r="K75" s="9"/>
    </row>
    <row r="76" spans="1:11" ht="13.5" customHeight="1" x14ac:dyDescent="0.25">
      <c r="A76" s="9"/>
      <c r="B76" s="9"/>
      <c r="C76" s="9"/>
      <c r="D76" s="9"/>
      <c r="E76" s="9"/>
      <c r="F76" s="9"/>
      <c r="G76" s="42"/>
      <c r="H76" s="43"/>
      <c r="I76" s="9"/>
      <c r="J76" s="9"/>
      <c r="K76" s="9"/>
    </row>
    <row r="77" spans="1:11" ht="13.5" customHeight="1" x14ac:dyDescent="0.25">
      <c r="A77" s="9"/>
      <c r="B77" s="9"/>
      <c r="C77" s="9"/>
      <c r="D77" s="9"/>
      <c r="E77" s="9"/>
      <c r="F77" s="9"/>
      <c r="G77" s="42"/>
      <c r="H77" s="43"/>
      <c r="I77" s="9"/>
      <c r="J77" s="9"/>
      <c r="K77" s="9"/>
    </row>
    <row r="78" spans="1:11" ht="13.5" customHeight="1" x14ac:dyDescent="0.25">
      <c r="A78" s="9"/>
      <c r="B78" s="9"/>
      <c r="C78" s="9"/>
      <c r="D78" s="9"/>
      <c r="E78" s="9"/>
      <c r="F78" s="9"/>
      <c r="G78" s="42"/>
      <c r="H78" s="43"/>
      <c r="I78" s="9"/>
      <c r="J78" s="9"/>
      <c r="K78" s="9"/>
    </row>
    <row r="79" spans="1:11" ht="13.5" customHeight="1" x14ac:dyDescent="0.25">
      <c r="A79" s="9"/>
      <c r="B79" s="9"/>
      <c r="C79" s="9"/>
      <c r="D79" s="9"/>
      <c r="E79" s="9"/>
      <c r="F79" s="9"/>
      <c r="G79" s="42"/>
      <c r="H79" s="43"/>
      <c r="I79" s="9"/>
      <c r="J79" s="9"/>
      <c r="K79" s="9"/>
    </row>
    <row r="80" spans="1:11" ht="13.5" customHeight="1" x14ac:dyDescent="0.25">
      <c r="A80" s="9"/>
      <c r="B80" s="9"/>
      <c r="C80" s="9"/>
      <c r="D80" s="9"/>
      <c r="E80" s="9"/>
      <c r="F80" s="9"/>
      <c r="G80" s="42"/>
      <c r="H80" s="43"/>
      <c r="I80" s="9"/>
      <c r="J80" s="9"/>
      <c r="K80" s="9"/>
    </row>
    <row r="81" spans="1:11" ht="13.5" customHeight="1" x14ac:dyDescent="0.25">
      <c r="A81" s="9"/>
      <c r="B81" s="9"/>
      <c r="C81" s="9"/>
      <c r="D81" s="9"/>
      <c r="E81" s="9"/>
      <c r="F81" s="9"/>
      <c r="G81" s="42"/>
      <c r="H81" s="43"/>
      <c r="I81" s="9"/>
      <c r="J81" s="9"/>
      <c r="K81" s="9"/>
    </row>
    <row r="82" spans="1:11" ht="13.5" customHeight="1" x14ac:dyDescent="0.25">
      <c r="A82" s="9"/>
      <c r="B82" s="9"/>
      <c r="C82" s="9"/>
      <c r="D82" s="9"/>
      <c r="E82" s="9"/>
      <c r="F82" s="9"/>
      <c r="G82" s="42"/>
      <c r="H82" s="43"/>
      <c r="I82" s="9"/>
      <c r="J82" s="9"/>
      <c r="K82" s="9"/>
    </row>
    <row r="83" spans="1:11" ht="13.5" customHeight="1" x14ac:dyDescent="0.25">
      <c r="A83" s="9"/>
      <c r="B83" s="9"/>
      <c r="C83" s="9"/>
      <c r="D83" s="9"/>
      <c r="E83" s="9"/>
      <c r="F83" s="9"/>
      <c r="G83" s="42"/>
      <c r="H83" s="43"/>
      <c r="I83" s="9"/>
      <c r="J83" s="9"/>
      <c r="K83" s="9"/>
    </row>
    <row r="84" spans="1:11" ht="13.5" customHeight="1" x14ac:dyDescent="0.25">
      <c r="A84" s="9"/>
      <c r="B84" s="9"/>
      <c r="C84" s="9"/>
      <c r="D84" s="9"/>
      <c r="E84" s="9"/>
      <c r="F84" s="9"/>
      <c r="G84" s="42"/>
      <c r="H84" s="43"/>
      <c r="I84" s="9"/>
      <c r="J84" s="9"/>
      <c r="K84" s="9"/>
    </row>
    <row r="85" spans="1:11" ht="13.5" customHeight="1" x14ac:dyDescent="0.25">
      <c r="A85" s="9"/>
      <c r="B85" s="9"/>
      <c r="C85" s="9"/>
      <c r="D85" s="9"/>
      <c r="E85" s="9"/>
      <c r="F85" s="9"/>
      <c r="G85" s="42"/>
      <c r="H85" s="43"/>
      <c r="I85" s="9"/>
      <c r="J85" s="9"/>
      <c r="K85" s="9"/>
    </row>
    <row r="86" spans="1:11" ht="13.5" customHeight="1" x14ac:dyDescent="0.25">
      <c r="A86" s="9"/>
      <c r="B86" s="9"/>
      <c r="C86" s="9"/>
      <c r="D86" s="9"/>
      <c r="E86" s="9"/>
      <c r="F86" s="9"/>
      <c r="G86" s="42"/>
      <c r="H86" s="43"/>
      <c r="I86" s="9"/>
      <c r="J86" s="9"/>
      <c r="K86" s="9"/>
    </row>
    <row r="87" spans="1:11" ht="13.5" customHeight="1" x14ac:dyDescent="0.25">
      <c r="A87" s="9"/>
      <c r="B87" s="9"/>
      <c r="C87" s="9"/>
      <c r="D87" s="9"/>
      <c r="E87" s="9"/>
      <c r="F87" s="9"/>
      <c r="G87" s="42"/>
      <c r="H87" s="43"/>
      <c r="I87" s="9"/>
      <c r="J87" s="9"/>
      <c r="K87" s="9"/>
    </row>
    <row r="88" spans="1:11" ht="13.5" customHeight="1" x14ac:dyDescent="0.25">
      <c r="A88" s="9"/>
      <c r="B88" s="9"/>
      <c r="C88" s="9"/>
      <c r="D88" s="9"/>
      <c r="E88" s="9"/>
      <c r="F88" s="9"/>
      <c r="G88" s="42"/>
      <c r="H88" s="43"/>
      <c r="I88" s="9"/>
      <c r="J88" s="9"/>
      <c r="K88" s="9"/>
    </row>
    <row r="89" spans="1:11" ht="13.5" customHeight="1" x14ac:dyDescent="0.25">
      <c r="A89" s="9"/>
      <c r="B89" s="9"/>
      <c r="C89" s="9"/>
      <c r="D89" s="9"/>
      <c r="E89" s="9"/>
      <c r="F89" s="9"/>
      <c r="G89" s="42"/>
      <c r="H89" s="43"/>
      <c r="I89" s="9"/>
      <c r="J89" s="9"/>
      <c r="K89" s="9"/>
    </row>
    <row r="90" spans="1:11" ht="13.5" customHeight="1" x14ac:dyDescent="0.25">
      <c r="A90" s="9"/>
      <c r="B90" s="9"/>
      <c r="C90" s="9"/>
      <c r="D90" s="9"/>
      <c r="E90" s="9"/>
      <c r="F90" s="9"/>
      <c r="G90" s="42"/>
      <c r="H90" s="43"/>
      <c r="I90" s="9"/>
      <c r="J90" s="9"/>
      <c r="K90" s="9"/>
    </row>
    <row r="91" spans="1:11" ht="13.5" customHeight="1" x14ac:dyDescent="0.25">
      <c r="A91" s="9"/>
      <c r="B91" s="9"/>
      <c r="C91" s="9"/>
      <c r="D91" s="9"/>
      <c r="E91" s="9"/>
      <c r="F91" s="9"/>
      <c r="G91" s="42"/>
      <c r="H91" s="43"/>
      <c r="I91" s="9"/>
      <c r="J91" s="9"/>
      <c r="K91" s="9"/>
    </row>
    <row r="92" spans="1:11" ht="13.5" customHeight="1" x14ac:dyDescent="0.25">
      <c r="A92" s="9"/>
      <c r="B92" s="9"/>
      <c r="C92" s="9"/>
      <c r="D92" s="9"/>
      <c r="E92" s="9"/>
      <c r="F92" s="9"/>
      <c r="G92" s="42"/>
      <c r="H92" s="43"/>
      <c r="I92" s="9"/>
      <c r="J92" s="9"/>
      <c r="K92" s="9"/>
    </row>
    <row r="93" spans="1:11" ht="13.5" customHeight="1" x14ac:dyDescent="0.25">
      <c r="A93" s="9"/>
      <c r="B93" s="9"/>
      <c r="C93" s="9"/>
      <c r="D93" s="9"/>
      <c r="E93" s="9"/>
      <c r="F93" s="9"/>
      <c r="G93" s="42"/>
      <c r="H93" s="43"/>
      <c r="I93" s="9"/>
      <c r="J93" s="9"/>
      <c r="K93" s="9"/>
    </row>
    <row r="94" spans="1:11" ht="13.5" customHeight="1" x14ac:dyDescent="0.25">
      <c r="A94" s="9"/>
      <c r="B94" s="9"/>
      <c r="C94" s="9"/>
      <c r="D94" s="9"/>
      <c r="E94" s="9"/>
      <c r="F94" s="9"/>
      <c r="G94" s="42"/>
      <c r="H94" s="43"/>
      <c r="I94" s="9"/>
      <c r="J94" s="9"/>
      <c r="K94" s="9"/>
    </row>
    <row r="95" spans="1:11" ht="13.5" customHeight="1" x14ac:dyDescent="0.25">
      <c r="A95" s="9"/>
      <c r="B95" s="9"/>
      <c r="C95" s="9"/>
      <c r="D95" s="9"/>
      <c r="E95" s="9"/>
      <c r="F95" s="9"/>
      <c r="G95" s="42"/>
      <c r="H95" s="43"/>
      <c r="I95" s="9"/>
      <c r="J95" s="9"/>
      <c r="K95" s="9"/>
    </row>
    <row r="96" spans="1:11" ht="13.5" customHeight="1" x14ac:dyDescent="0.25">
      <c r="A96" s="9"/>
      <c r="B96" s="9"/>
      <c r="C96" s="9"/>
      <c r="D96" s="9"/>
      <c r="E96" s="9"/>
      <c r="F96" s="9"/>
      <c r="G96" s="42"/>
      <c r="H96" s="43"/>
      <c r="I96" s="9"/>
      <c r="J96" s="9"/>
      <c r="K96" s="9"/>
    </row>
    <row r="97" spans="1:11" ht="13.5" customHeight="1" x14ac:dyDescent="0.25">
      <c r="A97" s="9"/>
      <c r="B97" s="9"/>
      <c r="C97" s="9"/>
      <c r="D97" s="9"/>
      <c r="E97" s="9"/>
      <c r="F97" s="9"/>
      <c r="G97" s="42"/>
      <c r="H97" s="43"/>
      <c r="I97" s="9"/>
      <c r="J97" s="9"/>
      <c r="K97" s="9"/>
    </row>
    <row r="98" spans="1:11" ht="13.5" customHeight="1" x14ac:dyDescent="0.25">
      <c r="A98" s="9"/>
      <c r="B98" s="9"/>
      <c r="C98" s="9"/>
      <c r="D98" s="9"/>
      <c r="E98" s="9"/>
      <c r="F98" s="9"/>
      <c r="G98" s="42"/>
      <c r="H98" s="43"/>
      <c r="I98" s="9"/>
      <c r="J98" s="9"/>
      <c r="K98" s="9"/>
    </row>
    <row r="99" spans="1:11" ht="13.5" customHeight="1" x14ac:dyDescent="0.25">
      <c r="A99" s="9"/>
      <c r="B99" s="9"/>
      <c r="C99" s="9"/>
      <c r="D99" s="9"/>
      <c r="E99" s="9"/>
      <c r="F99" s="9"/>
      <c r="G99" s="42"/>
      <c r="H99" s="43"/>
      <c r="I99" s="9"/>
      <c r="J99" s="9"/>
      <c r="K99" s="9"/>
    </row>
    <row r="100" spans="1:11" ht="13.5" customHeight="1" x14ac:dyDescent="0.25">
      <c r="A100" s="9"/>
      <c r="B100" s="9"/>
      <c r="C100" s="9"/>
      <c r="D100" s="9"/>
      <c r="E100" s="9"/>
      <c r="F100" s="9"/>
      <c r="G100" s="42"/>
      <c r="H100" s="43"/>
      <c r="I100" s="9"/>
      <c r="J100" s="9"/>
      <c r="K100" s="9"/>
    </row>
    <row r="101" spans="1:11" ht="13.5" customHeight="1" x14ac:dyDescent="0.25">
      <c r="A101" s="9"/>
      <c r="B101" s="9"/>
      <c r="C101" s="9"/>
      <c r="D101" s="9"/>
      <c r="E101" s="9"/>
      <c r="F101" s="9"/>
      <c r="G101" s="42"/>
      <c r="H101" s="43"/>
      <c r="I101" s="9"/>
      <c r="J101" s="9"/>
      <c r="K101" s="9"/>
    </row>
    <row r="102" spans="1:11" ht="13.5" customHeight="1" x14ac:dyDescent="0.25">
      <c r="A102" s="9"/>
      <c r="B102" s="9"/>
      <c r="C102" s="9"/>
      <c r="D102" s="9"/>
      <c r="E102" s="9"/>
      <c r="F102" s="9"/>
      <c r="G102" s="42"/>
      <c r="H102" s="43"/>
      <c r="I102" s="9"/>
      <c r="J102" s="9"/>
      <c r="K102" s="9"/>
    </row>
    <row r="103" spans="1:11" ht="13.5" customHeight="1" x14ac:dyDescent="0.25">
      <c r="A103" s="9"/>
      <c r="B103" s="9"/>
      <c r="C103" s="9"/>
      <c r="D103" s="9"/>
      <c r="E103" s="9"/>
      <c r="F103" s="9"/>
      <c r="G103" s="42"/>
      <c r="H103" s="43"/>
      <c r="I103" s="9"/>
      <c r="J103" s="9"/>
      <c r="K103" s="9"/>
    </row>
    <row r="104" spans="1:11" ht="13.5" customHeight="1" x14ac:dyDescent="0.25">
      <c r="A104" s="9"/>
      <c r="B104" s="9"/>
      <c r="C104" s="9"/>
      <c r="D104" s="9"/>
      <c r="E104" s="9"/>
      <c r="F104" s="9"/>
      <c r="G104" s="42"/>
      <c r="H104" s="43"/>
      <c r="I104" s="9"/>
      <c r="J104" s="9"/>
      <c r="K104" s="9"/>
    </row>
    <row r="105" spans="1:11" ht="13.5" customHeight="1" x14ac:dyDescent="0.25">
      <c r="A105" s="9"/>
      <c r="B105" s="9"/>
      <c r="C105" s="9"/>
      <c r="D105" s="9"/>
      <c r="E105" s="9"/>
      <c r="F105" s="9"/>
      <c r="G105" s="42"/>
      <c r="H105" s="43"/>
      <c r="I105" s="9"/>
      <c r="J105" s="9"/>
      <c r="K105" s="9"/>
    </row>
    <row r="106" spans="1:11" ht="13.5" customHeight="1" x14ac:dyDescent="0.25">
      <c r="A106" s="9"/>
      <c r="B106" s="9"/>
      <c r="C106" s="9"/>
      <c r="D106" s="9"/>
      <c r="E106" s="9"/>
      <c r="F106" s="9"/>
      <c r="G106" s="42"/>
      <c r="H106" s="43"/>
      <c r="I106" s="9"/>
      <c r="J106" s="9"/>
      <c r="K106" s="9"/>
    </row>
    <row r="107" spans="1:11" ht="13.5" customHeight="1" x14ac:dyDescent="0.25">
      <c r="A107" s="9"/>
      <c r="B107" s="9"/>
      <c r="C107" s="9"/>
      <c r="D107" s="9"/>
      <c r="E107" s="9"/>
      <c r="F107" s="9"/>
      <c r="G107" s="42"/>
      <c r="H107" s="43"/>
      <c r="I107" s="9"/>
      <c r="J107" s="9"/>
      <c r="K107" s="9"/>
    </row>
    <row r="108" spans="1:11" ht="13.5" customHeight="1" x14ac:dyDescent="0.25">
      <c r="A108" s="9"/>
      <c r="B108" s="9"/>
      <c r="C108" s="9"/>
      <c r="D108" s="9"/>
      <c r="E108" s="9"/>
      <c r="F108" s="9"/>
      <c r="G108" s="42"/>
      <c r="H108" s="43"/>
      <c r="I108" s="9"/>
      <c r="J108" s="9"/>
      <c r="K108" s="9"/>
    </row>
    <row r="109" spans="1:11" ht="13.5" customHeight="1" x14ac:dyDescent="0.25">
      <c r="A109" s="9"/>
      <c r="B109" s="9"/>
      <c r="C109" s="9"/>
      <c r="D109" s="9"/>
      <c r="E109" s="9"/>
      <c r="F109" s="9"/>
      <c r="G109" s="42"/>
      <c r="H109" s="43"/>
      <c r="I109" s="9"/>
      <c r="J109" s="9"/>
      <c r="K109" s="9"/>
    </row>
    <row r="110" spans="1:11" ht="13.5" customHeight="1" x14ac:dyDescent="0.25">
      <c r="A110" s="9"/>
      <c r="B110" s="9"/>
      <c r="C110" s="9"/>
      <c r="D110" s="9"/>
      <c r="E110" s="9"/>
      <c r="F110" s="9"/>
      <c r="G110" s="42"/>
      <c r="H110" s="43"/>
      <c r="I110" s="9"/>
      <c r="J110" s="9"/>
      <c r="K110" s="9"/>
    </row>
    <row r="111" spans="1:11" ht="13.5" customHeight="1" x14ac:dyDescent="0.25">
      <c r="A111" s="9"/>
      <c r="B111" s="9"/>
      <c r="C111" s="9"/>
      <c r="D111" s="9"/>
      <c r="E111" s="9"/>
      <c r="F111" s="9"/>
      <c r="G111" s="42"/>
      <c r="H111" s="43"/>
      <c r="I111" s="9"/>
      <c r="J111" s="9"/>
      <c r="K111" s="9"/>
    </row>
    <row r="112" spans="1:11" ht="13.5" customHeight="1" x14ac:dyDescent="0.25">
      <c r="A112" s="9"/>
      <c r="B112" s="9"/>
      <c r="C112" s="9"/>
      <c r="D112" s="9"/>
      <c r="E112" s="9"/>
      <c r="F112" s="9"/>
      <c r="G112" s="42"/>
      <c r="H112" s="43"/>
      <c r="I112" s="9"/>
      <c r="J112" s="9"/>
      <c r="K112" s="9"/>
    </row>
    <row r="113" spans="1:11" ht="13.5" customHeight="1" x14ac:dyDescent="0.25">
      <c r="A113" s="9"/>
      <c r="B113" s="9"/>
      <c r="C113" s="9"/>
      <c r="D113" s="9"/>
      <c r="E113" s="9"/>
      <c r="F113" s="9"/>
      <c r="G113" s="42"/>
      <c r="H113" s="43"/>
      <c r="I113" s="9"/>
      <c r="J113" s="9"/>
      <c r="K113" s="9"/>
    </row>
    <row r="114" spans="1:11" ht="13.5" customHeight="1" x14ac:dyDescent="0.25">
      <c r="A114" s="9"/>
      <c r="B114" s="9"/>
      <c r="C114" s="9"/>
      <c r="D114" s="9"/>
      <c r="E114" s="9"/>
      <c r="F114" s="9"/>
      <c r="G114" s="42"/>
      <c r="H114" s="43"/>
      <c r="I114" s="9"/>
      <c r="J114" s="9"/>
      <c r="K114" s="9"/>
    </row>
    <row r="115" spans="1:11" ht="13.5" customHeight="1" x14ac:dyDescent="0.25">
      <c r="A115" s="9"/>
      <c r="B115" s="9"/>
      <c r="C115" s="9"/>
      <c r="D115" s="9"/>
      <c r="E115" s="9"/>
      <c r="F115" s="9"/>
      <c r="G115" s="42"/>
      <c r="H115" s="43"/>
      <c r="I115" s="9"/>
      <c r="J115" s="9"/>
      <c r="K115" s="9"/>
    </row>
    <row r="116" spans="1:11" ht="13.5" customHeight="1" x14ac:dyDescent="0.25">
      <c r="A116" s="9"/>
      <c r="B116" s="9"/>
      <c r="C116" s="9"/>
      <c r="D116" s="9"/>
      <c r="E116" s="9"/>
      <c r="F116" s="9"/>
      <c r="G116" s="42"/>
      <c r="H116" s="43"/>
      <c r="I116" s="9"/>
      <c r="J116" s="9"/>
      <c r="K116" s="9"/>
    </row>
    <row r="117" spans="1:11" ht="13.5" customHeight="1" x14ac:dyDescent="0.25">
      <c r="A117" s="9"/>
      <c r="B117" s="9"/>
      <c r="C117" s="9"/>
      <c r="D117" s="9"/>
      <c r="E117" s="9"/>
      <c r="F117" s="9"/>
      <c r="G117" s="42"/>
      <c r="H117" s="43"/>
      <c r="I117" s="9"/>
      <c r="J117" s="9"/>
      <c r="K117" s="9"/>
    </row>
    <row r="118" spans="1:11" ht="13.5" customHeight="1" x14ac:dyDescent="0.25">
      <c r="A118" s="9"/>
      <c r="B118" s="9"/>
      <c r="C118" s="9"/>
      <c r="D118" s="9"/>
      <c r="E118" s="9"/>
      <c r="F118" s="9"/>
      <c r="G118" s="42"/>
      <c r="H118" s="43"/>
      <c r="I118" s="9"/>
      <c r="J118" s="9"/>
      <c r="K118" s="9"/>
    </row>
    <row r="119" spans="1:11" ht="13.5" customHeight="1" x14ac:dyDescent="0.25">
      <c r="A119" s="9"/>
      <c r="B119" s="9"/>
      <c r="C119" s="9"/>
      <c r="D119" s="9"/>
      <c r="E119" s="9"/>
      <c r="F119" s="9"/>
      <c r="G119" s="42"/>
      <c r="H119" s="43"/>
      <c r="I119" s="9"/>
      <c r="J119" s="9"/>
      <c r="K119" s="9"/>
    </row>
    <row r="120" spans="1:11" ht="13.5" customHeight="1" x14ac:dyDescent="0.25">
      <c r="A120" s="9"/>
      <c r="B120" s="9"/>
      <c r="C120" s="9"/>
      <c r="D120" s="9"/>
      <c r="E120" s="9"/>
      <c r="F120" s="9"/>
      <c r="G120" s="42"/>
      <c r="H120" s="43"/>
      <c r="I120" s="9"/>
      <c r="J120" s="9"/>
      <c r="K120" s="9"/>
    </row>
    <row r="121" spans="1:11" ht="13.5" customHeight="1" x14ac:dyDescent="0.25">
      <c r="A121" s="9"/>
      <c r="B121" s="9"/>
      <c r="C121" s="9"/>
      <c r="D121" s="9"/>
      <c r="E121" s="9"/>
      <c r="F121" s="9"/>
      <c r="G121" s="42"/>
      <c r="H121" s="43"/>
      <c r="I121" s="9"/>
      <c r="J121" s="9"/>
      <c r="K121" s="9"/>
    </row>
    <row r="122" spans="1:11" ht="13.5" customHeight="1" x14ac:dyDescent="0.25">
      <c r="A122" s="9"/>
      <c r="B122" s="9"/>
      <c r="C122" s="9"/>
      <c r="D122" s="9"/>
      <c r="E122" s="9"/>
      <c r="F122" s="9"/>
      <c r="G122" s="42"/>
      <c r="H122" s="43"/>
      <c r="I122" s="9"/>
      <c r="J122" s="9"/>
      <c r="K122" s="9"/>
    </row>
    <row r="123" spans="1:11" ht="13.5" customHeight="1" x14ac:dyDescent="0.25">
      <c r="A123" s="9"/>
      <c r="B123" s="9"/>
      <c r="C123" s="9"/>
      <c r="D123" s="9"/>
      <c r="E123" s="9"/>
      <c r="F123" s="9"/>
      <c r="G123" s="42"/>
      <c r="H123" s="43"/>
      <c r="I123" s="9"/>
      <c r="J123" s="9"/>
      <c r="K123" s="9"/>
    </row>
    <row r="124" spans="1:11" ht="13.5" customHeight="1" x14ac:dyDescent="0.25">
      <c r="A124" s="9"/>
      <c r="B124" s="9"/>
      <c r="C124" s="9"/>
      <c r="D124" s="9"/>
      <c r="E124" s="9"/>
      <c r="F124" s="9"/>
      <c r="G124" s="42"/>
      <c r="H124" s="43"/>
      <c r="I124" s="9"/>
      <c r="J124" s="9"/>
      <c r="K124" s="9"/>
    </row>
    <row r="125" spans="1:11" ht="13.5" customHeight="1" x14ac:dyDescent="0.25">
      <c r="A125" s="9"/>
      <c r="B125" s="9"/>
      <c r="C125" s="9"/>
      <c r="D125" s="9"/>
      <c r="E125" s="9"/>
      <c r="F125" s="9"/>
      <c r="G125" s="42"/>
      <c r="H125" s="43"/>
      <c r="I125" s="9"/>
      <c r="J125" s="9"/>
      <c r="K125" s="9"/>
    </row>
    <row r="126" spans="1:11" ht="13.5" customHeight="1" x14ac:dyDescent="0.25">
      <c r="A126" s="9"/>
      <c r="B126" s="9"/>
      <c r="C126" s="9"/>
      <c r="D126" s="9"/>
      <c r="E126" s="9"/>
      <c r="F126" s="9"/>
      <c r="G126" s="42"/>
      <c r="H126" s="43"/>
      <c r="I126" s="9"/>
      <c r="J126" s="9"/>
      <c r="K126" s="9"/>
    </row>
    <row r="127" spans="1:11" ht="13.5" customHeight="1" x14ac:dyDescent="0.25">
      <c r="A127" s="9"/>
      <c r="B127" s="9"/>
      <c r="C127" s="9"/>
      <c r="D127" s="9"/>
      <c r="E127" s="9"/>
      <c r="F127" s="9"/>
      <c r="G127" s="42"/>
      <c r="H127" s="43"/>
      <c r="I127" s="9"/>
      <c r="J127" s="9"/>
      <c r="K127" s="9"/>
    </row>
    <row r="128" spans="1:11" ht="13.5" customHeight="1" x14ac:dyDescent="0.25">
      <c r="A128" s="9"/>
      <c r="B128" s="9"/>
      <c r="C128" s="9"/>
      <c r="D128" s="9"/>
      <c r="E128" s="9"/>
      <c r="F128" s="9"/>
      <c r="G128" s="42"/>
      <c r="H128" s="43"/>
      <c r="I128" s="9"/>
      <c r="J128" s="9"/>
      <c r="K128" s="9"/>
    </row>
    <row r="129" spans="1:11" ht="13.5" customHeight="1" x14ac:dyDescent="0.25">
      <c r="A129" s="9"/>
      <c r="B129" s="9"/>
      <c r="C129" s="9"/>
      <c r="D129" s="9"/>
      <c r="E129" s="9"/>
      <c r="F129" s="9"/>
      <c r="G129" s="42"/>
      <c r="H129" s="43"/>
      <c r="I129" s="9"/>
      <c r="J129" s="9"/>
      <c r="K129" s="9"/>
    </row>
    <row r="130" spans="1:11" ht="13.5" customHeight="1" x14ac:dyDescent="0.25">
      <c r="A130" s="9"/>
      <c r="B130" s="9"/>
      <c r="C130" s="9"/>
      <c r="D130" s="9"/>
      <c r="E130" s="9"/>
      <c r="F130" s="9"/>
      <c r="G130" s="42"/>
      <c r="H130" s="43"/>
      <c r="I130" s="9"/>
      <c r="J130" s="9"/>
      <c r="K130" s="9"/>
    </row>
    <row r="131" spans="1:11" ht="13.5" customHeight="1" x14ac:dyDescent="0.25">
      <c r="A131" s="9"/>
      <c r="B131" s="9"/>
      <c r="C131" s="9"/>
      <c r="D131" s="9"/>
      <c r="E131" s="9"/>
      <c r="F131" s="9"/>
      <c r="G131" s="42"/>
      <c r="H131" s="43"/>
      <c r="I131" s="9"/>
      <c r="J131" s="9"/>
      <c r="K131" s="9"/>
    </row>
    <row r="132" spans="1:11" ht="13.5" customHeight="1" x14ac:dyDescent="0.25">
      <c r="A132" s="9"/>
      <c r="B132" s="9"/>
      <c r="C132" s="9"/>
      <c r="D132" s="9"/>
      <c r="E132" s="9"/>
      <c r="F132" s="9"/>
      <c r="G132" s="42"/>
      <c r="H132" s="43"/>
      <c r="I132" s="9"/>
      <c r="J132" s="9"/>
      <c r="K132" s="9"/>
    </row>
    <row r="133" spans="1:11" ht="13.5" customHeight="1" x14ac:dyDescent="0.25">
      <c r="A133" s="9"/>
      <c r="B133" s="9"/>
      <c r="C133" s="9"/>
      <c r="D133" s="9"/>
      <c r="E133" s="9"/>
      <c r="F133" s="9"/>
      <c r="G133" s="42"/>
      <c r="H133" s="43"/>
      <c r="I133" s="9"/>
      <c r="J133" s="9"/>
      <c r="K133" s="9"/>
    </row>
    <row r="134" spans="1:11" ht="13.5" customHeight="1" x14ac:dyDescent="0.25">
      <c r="A134" s="9"/>
      <c r="B134" s="9"/>
      <c r="C134" s="9"/>
      <c r="D134" s="9"/>
      <c r="E134" s="9"/>
      <c r="F134" s="9"/>
      <c r="G134" s="42"/>
      <c r="H134" s="43"/>
      <c r="I134" s="9"/>
      <c r="J134" s="9"/>
      <c r="K134" s="9"/>
    </row>
    <row r="135" spans="1:11" ht="13.5" customHeight="1" x14ac:dyDescent="0.25">
      <c r="A135" s="9"/>
      <c r="B135" s="9"/>
      <c r="C135" s="9"/>
      <c r="D135" s="9"/>
      <c r="E135" s="9"/>
      <c r="F135" s="9"/>
      <c r="G135" s="42"/>
      <c r="H135" s="43"/>
      <c r="I135" s="9"/>
      <c r="J135" s="9"/>
      <c r="K135" s="9"/>
    </row>
    <row r="136" spans="1:11" ht="13.5" customHeight="1" x14ac:dyDescent="0.25">
      <c r="A136" s="9"/>
      <c r="B136" s="9"/>
      <c r="C136" s="9"/>
      <c r="D136" s="9"/>
      <c r="E136" s="9"/>
      <c r="F136" s="9"/>
      <c r="G136" s="42"/>
      <c r="H136" s="43"/>
      <c r="I136" s="9"/>
      <c r="J136" s="9"/>
      <c r="K136" s="9"/>
    </row>
    <row r="137" spans="1:11" ht="13.5" customHeight="1" x14ac:dyDescent="0.25">
      <c r="A137" s="9"/>
      <c r="B137" s="9"/>
      <c r="C137" s="9"/>
      <c r="D137" s="9"/>
      <c r="E137" s="9"/>
      <c r="F137" s="9"/>
      <c r="G137" s="42"/>
      <c r="H137" s="43"/>
      <c r="I137" s="9"/>
      <c r="J137" s="9"/>
      <c r="K137" s="9"/>
    </row>
    <row r="138" spans="1:11" ht="13.5" customHeight="1" x14ac:dyDescent="0.25">
      <c r="A138" s="9"/>
      <c r="B138" s="9"/>
      <c r="C138" s="9"/>
      <c r="D138" s="9"/>
      <c r="E138" s="9"/>
      <c r="F138" s="9"/>
      <c r="G138" s="42"/>
      <c r="H138" s="43"/>
      <c r="I138" s="9"/>
      <c r="J138" s="9"/>
      <c r="K138" s="9"/>
    </row>
    <row r="139" spans="1:11" ht="13.5" customHeight="1" x14ac:dyDescent="0.25">
      <c r="A139" s="9"/>
      <c r="B139" s="9"/>
      <c r="C139" s="9"/>
      <c r="D139" s="9"/>
      <c r="E139" s="9"/>
      <c r="F139" s="9"/>
      <c r="G139" s="42"/>
      <c r="H139" s="43"/>
      <c r="I139" s="9"/>
      <c r="J139" s="9"/>
      <c r="K139" s="9"/>
    </row>
    <row r="140" spans="1:11" ht="13.5" customHeight="1" x14ac:dyDescent="0.25">
      <c r="A140" s="9"/>
      <c r="B140" s="9"/>
      <c r="C140" s="9"/>
      <c r="D140" s="9"/>
      <c r="E140" s="9"/>
      <c r="F140" s="9"/>
      <c r="G140" s="42"/>
      <c r="H140" s="43"/>
      <c r="I140" s="9"/>
      <c r="J140" s="9"/>
      <c r="K140" s="9"/>
    </row>
    <row r="141" spans="1:11" ht="13.5" customHeight="1" x14ac:dyDescent="0.25">
      <c r="A141" s="9"/>
      <c r="B141" s="9"/>
      <c r="C141" s="9"/>
      <c r="D141" s="9"/>
      <c r="E141" s="9"/>
      <c r="F141" s="9"/>
      <c r="G141" s="42"/>
      <c r="H141" s="43"/>
      <c r="I141" s="9"/>
      <c r="J141" s="9"/>
      <c r="K141" s="9"/>
    </row>
    <row r="142" spans="1:11" ht="13.5" customHeight="1" x14ac:dyDescent="0.25">
      <c r="A142" s="9"/>
      <c r="B142" s="9"/>
      <c r="C142" s="9"/>
      <c r="D142" s="9"/>
      <c r="E142" s="9"/>
      <c r="F142" s="9"/>
      <c r="G142" s="42"/>
      <c r="H142" s="43"/>
      <c r="I142" s="9"/>
      <c r="J142" s="9"/>
      <c r="K142" s="9"/>
    </row>
    <row r="143" spans="1:11" ht="13.5" customHeight="1" x14ac:dyDescent="0.25">
      <c r="A143" s="9"/>
      <c r="B143" s="9"/>
      <c r="C143" s="9"/>
      <c r="D143" s="9"/>
      <c r="E143" s="9"/>
      <c r="F143" s="9"/>
      <c r="G143" s="42"/>
      <c r="H143" s="43"/>
      <c r="I143" s="9"/>
      <c r="J143" s="9"/>
      <c r="K143" s="9"/>
    </row>
    <row r="144" spans="1:11" ht="13.5" customHeight="1" x14ac:dyDescent="0.25">
      <c r="A144" s="9"/>
      <c r="B144" s="9"/>
      <c r="C144" s="9"/>
      <c r="D144" s="9"/>
      <c r="E144" s="9"/>
      <c r="F144" s="9"/>
      <c r="G144" s="42"/>
      <c r="H144" s="43"/>
      <c r="I144" s="9"/>
      <c r="J144" s="9"/>
      <c r="K144" s="9"/>
    </row>
    <row r="145" spans="1:11" ht="13.5" customHeight="1" x14ac:dyDescent="0.25">
      <c r="A145" s="9"/>
      <c r="B145" s="9"/>
      <c r="C145" s="9"/>
      <c r="D145" s="9"/>
      <c r="E145" s="9"/>
      <c r="F145" s="9"/>
      <c r="G145" s="42"/>
      <c r="H145" s="43"/>
      <c r="I145" s="9"/>
      <c r="J145" s="9"/>
      <c r="K145" s="9"/>
    </row>
    <row r="146" spans="1:11" ht="13.5" customHeight="1" x14ac:dyDescent="0.25">
      <c r="A146" s="9"/>
      <c r="B146" s="9"/>
      <c r="C146" s="9"/>
      <c r="D146" s="9"/>
      <c r="E146" s="9"/>
      <c r="F146" s="9"/>
      <c r="G146" s="42"/>
      <c r="H146" s="43"/>
      <c r="I146" s="9"/>
      <c r="J146" s="9"/>
      <c r="K146" s="9"/>
    </row>
    <row r="147" spans="1:11" ht="13.5" customHeight="1" x14ac:dyDescent="0.25">
      <c r="A147" s="9"/>
      <c r="B147" s="9"/>
      <c r="C147" s="9"/>
      <c r="D147" s="9"/>
      <c r="E147" s="9"/>
      <c r="F147" s="9"/>
      <c r="G147" s="42"/>
      <c r="H147" s="43"/>
      <c r="I147" s="9"/>
      <c r="J147" s="9"/>
      <c r="K147" s="9"/>
    </row>
    <row r="148" spans="1:11" ht="13.5" customHeight="1" x14ac:dyDescent="0.25">
      <c r="A148" s="9"/>
      <c r="B148" s="9"/>
      <c r="C148" s="9"/>
      <c r="D148" s="9"/>
      <c r="E148" s="9"/>
      <c r="F148" s="9"/>
      <c r="G148" s="42"/>
      <c r="H148" s="43"/>
      <c r="I148" s="9"/>
      <c r="J148" s="9"/>
      <c r="K148" s="9"/>
    </row>
    <row r="149" spans="1:11" ht="13.5" customHeight="1" x14ac:dyDescent="0.25">
      <c r="A149" s="9"/>
      <c r="B149" s="9"/>
      <c r="C149" s="9"/>
      <c r="D149" s="9"/>
      <c r="E149" s="9"/>
      <c r="F149" s="9"/>
      <c r="G149" s="42"/>
      <c r="H149" s="43"/>
      <c r="I149" s="9"/>
      <c r="J149" s="9"/>
      <c r="K149" s="9"/>
    </row>
    <row r="150" spans="1:11" ht="13.5" customHeight="1" x14ac:dyDescent="0.25">
      <c r="A150" s="9"/>
      <c r="B150" s="9"/>
      <c r="C150" s="9"/>
      <c r="D150" s="9"/>
      <c r="E150" s="9"/>
      <c r="F150" s="9"/>
      <c r="G150" s="42"/>
      <c r="H150" s="43"/>
      <c r="I150" s="9"/>
      <c r="J150" s="9"/>
      <c r="K150" s="9"/>
    </row>
    <row r="151" spans="1:11" ht="13.5" customHeight="1" x14ac:dyDescent="0.25">
      <c r="A151" s="9"/>
      <c r="B151" s="9"/>
      <c r="C151" s="9"/>
      <c r="D151" s="9"/>
      <c r="E151" s="9"/>
      <c r="F151" s="9"/>
      <c r="G151" s="42"/>
      <c r="H151" s="43"/>
      <c r="I151" s="9"/>
      <c r="J151" s="9"/>
      <c r="K151" s="9"/>
    </row>
    <row r="152" spans="1:11" ht="13.5" customHeight="1" x14ac:dyDescent="0.25">
      <c r="A152" s="9"/>
      <c r="B152" s="9"/>
      <c r="C152" s="9"/>
      <c r="D152" s="9"/>
      <c r="E152" s="9"/>
      <c r="F152" s="9"/>
      <c r="G152" s="42"/>
      <c r="H152" s="43"/>
      <c r="I152" s="9"/>
      <c r="J152" s="9"/>
      <c r="K152" s="9"/>
    </row>
    <row r="153" spans="1:11" ht="13.5" customHeight="1" x14ac:dyDescent="0.25">
      <c r="A153" s="9"/>
      <c r="B153" s="9"/>
      <c r="C153" s="9"/>
      <c r="D153" s="9"/>
      <c r="E153" s="9"/>
      <c r="F153" s="9"/>
      <c r="G153" s="42"/>
      <c r="H153" s="43"/>
      <c r="I153" s="9"/>
      <c r="J153" s="9"/>
      <c r="K153" s="9"/>
    </row>
    <row r="154" spans="1:11" ht="13.5" customHeight="1" x14ac:dyDescent="0.25">
      <c r="A154" s="9"/>
      <c r="B154" s="9"/>
      <c r="C154" s="9"/>
      <c r="D154" s="9"/>
      <c r="E154" s="9"/>
      <c r="F154" s="9"/>
      <c r="G154" s="42"/>
      <c r="H154" s="43"/>
      <c r="I154" s="9"/>
      <c r="J154" s="9"/>
      <c r="K154" s="9"/>
    </row>
    <row r="155" spans="1:11" ht="13.5" customHeight="1" x14ac:dyDescent="0.25">
      <c r="A155" s="9"/>
      <c r="B155" s="9"/>
      <c r="C155" s="9"/>
      <c r="D155" s="9"/>
      <c r="E155" s="9"/>
      <c r="F155" s="9"/>
      <c r="G155" s="42"/>
      <c r="H155" s="43"/>
      <c r="I155" s="9"/>
      <c r="J155" s="9"/>
      <c r="K155" s="9"/>
    </row>
    <row r="156" spans="1:11" ht="13.5" customHeight="1" x14ac:dyDescent="0.25">
      <c r="A156" s="9"/>
      <c r="B156" s="9"/>
      <c r="C156" s="9"/>
      <c r="D156" s="9"/>
      <c r="E156" s="9"/>
      <c r="F156" s="9"/>
      <c r="G156" s="42"/>
      <c r="H156" s="43"/>
      <c r="I156" s="9"/>
      <c r="J156" s="9"/>
      <c r="K156" s="9"/>
    </row>
    <row r="157" spans="1:11" ht="13.5" customHeight="1" x14ac:dyDescent="0.25">
      <c r="A157" s="9"/>
      <c r="B157" s="9"/>
      <c r="C157" s="9"/>
      <c r="D157" s="9"/>
      <c r="E157" s="9"/>
      <c r="F157" s="9"/>
      <c r="G157" s="42"/>
      <c r="H157" s="43"/>
      <c r="I157" s="9"/>
      <c r="J157" s="9"/>
      <c r="K157" s="9"/>
    </row>
    <row r="158" spans="1:11" ht="13.5" customHeight="1" x14ac:dyDescent="0.25">
      <c r="A158" s="9"/>
      <c r="B158" s="9"/>
      <c r="C158" s="9"/>
      <c r="D158" s="9"/>
      <c r="E158" s="9"/>
      <c r="F158" s="9"/>
      <c r="G158" s="42"/>
      <c r="H158" s="43"/>
      <c r="I158" s="9"/>
      <c r="J158" s="9"/>
      <c r="K158" s="9"/>
    </row>
    <row r="159" spans="1:11" ht="13.5" customHeight="1" x14ac:dyDescent="0.25">
      <c r="A159" s="9"/>
      <c r="B159" s="9"/>
      <c r="C159" s="9"/>
      <c r="D159" s="9"/>
      <c r="E159" s="9"/>
      <c r="F159" s="9"/>
      <c r="G159" s="42"/>
      <c r="H159" s="43"/>
      <c r="I159" s="9"/>
      <c r="J159" s="9"/>
      <c r="K159" s="9"/>
    </row>
    <row r="160" spans="1:11" ht="13.5" customHeight="1" x14ac:dyDescent="0.25">
      <c r="A160" s="9"/>
      <c r="B160" s="9"/>
      <c r="C160" s="9"/>
      <c r="D160" s="9"/>
      <c r="E160" s="9"/>
      <c r="F160" s="9"/>
      <c r="G160" s="42"/>
      <c r="H160" s="43"/>
      <c r="I160" s="9"/>
      <c r="J160" s="9"/>
      <c r="K160" s="9"/>
    </row>
    <row r="161" spans="1:11" ht="13.5" customHeight="1" x14ac:dyDescent="0.25">
      <c r="A161" s="9"/>
      <c r="B161" s="9"/>
      <c r="C161" s="9"/>
      <c r="D161" s="9"/>
      <c r="E161" s="9"/>
      <c r="F161" s="9"/>
      <c r="G161" s="42"/>
      <c r="H161" s="43"/>
      <c r="I161" s="9"/>
      <c r="J161" s="9"/>
      <c r="K161" s="9"/>
    </row>
    <row r="162" spans="1:11" ht="13.5" customHeight="1" x14ac:dyDescent="0.25">
      <c r="A162" s="9"/>
      <c r="B162" s="9"/>
      <c r="C162" s="9"/>
      <c r="D162" s="9"/>
      <c r="E162" s="9"/>
      <c r="F162" s="9"/>
      <c r="G162" s="42"/>
      <c r="H162" s="43"/>
      <c r="I162" s="9"/>
      <c r="J162" s="9"/>
      <c r="K162" s="9"/>
    </row>
    <row r="163" spans="1:11" ht="13.5" customHeight="1" x14ac:dyDescent="0.25">
      <c r="A163" s="9"/>
      <c r="B163" s="9"/>
      <c r="C163" s="9"/>
      <c r="D163" s="9"/>
      <c r="E163" s="9"/>
      <c r="F163" s="9"/>
      <c r="G163" s="42"/>
      <c r="H163" s="43"/>
      <c r="I163" s="9"/>
      <c r="J163" s="9"/>
      <c r="K163" s="9"/>
    </row>
    <row r="164" spans="1:11" ht="13.5" customHeight="1" x14ac:dyDescent="0.25">
      <c r="A164" s="9"/>
      <c r="B164" s="9"/>
      <c r="C164" s="9"/>
      <c r="D164" s="9"/>
      <c r="E164" s="9"/>
      <c r="F164" s="9"/>
      <c r="G164" s="42"/>
      <c r="H164" s="43"/>
      <c r="I164" s="9"/>
      <c r="J164" s="9"/>
      <c r="K164" s="9"/>
    </row>
    <row r="165" spans="1:11" ht="13.5" customHeight="1" x14ac:dyDescent="0.25">
      <c r="A165" s="9"/>
      <c r="B165" s="9"/>
      <c r="C165" s="9"/>
      <c r="D165" s="9"/>
      <c r="E165" s="9"/>
      <c r="F165" s="9"/>
      <c r="G165" s="42"/>
      <c r="H165" s="43"/>
      <c r="I165" s="9"/>
      <c r="J165" s="9"/>
      <c r="K165" s="9"/>
    </row>
    <row r="166" spans="1:11" ht="13.5" customHeight="1" x14ac:dyDescent="0.25">
      <c r="A166" s="9"/>
      <c r="B166" s="9"/>
      <c r="C166" s="9"/>
      <c r="D166" s="9"/>
      <c r="E166" s="9"/>
      <c r="F166" s="9"/>
      <c r="G166" s="42"/>
      <c r="H166" s="43"/>
      <c r="I166" s="9"/>
      <c r="J166" s="9"/>
      <c r="K166" s="9"/>
    </row>
    <row r="167" spans="1:11" ht="13.5" customHeight="1" x14ac:dyDescent="0.25">
      <c r="A167" s="9"/>
      <c r="B167" s="9"/>
      <c r="C167" s="9"/>
      <c r="D167" s="9"/>
      <c r="E167" s="9"/>
      <c r="F167" s="9"/>
      <c r="G167" s="42"/>
      <c r="H167" s="43"/>
      <c r="I167" s="9"/>
      <c r="J167" s="9"/>
      <c r="K167" s="9"/>
    </row>
    <row r="168" spans="1:11" ht="13.5" customHeight="1" x14ac:dyDescent="0.25">
      <c r="A168" s="9"/>
      <c r="B168" s="9"/>
      <c r="C168" s="9"/>
      <c r="D168" s="9"/>
      <c r="E168" s="9"/>
      <c r="F168" s="9"/>
      <c r="G168" s="42"/>
      <c r="H168" s="43"/>
      <c r="I168" s="9"/>
      <c r="J168" s="9"/>
      <c r="K168" s="9"/>
    </row>
    <row r="169" spans="1:11" ht="13.5" customHeight="1" x14ac:dyDescent="0.25">
      <c r="A169" s="9"/>
      <c r="B169" s="9"/>
      <c r="C169" s="9"/>
      <c r="D169" s="9"/>
      <c r="E169" s="9"/>
      <c r="F169" s="9"/>
      <c r="G169" s="42"/>
      <c r="H169" s="43"/>
      <c r="I169" s="9"/>
      <c r="J169" s="9"/>
      <c r="K169" s="9"/>
    </row>
    <row r="170" spans="1:11" ht="13.5" customHeight="1" x14ac:dyDescent="0.25">
      <c r="A170" s="9"/>
      <c r="B170" s="9"/>
      <c r="C170" s="9"/>
      <c r="D170" s="9"/>
      <c r="E170" s="9"/>
      <c r="F170" s="9"/>
      <c r="G170" s="42"/>
      <c r="H170" s="43"/>
      <c r="I170" s="9"/>
      <c r="J170" s="9"/>
      <c r="K170" s="9"/>
    </row>
    <row r="171" spans="1:11" ht="13.5" customHeight="1" x14ac:dyDescent="0.25">
      <c r="A171" s="9"/>
      <c r="B171" s="9"/>
      <c r="C171" s="9"/>
      <c r="D171" s="9"/>
      <c r="E171" s="9"/>
      <c r="F171" s="9"/>
      <c r="G171" s="42"/>
      <c r="H171" s="43"/>
      <c r="I171" s="9"/>
      <c r="J171" s="9"/>
      <c r="K171" s="9"/>
    </row>
    <row r="172" spans="1:11" ht="13.5" customHeight="1" x14ac:dyDescent="0.25">
      <c r="A172" s="9"/>
      <c r="B172" s="9"/>
      <c r="C172" s="9"/>
      <c r="D172" s="9"/>
      <c r="E172" s="9"/>
      <c r="F172" s="9"/>
      <c r="G172" s="42"/>
      <c r="H172" s="43"/>
      <c r="I172" s="9"/>
      <c r="J172" s="9"/>
      <c r="K172" s="9"/>
    </row>
    <row r="173" spans="1:11" ht="13.5" customHeight="1" x14ac:dyDescent="0.25">
      <c r="A173" s="9"/>
      <c r="B173" s="9"/>
      <c r="C173" s="9"/>
      <c r="D173" s="9"/>
      <c r="E173" s="9"/>
      <c r="F173" s="9"/>
      <c r="G173" s="42"/>
      <c r="H173" s="43"/>
      <c r="I173" s="9"/>
      <c r="J173" s="9"/>
      <c r="K173" s="9"/>
    </row>
    <row r="174" spans="1:11" ht="13.5" customHeight="1" x14ac:dyDescent="0.25">
      <c r="A174" s="9"/>
      <c r="B174" s="9"/>
      <c r="C174" s="9"/>
      <c r="D174" s="9"/>
      <c r="E174" s="9"/>
      <c r="F174" s="9"/>
      <c r="G174" s="42"/>
      <c r="H174" s="43"/>
      <c r="I174" s="9"/>
      <c r="J174" s="9"/>
      <c r="K174" s="9"/>
    </row>
    <row r="175" spans="1:11" ht="13.5" customHeight="1" x14ac:dyDescent="0.25">
      <c r="A175" s="9"/>
      <c r="B175" s="9"/>
      <c r="C175" s="9"/>
      <c r="D175" s="9"/>
      <c r="E175" s="9"/>
      <c r="F175" s="9"/>
      <c r="G175" s="42"/>
      <c r="H175" s="43"/>
      <c r="I175" s="9"/>
      <c r="J175" s="9"/>
      <c r="K175" s="9"/>
    </row>
    <row r="176" spans="1:11" ht="13.5" customHeight="1" x14ac:dyDescent="0.25">
      <c r="A176" s="9"/>
      <c r="B176" s="9"/>
      <c r="C176" s="9"/>
      <c r="D176" s="9"/>
      <c r="E176" s="9"/>
      <c r="F176" s="9"/>
      <c r="G176" s="42"/>
      <c r="H176" s="43"/>
      <c r="I176" s="9"/>
      <c r="J176" s="9"/>
      <c r="K176" s="9"/>
    </row>
    <row r="177" spans="1:11" ht="13.5" customHeight="1" x14ac:dyDescent="0.25">
      <c r="A177" s="9"/>
      <c r="B177" s="9"/>
      <c r="C177" s="9"/>
      <c r="D177" s="9"/>
      <c r="E177" s="9"/>
      <c r="F177" s="9"/>
      <c r="G177" s="42"/>
      <c r="H177" s="43"/>
      <c r="I177" s="9"/>
      <c r="J177" s="9"/>
      <c r="K177" s="9"/>
    </row>
    <row r="178" spans="1:11" ht="13.5" customHeight="1" x14ac:dyDescent="0.25">
      <c r="A178" s="9"/>
      <c r="B178" s="9"/>
      <c r="C178" s="9"/>
      <c r="D178" s="9"/>
      <c r="E178" s="9"/>
      <c r="F178" s="9"/>
      <c r="G178" s="42"/>
      <c r="H178" s="43"/>
      <c r="I178" s="9"/>
      <c r="J178" s="9"/>
      <c r="K178" s="9"/>
    </row>
    <row r="179" spans="1:11" ht="13.5" customHeight="1" x14ac:dyDescent="0.25">
      <c r="A179" s="9"/>
      <c r="B179" s="9"/>
      <c r="C179" s="9"/>
      <c r="D179" s="9"/>
      <c r="E179" s="9"/>
      <c r="F179" s="9"/>
      <c r="G179" s="42"/>
      <c r="H179" s="43"/>
      <c r="I179" s="9"/>
      <c r="J179" s="9"/>
      <c r="K179" s="9"/>
    </row>
    <row r="180" spans="1:11" ht="13.5" customHeight="1" x14ac:dyDescent="0.25">
      <c r="A180" s="9"/>
      <c r="B180" s="9"/>
      <c r="C180" s="9"/>
      <c r="D180" s="9"/>
      <c r="E180" s="9"/>
      <c r="F180" s="9"/>
      <c r="G180" s="42"/>
      <c r="H180" s="43"/>
      <c r="I180" s="9"/>
      <c r="J180" s="9"/>
      <c r="K180" s="9"/>
    </row>
    <row r="181" spans="1:11" ht="13.5" customHeight="1" x14ac:dyDescent="0.25">
      <c r="A181" s="9"/>
      <c r="B181" s="9"/>
      <c r="C181" s="9"/>
      <c r="D181" s="9"/>
      <c r="E181" s="9"/>
      <c r="F181" s="9"/>
      <c r="G181" s="42"/>
      <c r="H181" s="43"/>
      <c r="I181" s="9"/>
      <c r="J181" s="9"/>
      <c r="K181" s="9"/>
    </row>
    <row r="182" spans="1:11" ht="13.5" customHeight="1" x14ac:dyDescent="0.25">
      <c r="A182" s="9"/>
      <c r="B182" s="9"/>
      <c r="C182" s="9"/>
      <c r="D182" s="9"/>
      <c r="E182" s="9"/>
      <c r="F182" s="9"/>
      <c r="G182" s="42"/>
      <c r="H182" s="43"/>
      <c r="I182" s="9"/>
      <c r="J182" s="9"/>
      <c r="K182" s="9"/>
    </row>
    <row r="183" spans="1:11" ht="13.5" customHeight="1" x14ac:dyDescent="0.25">
      <c r="A183" s="9"/>
      <c r="B183" s="9"/>
      <c r="C183" s="9"/>
      <c r="D183" s="9"/>
      <c r="E183" s="9"/>
      <c r="F183" s="9"/>
      <c r="G183" s="42"/>
      <c r="H183" s="43"/>
      <c r="I183" s="9"/>
      <c r="J183" s="9"/>
      <c r="K183" s="9"/>
    </row>
    <row r="184" spans="1:11" ht="13.5" customHeight="1" x14ac:dyDescent="0.25">
      <c r="A184" s="9"/>
      <c r="B184" s="9"/>
      <c r="C184" s="9"/>
      <c r="D184" s="9"/>
      <c r="E184" s="9"/>
      <c r="F184" s="9"/>
      <c r="G184" s="42"/>
      <c r="H184" s="43"/>
      <c r="I184" s="9"/>
      <c r="J184" s="9"/>
      <c r="K184" s="9"/>
    </row>
    <row r="185" spans="1:11" ht="13.5" customHeight="1" x14ac:dyDescent="0.25">
      <c r="A185" s="9"/>
      <c r="B185" s="9"/>
      <c r="C185" s="9"/>
      <c r="D185" s="9"/>
      <c r="E185" s="9"/>
      <c r="F185" s="9"/>
      <c r="G185" s="42"/>
      <c r="H185" s="43"/>
      <c r="I185" s="9"/>
      <c r="J185" s="9"/>
      <c r="K185" s="9"/>
    </row>
    <row r="186" spans="1:11" ht="13.5" customHeight="1" x14ac:dyDescent="0.25">
      <c r="A186" s="9"/>
      <c r="B186" s="9"/>
      <c r="C186" s="9"/>
      <c r="D186" s="9"/>
      <c r="E186" s="9"/>
      <c r="F186" s="9"/>
      <c r="G186" s="42"/>
      <c r="H186" s="43"/>
      <c r="I186" s="9"/>
      <c r="J186" s="9"/>
      <c r="K186" s="9"/>
    </row>
    <row r="187" spans="1:11" ht="13.5" customHeight="1" x14ac:dyDescent="0.25">
      <c r="A187" s="9"/>
      <c r="B187" s="9"/>
      <c r="C187" s="9"/>
      <c r="D187" s="9"/>
      <c r="E187" s="9"/>
      <c r="F187" s="9"/>
      <c r="G187" s="42"/>
      <c r="H187" s="43"/>
      <c r="I187" s="9"/>
      <c r="J187" s="9"/>
      <c r="K187" s="9"/>
    </row>
    <row r="188" spans="1:11" ht="13.5" customHeight="1" x14ac:dyDescent="0.25">
      <c r="A188" s="9"/>
      <c r="B188" s="9"/>
      <c r="C188" s="9"/>
      <c r="D188" s="9"/>
      <c r="E188" s="9"/>
      <c r="F188" s="9"/>
      <c r="G188" s="42"/>
      <c r="H188" s="43"/>
      <c r="I188" s="9"/>
      <c r="J188" s="9"/>
      <c r="K188" s="9"/>
    </row>
    <row r="189" spans="1:11" ht="13.5" customHeight="1" x14ac:dyDescent="0.25">
      <c r="A189" s="9"/>
      <c r="B189" s="9"/>
      <c r="C189" s="9"/>
      <c r="D189" s="9"/>
      <c r="E189" s="9"/>
      <c r="F189" s="9"/>
      <c r="G189" s="42"/>
      <c r="H189" s="43"/>
      <c r="I189" s="9"/>
      <c r="J189" s="9"/>
      <c r="K189" s="9"/>
    </row>
    <row r="190" spans="1:11" ht="13.5" customHeight="1" x14ac:dyDescent="0.25">
      <c r="A190" s="9"/>
      <c r="B190" s="9"/>
      <c r="C190" s="9"/>
      <c r="D190" s="9"/>
      <c r="E190" s="9"/>
      <c r="F190" s="9"/>
      <c r="G190" s="42"/>
      <c r="H190" s="43"/>
      <c r="I190" s="9"/>
      <c r="J190" s="9"/>
      <c r="K190" s="9"/>
    </row>
    <row r="191" spans="1:11" ht="13.5" customHeight="1" x14ac:dyDescent="0.25">
      <c r="A191" s="9"/>
      <c r="B191" s="9"/>
      <c r="C191" s="9"/>
      <c r="D191" s="9"/>
      <c r="E191" s="9"/>
      <c r="F191" s="9"/>
      <c r="G191" s="42"/>
      <c r="H191" s="43"/>
      <c r="I191" s="9"/>
      <c r="J191" s="9"/>
      <c r="K191" s="9"/>
    </row>
    <row r="192" spans="1:11" ht="13.5" customHeight="1" x14ac:dyDescent="0.25">
      <c r="A192" s="9"/>
      <c r="B192" s="9"/>
      <c r="C192" s="9"/>
      <c r="D192" s="9"/>
      <c r="E192" s="9"/>
      <c r="F192" s="9"/>
      <c r="G192" s="42"/>
      <c r="H192" s="43"/>
      <c r="I192" s="9"/>
      <c r="J192" s="9"/>
      <c r="K192" s="9"/>
    </row>
    <row r="193" spans="1:11" ht="13.5" customHeight="1" x14ac:dyDescent="0.25">
      <c r="A193" s="9"/>
      <c r="B193" s="9"/>
      <c r="C193" s="9"/>
      <c r="D193" s="9"/>
      <c r="E193" s="9"/>
      <c r="F193" s="9"/>
      <c r="G193" s="42"/>
      <c r="H193" s="43"/>
      <c r="I193" s="9"/>
      <c r="J193" s="9"/>
      <c r="K193" s="9"/>
    </row>
    <row r="194" spans="1:11" ht="13.5" customHeight="1" x14ac:dyDescent="0.25">
      <c r="A194" s="9"/>
      <c r="B194" s="9"/>
      <c r="C194" s="9"/>
      <c r="D194" s="9"/>
      <c r="E194" s="9"/>
      <c r="F194" s="9"/>
      <c r="G194" s="42"/>
      <c r="H194" s="43"/>
      <c r="I194" s="9"/>
      <c r="J194" s="9"/>
      <c r="K194" s="9"/>
    </row>
    <row r="195" spans="1:11" ht="13.5" customHeight="1" x14ac:dyDescent="0.25">
      <c r="A195" s="9"/>
      <c r="B195" s="9"/>
      <c r="C195" s="9"/>
      <c r="D195" s="9"/>
      <c r="E195" s="9"/>
      <c r="F195" s="9"/>
      <c r="G195" s="42"/>
      <c r="H195" s="43"/>
      <c r="I195" s="9"/>
      <c r="J195" s="9"/>
      <c r="K195" s="9"/>
    </row>
    <row r="196" spans="1:11" ht="13.5" customHeight="1" x14ac:dyDescent="0.25">
      <c r="A196" s="9"/>
      <c r="B196" s="9"/>
      <c r="C196" s="9"/>
      <c r="D196" s="9"/>
      <c r="E196" s="9"/>
      <c r="F196" s="9"/>
      <c r="G196" s="42"/>
      <c r="H196" s="43"/>
      <c r="I196" s="9"/>
      <c r="J196" s="9"/>
      <c r="K196" s="9"/>
    </row>
    <row r="197" spans="1:11" ht="13.5" customHeight="1" x14ac:dyDescent="0.25">
      <c r="A197" s="9"/>
      <c r="B197" s="9"/>
      <c r="C197" s="9"/>
      <c r="D197" s="9"/>
      <c r="E197" s="9"/>
      <c r="F197" s="9"/>
      <c r="G197" s="42"/>
      <c r="H197" s="43"/>
      <c r="I197" s="9"/>
      <c r="J197" s="9"/>
      <c r="K197" s="9"/>
    </row>
    <row r="198" spans="1:11" ht="13.5" customHeight="1" x14ac:dyDescent="0.25">
      <c r="A198" s="9"/>
      <c r="B198" s="9"/>
      <c r="C198" s="9"/>
      <c r="D198" s="9"/>
      <c r="E198" s="9"/>
      <c r="F198" s="9"/>
      <c r="G198" s="42"/>
      <c r="H198" s="43"/>
      <c r="I198" s="9"/>
      <c r="J198" s="9"/>
      <c r="K198" s="9"/>
    </row>
    <row r="199" spans="1:11" ht="13.5" customHeight="1" x14ac:dyDescent="0.25">
      <c r="A199" s="9"/>
      <c r="B199" s="9"/>
      <c r="C199" s="9"/>
      <c r="D199" s="9"/>
      <c r="E199" s="9"/>
      <c r="F199" s="9"/>
      <c r="G199" s="42"/>
      <c r="H199" s="43"/>
      <c r="I199" s="9"/>
      <c r="J199" s="9"/>
      <c r="K199" s="9"/>
    </row>
    <row r="200" spans="1:11" ht="13.5" customHeight="1" x14ac:dyDescent="0.25">
      <c r="A200" s="9"/>
      <c r="B200" s="9"/>
      <c r="C200" s="9"/>
      <c r="D200" s="9"/>
      <c r="E200" s="9"/>
      <c r="F200" s="9"/>
      <c r="G200" s="42"/>
      <c r="H200" s="43"/>
      <c r="I200" s="9"/>
      <c r="J200" s="9"/>
      <c r="K200" s="9"/>
    </row>
    <row r="201" spans="1:11" ht="13.5" customHeight="1" x14ac:dyDescent="0.25">
      <c r="A201" s="9"/>
      <c r="B201" s="9"/>
      <c r="C201" s="9"/>
      <c r="D201" s="9"/>
      <c r="E201" s="9"/>
      <c r="F201" s="9"/>
      <c r="G201" s="42"/>
      <c r="H201" s="43"/>
      <c r="I201" s="9"/>
      <c r="J201" s="9"/>
      <c r="K201" s="9"/>
    </row>
    <row r="202" spans="1:11" ht="13.5" customHeight="1" x14ac:dyDescent="0.25">
      <c r="A202" s="9"/>
      <c r="B202" s="9"/>
      <c r="C202" s="9"/>
      <c r="D202" s="9"/>
      <c r="E202" s="9"/>
      <c r="F202" s="9"/>
      <c r="G202" s="42"/>
      <c r="H202" s="43"/>
      <c r="I202" s="9"/>
      <c r="J202" s="9"/>
      <c r="K202" s="9"/>
    </row>
    <row r="203" spans="1:11" ht="13.5" customHeight="1" x14ac:dyDescent="0.25">
      <c r="A203" s="9"/>
      <c r="B203" s="9"/>
      <c r="C203" s="9"/>
      <c r="D203" s="9"/>
      <c r="E203" s="9"/>
      <c r="F203" s="9"/>
      <c r="G203" s="42"/>
      <c r="H203" s="43"/>
      <c r="I203" s="9"/>
      <c r="J203" s="9"/>
      <c r="K203" s="9"/>
    </row>
    <row r="204" spans="1:11" ht="13.5" customHeight="1" x14ac:dyDescent="0.25">
      <c r="A204" s="9"/>
      <c r="B204" s="9"/>
      <c r="C204" s="9"/>
      <c r="D204" s="9"/>
      <c r="E204" s="9"/>
      <c r="F204" s="9"/>
      <c r="G204" s="42"/>
      <c r="H204" s="43"/>
      <c r="I204" s="9"/>
      <c r="J204" s="9"/>
      <c r="K204" s="9"/>
    </row>
    <row r="205" spans="1:11" ht="13.5" customHeight="1" x14ac:dyDescent="0.25">
      <c r="A205" s="9"/>
      <c r="B205" s="9"/>
      <c r="C205" s="9"/>
      <c r="D205" s="9"/>
      <c r="E205" s="9"/>
      <c r="F205" s="9"/>
      <c r="G205" s="42"/>
      <c r="H205" s="43"/>
      <c r="I205" s="9"/>
      <c r="J205" s="9"/>
      <c r="K205" s="9"/>
    </row>
    <row r="206" spans="1:11" ht="13.5" customHeight="1" x14ac:dyDescent="0.25">
      <c r="A206" s="9"/>
      <c r="B206" s="9"/>
      <c r="C206" s="9"/>
      <c r="D206" s="9"/>
      <c r="E206" s="9"/>
      <c r="F206" s="9"/>
      <c r="G206" s="42"/>
      <c r="H206" s="43"/>
      <c r="I206" s="9"/>
      <c r="J206" s="9"/>
      <c r="K206" s="9"/>
    </row>
    <row r="207" spans="1:11" ht="13.5" customHeight="1" x14ac:dyDescent="0.25">
      <c r="A207" s="9"/>
      <c r="B207" s="9"/>
      <c r="C207" s="9"/>
      <c r="D207" s="9"/>
      <c r="E207" s="9"/>
      <c r="F207" s="9"/>
      <c r="G207" s="42"/>
      <c r="H207" s="43"/>
      <c r="I207" s="9"/>
      <c r="J207" s="9"/>
      <c r="K207" s="9"/>
    </row>
    <row r="208" spans="1:11" ht="13.5" customHeight="1" x14ac:dyDescent="0.25">
      <c r="A208" s="9"/>
      <c r="B208" s="9"/>
      <c r="C208" s="9"/>
      <c r="D208" s="9"/>
      <c r="E208" s="9"/>
      <c r="F208" s="9"/>
      <c r="G208" s="42"/>
      <c r="H208" s="43"/>
      <c r="I208" s="9"/>
      <c r="J208" s="9"/>
      <c r="K208" s="9"/>
    </row>
    <row r="209" spans="1:11" ht="13.5" customHeight="1" x14ac:dyDescent="0.25">
      <c r="A209" s="9"/>
      <c r="B209" s="9"/>
      <c r="C209" s="9"/>
      <c r="D209" s="9"/>
      <c r="E209" s="9"/>
      <c r="F209" s="9"/>
      <c r="G209" s="42"/>
      <c r="H209" s="43"/>
      <c r="I209" s="9"/>
      <c r="J209" s="9"/>
      <c r="K209" s="9"/>
    </row>
    <row r="210" spans="1:11" ht="13.5" customHeight="1" x14ac:dyDescent="0.25">
      <c r="A210" s="9"/>
      <c r="B210" s="9"/>
      <c r="C210" s="9"/>
      <c r="D210" s="9"/>
      <c r="E210" s="9"/>
      <c r="F210" s="9"/>
      <c r="G210" s="42"/>
      <c r="H210" s="43"/>
      <c r="I210" s="9"/>
      <c r="J210" s="9"/>
      <c r="K210" s="9"/>
    </row>
    <row r="211" spans="1:11" ht="13.5" customHeight="1" x14ac:dyDescent="0.25">
      <c r="A211" s="9"/>
      <c r="B211" s="9"/>
      <c r="C211" s="9"/>
      <c r="D211" s="9"/>
      <c r="E211" s="9"/>
      <c r="F211" s="9"/>
      <c r="G211" s="42"/>
      <c r="H211" s="43"/>
      <c r="I211" s="9"/>
      <c r="J211" s="9"/>
      <c r="K211" s="9"/>
    </row>
    <row r="212" spans="1:11" ht="13.5" customHeight="1" x14ac:dyDescent="0.25">
      <c r="A212" s="9"/>
      <c r="B212" s="9"/>
      <c r="C212" s="9"/>
      <c r="D212" s="9"/>
      <c r="E212" s="9"/>
      <c r="F212" s="9"/>
      <c r="G212" s="42"/>
      <c r="H212" s="43"/>
      <c r="I212" s="9"/>
      <c r="J212" s="9"/>
      <c r="K212" s="9"/>
    </row>
    <row r="213" spans="1:11" ht="13.5" customHeight="1" x14ac:dyDescent="0.25">
      <c r="A213" s="9"/>
      <c r="B213" s="9"/>
      <c r="C213" s="9"/>
      <c r="D213" s="9"/>
      <c r="E213" s="9"/>
      <c r="F213" s="9"/>
      <c r="G213" s="42"/>
      <c r="H213" s="43"/>
      <c r="I213" s="9"/>
      <c r="J213" s="9"/>
      <c r="K213" s="9"/>
    </row>
    <row r="214" spans="1:11" ht="13.5" customHeight="1" x14ac:dyDescent="0.25">
      <c r="A214" s="9"/>
      <c r="B214" s="9"/>
      <c r="C214" s="9"/>
      <c r="D214" s="9"/>
      <c r="E214" s="9"/>
      <c r="F214" s="9"/>
      <c r="G214" s="42"/>
      <c r="H214" s="43"/>
      <c r="I214" s="9"/>
      <c r="J214" s="9"/>
      <c r="K214" s="9"/>
    </row>
    <row r="215" spans="1:11" ht="13.5" customHeight="1" x14ac:dyDescent="0.25">
      <c r="A215" s="9"/>
      <c r="B215" s="9"/>
      <c r="C215" s="9"/>
      <c r="D215" s="9"/>
      <c r="E215" s="9"/>
      <c r="F215" s="9"/>
      <c r="G215" s="42"/>
      <c r="H215" s="43"/>
      <c r="I215" s="9"/>
      <c r="J215" s="9"/>
      <c r="K215" s="9"/>
    </row>
    <row r="216" spans="1:11" ht="13.5" customHeight="1" x14ac:dyDescent="0.25">
      <c r="A216" s="9"/>
      <c r="B216" s="9"/>
      <c r="C216" s="9"/>
      <c r="D216" s="9"/>
      <c r="E216" s="9"/>
      <c r="F216" s="9"/>
      <c r="G216" s="42"/>
      <c r="H216" s="43"/>
      <c r="I216" s="9"/>
      <c r="J216" s="9"/>
      <c r="K216" s="9"/>
    </row>
    <row r="217" spans="1:11" ht="13.5" customHeight="1" x14ac:dyDescent="0.25">
      <c r="A217" s="9"/>
      <c r="B217" s="9"/>
      <c r="C217" s="9"/>
      <c r="D217" s="9"/>
      <c r="E217" s="9"/>
      <c r="F217" s="9"/>
      <c r="G217" s="42"/>
      <c r="H217" s="43"/>
      <c r="I217" s="9"/>
      <c r="J217" s="9"/>
      <c r="K217" s="9"/>
    </row>
    <row r="218" spans="1:11" ht="13.5" customHeight="1" x14ac:dyDescent="0.25">
      <c r="A218" s="9"/>
      <c r="B218" s="9"/>
      <c r="C218" s="9"/>
      <c r="D218" s="9"/>
      <c r="E218" s="9"/>
      <c r="F218" s="9"/>
      <c r="G218" s="42"/>
      <c r="H218" s="43"/>
      <c r="I218" s="9"/>
      <c r="J218" s="9"/>
      <c r="K218" s="9"/>
    </row>
    <row r="219" spans="1:11" ht="13.5" customHeight="1" x14ac:dyDescent="0.25">
      <c r="A219" s="9"/>
      <c r="B219" s="9"/>
      <c r="C219" s="9"/>
      <c r="D219" s="9"/>
      <c r="E219" s="9"/>
      <c r="F219" s="9"/>
      <c r="G219" s="42"/>
      <c r="H219" s="43"/>
      <c r="I219" s="9"/>
      <c r="J219" s="9"/>
      <c r="K219" s="9"/>
    </row>
    <row r="220" spans="1:11" ht="13.5" customHeight="1" x14ac:dyDescent="0.25">
      <c r="A220" s="9"/>
      <c r="B220" s="9"/>
      <c r="C220" s="9"/>
      <c r="D220" s="9"/>
      <c r="E220" s="9"/>
      <c r="F220" s="9"/>
      <c r="G220" s="42"/>
      <c r="H220" s="43"/>
      <c r="I220" s="9"/>
      <c r="J220" s="9"/>
      <c r="K220" s="9"/>
    </row>
    <row r="221" spans="1:11" ht="13.5" customHeight="1" x14ac:dyDescent="0.25">
      <c r="A221" s="9"/>
      <c r="B221" s="9"/>
      <c r="C221" s="9"/>
      <c r="D221" s="9"/>
      <c r="E221" s="9"/>
      <c r="F221" s="9"/>
      <c r="G221" s="42"/>
      <c r="H221" s="43"/>
      <c r="I221" s="9"/>
      <c r="J221" s="9"/>
      <c r="K221" s="9"/>
    </row>
    <row r="222" spans="1:11" ht="13.5" customHeight="1" x14ac:dyDescent="0.25">
      <c r="A222" s="9"/>
      <c r="B222" s="9"/>
      <c r="C222" s="9"/>
      <c r="D222" s="9"/>
      <c r="E222" s="9"/>
      <c r="F222" s="9"/>
      <c r="G222" s="42"/>
      <c r="H222" s="43"/>
      <c r="I222" s="9"/>
      <c r="J222" s="9"/>
      <c r="K222" s="9"/>
    </row>
    <row r="223" spans="1:11" ht="13.5" customHeight="1" x14ac:dyDescent="0.25">
      <c r="A223" s="9"/>
      <c r="B223" s="9"/>
      <c r="C223" s="9"/>
      <c r="D223" s="9"/>
      <c r="E223" s="9"/>
      <c r="F223" s="9"/>
      <c r="G223" s="42"/>
      <c r="H223" s="43"/>
      <c r="I223" s="9"/>
      <c r="J223" s="9"/>
      <c r="K223" s="9"/>
    </row>
    <row r="224" spans="1:11" ht="13.5" customHeight="1" x14ac:dyDescent="0.25">
      <c r="A224" s="9"/>
      <c r="B224" s="9"/>
      <c r="C224" s="9"/>
      <c r="D224" s="9"/>
      <c r="E224" s="9"/>
      <c r="F224" s="9"/>
      <c r="G224" s="42"/>
      <c r="H224" s="43"/>
      <c r="I224" s="9"/>
      <c r="J224" s="9"/>
      <c r="K224" s="9"/>
    </row>
    <row r="225" spans="1:11" ht="13.5" customHeight="1" x14ac:dyDescent="0.25">
      <c r="A225" s="9"/>
      <c r="B225" s="9"/>
      <c r="C225" s="9"/>
      <c r="D225" s="9"/>
      <c r="E225" s="9"/>
      <c r="F225" s="9"/>
      <c r="G225" s="42"/>
      <c r="H225" s="43"/>
      <c r="I225" s="9"/>
      <c r="J225" s="9"/>
      <c r="K225" s="9"/>
    </row>
    <row r="226" spans="1:11" ht="13.5" customHeight="1" x14ac:dyDescent="0.25">
      <c r="A226" s="9"/>
      <c r="B226" s="9"/>
      <c r="C226" s="9"/>
      <c r="D226" s="9"/>
      <c r="E226" s="9"/>
      <c r="F226" s="9"/>
      <c r="G226" s="42"/>
      <c r="H226" s="43"/>
      <c r="I226" s="9"/>
      <c r="J226" s="9"/>
      <c r="K226" s="9"/>
    </row>
    <row r="227" spans="1:11" ht="13.5" customHeight="1" x14ac:dyDescent="0.25">
      <c r="A227" s="9"/>
      <c r="B227" s="9"/>
      <c r="C227" s="9"/>
      <c r="D227" s="9"/>
      <c r="E227" s="9"/>
      <c r="F227" s="9"/>
      <c r="G227" s="42"/>
      <c r="H227" s="43"/>
      <c r="I227" s="9"/>
      <c r="J227" s="9"/>
      <c r="K227" s="9"/>
    </row>
    <row r="228" spans="1:11" ht="13.5" customHeight="1" x14ac:dyDescent="0.25">
      <c r="A228" s="9"/>
      <c r="B228" s="9"/>
      <c r="C228" s="9"/>
      <c r="D228" s="9"/>
      <c r="E228" s="9"/>
      <c r="F228" s="9"/>
      <c r="G228" s="42"/>
      <c r="H228" s="43"/>
      <c r="I228" s="9"/>
      <c r="J228" s="9"/>
      <c r="K228" s="9"/>
    </row>
    <row r="229" spans="1:11" ht="13.5" customHeight="1" x14ac:dyDescent="0.25">
      <c r="A229" s="9"/>
      <c r="B229" s="9"/>
      <c r="C229" s="9"/>
      <c r="D229" s="9"/>
      <c r="E229" s="9"/>
      <c r="F229" s="9"/>
      <c r="G229" s="42"/>
      <c r="H229" s="43"/>
      <c r="I229" s="9"/>
      <c r="J229" s="9"/>
      <c r="K229" s="9"/>
    </row>
    <row r="230" spans="1:11" ht="13.5" customHeight="1" x14ac:dyDescent="0.25">
      <c r="A230" s="9"/>
      <c r="B230" s="9"/>
      <c r="C230" s="9"/>
      <c r="D230" s="9"/>
      <c r="E230" s="9"/>
      <c r="F230" s="9"/>
      <c r="G230" s="42"/>
      <c r="H230" s="43"/>
      <c r="I230" s="9"/>
      <c r="J230" s="9"/>
      <c r="K230" s="9"/>
    </row>
    <row r="231" spans="1:11" ht="13.5" customHeight="1" x14ac:dyDescent="0.25">
      <c r="A231" s="9"/>
      <c r="B231" s="9"/>
      <c r="C231" s="9"/>
      <c r="D231" s="9"/>
      <c r="E231" s="9"/>
      <c r="F231" s="9"/>
      <c r="G231" s="42"/>
      <c r="H231" s="43"/>
      <c r="I231" s="9"/>
      <c r="J231" s="9"/>
      <c r="K231" s="9"/>
    </row>
    <row r="232" spans="1:11" ht="13.5" customHeight="1" x14ac:dyDescent="0.25">
      <c r="A232" s="9"/>
      <c r="B232" s="9"/>
      <c r="C232" s="9"/>
      <c r="D232" s="9"/>
      <c r="E232" s="9"/>
      <c r="F232" s="9"/>
      <c r="G232" s="42"/>
      <c r="H232" s="43"/>
      <c r="I232" s="9"/>
      <c r="J232" s="9"/>
      <c r="K232" s="9"/>
    </row>
    <row r="233" spans="1:11" ht="13.5" customHeight="1" x14ac:dyDescent="0.25">
      <c r="A233" s="9"/>
      <c r="B233" s="9"/>
      <c r="C233" s="9"/>
      <c r="D233" s="9"/>
      <c r="E233" s="9"/>
      <c r="F233" s="9"/>
      <c r="G233" s="42"/>
      <c r="H233" s="43"/>
      <c r="I233" s="9"/>
      <c r="J233" s="9"/>
      <c r="K233" s="9"/>
    </row>
    <row r="234" spans="1:11" ht="13.5" customHeight="1" x14ac:dyDescent="0.25">
      <c r="A234" s="9"/>
      <c r="B234" s="9"/>
      <c r="C234" s="9"/>
      <c r="D234" s="9"/>
      <c r="E234" s="9"/>
      <c r="F234" s="9"/>
      <c r="G234" s="42"/>
      <c r="H234" s="43"/>
      <c r="I234" s="9"/>
      <c r="J234" s="9"/>
      <c r="K234" s="9"/>
    </row>
    <row r="235" spans="1:11" ht="13.5" customHeight="1" x14ac:dyDescent="0.25">
      <c r="A235" s="9"/>
      <c r="B235" s="9"/>
      <c r="C235" s="9"/>
      <c r="D235" s="9"/>
      <c r="E235" s="9"/>
      <c r="F235" s="9"/>
      <c r="G235" s="42"/>
      <c r="H235" s="43"/>
      <c r="I235" s="9"/>
      <c r="J235" s="9"/>
      <c r="K235" s="9"/>
    </row>
    <row r="236" spans="1:11" ht="13.5" customHeight="1" x14ac:dyDescent="0.25">
      <c r="A236" s="9"/>
      <c r="B236" s="9"/>
      <c r="C236" s="9"/>
      <c r="D236" s="9"/>
      <c r="E236" s="9"/>
      <c r="F236" s="9"/>
      <c r="G236" s="42"/>
      <c r="H236" s="43"/>
      <c r="I236" s="9"/>
      <c r="J236" s="9"/>
      <c r="K236" s="9"/>
    </row>
    <row r="237" spans="1:11" ht="13.5" customHeight="1" x14ac:dyDescent="0.25">
      <c r="A237" s="9"/>
      <c r="B237" s="9"/>
      <c r="C237" s="9"/>
      <c r="D237" s="9"/>
      <c r="E237" s="9"/>
      <c r="F237" s="9"/>
      <c r="G237" s="42"/>
      <c r="H237" s="43"/>
      <c r="I237" s="9"/>
      <c r="J237" s="9"/>
      <c r="K237" s="9"/>
    </row>
    <row r="238" spans="1:11" ht="13.5" customHeight="1" x14ac:dyDescent="0.25">
      <c r="A238" s="9"/>
      <c r="B238" s="9"/>
      <c r="C238" s="9"/>
      <c r="D238" s="9"/>
      <c r="E238" s="9"/>
      <c r="F238" s="9"/>
      <c r="G238" s="42"/>
      <c r="H238" s="43"/>
      <c r="I238" s="9"/>
      <c r="J238" s="9"/>
      <c r="K238" s="9"/>
    </row>
    <row r="239" spans="1:11" ht="13.5" customHeight="1" x14ac:dyDescent="0.25">
      <c r="A239" s="9"/>
      <c r="B239" s="9"/>
      <c r="C239" s="9"/>
      <c r="D239" s="9"/>
      <c r="E239" s="9"/>
      <c r="F239" s="9"/>
      <c r="G239" s="42"/>
      <c r="H239" s="43"/>
      <c r="I239" s="9"/>
      <c r="J239" s="9"/>
      <c r="K239" s="9"/>
    </row>
    <row r="240" spans="1:11" ht="13.5" customHeight="1" x14ac:dyDescent="0.25">
      <c r="A240" s="9"/>
      <c r="B240" s="9"/>
      <c r="C240" s="9"/>
      <c r="D240" s="9"/>
      <c r="E240" s="9"/>
      <c r="F240" s="9"/>
      <c r="G240" s="42"/>
      <c r="H240" s="43"/>
      <c r="I240" s="9"/>
      <c r="J240" s="9"/>
      <c r="K240" s="9"/>
    </row>
    <row r="241" spans="1:11" ht="13.5" customHeight="1" x14ac:dyDescent="0.25">
      <c r="A241" s="9"/>
      <c r="B241" s="9"/>
      <c r="C241" s="9"/>
      <c r="D241" s="9"/>
      <c r="E241" s="9"/>
      <c r="F241" s="9"/>
      <c r="G241" s="42"/>
      <c r="H241" s="43"/>
      <c r="I241" s="9"/>
      <c r="J241" s="9"/>
      <c r="K241" s="9"/>
    </row>
    <row r="242" spans="1:11" ht="13.5" customHeight="1" x14ac:dyDescent="0.25">
      <c r="A242" s="9"/>
      <c r="B242" s="9"/>
      <c r="C242" s="9"/>
      <c r="D242" s="9"/>
      <c r="E242" s="9"/>
      <c r="F242" s="9"/>
      <c r="G242" s="42"/>
      <c r="H242" s="43"/>
      <c r="I242" s="9"/>
      <c r="J242" s="9"/>
      <c r="K242" s="9"/>
    </row>
    <row r="243" spans="1:11" ht="13.5" customHeight="1" x14ac:dyDescent="0.25">
      <c r="A243" s="9"/>
      <c r="B243" s="9"/>
      <c r="C243" s="9"/>
      <c r="D243" s="9"/>
      <c r="E243" s="9"/>
      <c r="F243" s="9"/>
      <c r="G243" s="42"/>
      <c r="H243" s="43"/>
      <c r="I243" s="9"/>
      <c r="J243" s="9"/>
      <c r="K243" s="9"/>
    </row>
    <row r="244" spans="1:11" ht="13.5" customHeight="1" x14ac:dyDescent="0.25">
      <c r="A244" s="9"/>
      <c r="B244" s="9"/>
      <c r="C244" s="9"/>
      <c r="D244" s="9"/>
      <c r="E244" s="9"/>
      <c r="F244" s="9"/>
      <c r="G244" s="42"/>
      <c r="H244" s="43"/>
      <c r="I244" s="9"/>
      <c r="J244" s="9"/>
      <c r="K244" s="9"/>
    </row>
    <row r="245" spans="1:11" ht="13.5" customHeight="1" x14ac:dyDescent="0.25">
      <c r="A245" s="9"/>
      <c r="B245" s="9"/>
      <c r="C245" s="9"/>
      <c r="D245" s="9"/>
      <c r="E245" s="9"/>
      <c r="F245" s="9"/>
      <c r="G245" s="42"/>
      <c r="H245" s="43"/>
      <c r="I245" s="9"/>
      <c r="J245" s="9"/>
      <c r="K245" s="9"/>
    </row>
    <row r="246" spans="1:11" ht="13.5" customHeight="1" x14ac:dyDescent="0.25">
      <c r="A246" s="9"/>
      <c r="B246" s="9"/>
      <c r="C246" s="9"/>
      <c r="D246" s="9"/>
      <c r="E246" s="9"/>
      <c r="F246" s="9"/>
      <c r="G246" s="42"/>
      <c r="H246" s="43"/>
      <c r="I246" s="9"/>
      <c r="J246" s="9"/>
      <c r="K246" s="9"/>
    </row>
    <row r="247" spans="1:11" ht="13.5" customHeight="1" x14ac:dyDescent="0.25">
      <c r="A247" s="9"/>
      <c r="B247" s="9"/>
      <c r="C247" s="9"/>
      <c r="D247" s="9"/>
      <c r="E247" s="9"/>
      <c r="F247" s="9"/>
      <c r="G247" s="42"/>
      <c r="H247" s="43"/>
      <c r="I247" s="9"/>
      <c r="J247" s="9"/>
      <c r="K247" s="9"/>
    </row>
    <row r="248" spans="1:11" ht="13.5" customHeight="1" x14ac:dyDescent="0.25">
      <c r="A248" s="9"/>
      <c r="B248" s="9"/>
      <c r="C248" s="9"/>
      <c r="D248" s="9"/>
      <c r="E248" s="9"/>
      <c r="F248" s="9"/>
      <c r="G248" s="42"/>
      <c r="H248" s="43"/>
      <c r="I248" s="9"/>
      <c r="J248" s="9"/>
      <c r="K248" s="9"/>
    </row>
    <row r="249" spans="1:11" ht="13.5" customHeight="1" x14ac:dyDescent="0.25">
      <c r="A249" s="9"/>
      <c r="B249" s="9"/>
      <c r="C249" s="9"/>
      <c r="D249" s="9"/>
      <c r="E249" s="9"/>
      <c r="F249" s="9"/>
      <c r="G249" s="42"/>
      <c r="H249" s="43"/>
      <c r="I249" s="9"/>
      <c r="J249" s="9"/>
      <c r="K249" s="9"/>
    </row>
    <row r="250" spans="1:11" ht="13.5" customHeight="1" x14ac:dyDescent="0.25">
      <c r="A250" s="9"/>
      <c r="B250" s="9"/>
      <c r="C250" s="9"/>
      <c r="D250" s="9"/>
      <c r="E250" s="9"/>
      <c r="F250" s="9"/>
      <c r="G250" s="42"/>
      <c r="H250" s="43"/>
      <c r="I250" s="9"/>
      <c r="J250" s="9"/>
      <c r="K250" s="9"/>
    </row>
    <row r="251" spans="1:11" ht="13.5" customHeight="1" x14ac:dyDescent="0.25">
      <c r="A251" s="9"/>
      <c r="B251" s="9"/>
      <c r="C251" s="9"/>
      <c r="D251" s="9"/>
      <c r="E251" s="9"/>
      <c r="F251" s="9"/>
      <c r="G251" s="42"/>
      <c r="H251" s="43"/>
      <c r="I251" s="9"/>
      <c r="J251" s="9"/>
      <c r="K251" s="9"/>
    </row>
    <row r="252" spans="1:11" ht="13.5" customHeight="1" x14ac:dyDescent="0.25">
      <c r="A252" s="9"/>
      <c r="B252" s="9"/>
      <c r="C252" s="9"/>
      <c r="D252" s="9"/>
      <c r="E252" s="9"/>
      <c r="F252" s="9"/>
      <c r="G252" s="42"/>
      <c r="H252" s="43"/>
      <c r="I252" s="9"/>
      <c r="J252" s="9"/>
      <c r="K252" s="9"/>
    </row>
    <row r="253" spans="1:11" ht="13.5" customHeight="1" x14ac:dyDescent="0.25">
      <c r="A253" s="9"/>
      <c r="B253" s="9"/>
      <c r="C253" s="9"/>
      <c r="D253" s="9"/>
      <c r="E253" s="9"/>
      <c r="F253" s="9"/>
      <c r="G253" s="42"/>
      <c r="H253" s="43"/>
      <c r="I253" s="9"/>
      <c r="J253" s="9"/>
      <c r="K253" s="9"/>
    </row>
    <row r="254" spans="1:11" ht="13.5" customHeight="1" x14ac:dyDescent="0.25">
      <c r="A254" s="9"/>
      <c r="B254" s="9"/>
      <c r="C254" s="9"/>
      <c r="D254" s="9"/>
      <c r="E254" s="9"/>
      <c r="F254" s="9"/>
      <c r="G254" s="42"/>
      <c r="H254" s="43"/>
      <c r="I254" s="9"/>
      <c r="J254" s="9"/>
      <c r="K254" s="9"/>
    </row>
    <row r="255" spans="1:11" ht="13.5" customHeight="1" x14ac:dyDescent="0.25">
      <c r="A255" s="9"/>
      <c r="B255" s="9"/>
      <c r="C255" s="9"/>
      <c r="D255" s="9"/>
      <c r="E255" s="9"/>
      <c r="F255" s="9"/>
      <c r="G255" s="42"/>
      <c r="H255" s="43"/>
      <c r="I255" s="9"/>
      <c r="J255" s="9"/>
      <c r="K255" s="9"/>
    </row>
    <row r="256" spans="1:11" ht="13.5" customHeight="1" x14ac:dyDescent="0.25">
      <c r="A256" s="9"/>
      <c r="B256" s="9"/>
      <c r="C256" s="9"/>
      <c r="D256" s="9"/>
      <c r="E256" s="9"/>
      <c r="F256" s="9"/>
      <c r="G256" s="42"/>
      <c r="H256" s="43"/>
      <c r="I256" s="9"/>
      <c r="J256" s="9"/>
      <c r="K256" s="9"/>
    </row>
    <row r="257" spans="1:11" ht="13.5" customHeight="1" x14ac:dyDescent="0.25">
      <c r="A257" s="9"/>
      <c r="B257" s="9"/>
      <c r="C257" s="9"/>
      <c r="D257" s="9"/>
      <c r="E257" s="9"/>
      <c r="F257" s="9"/>
      <c r="G257" s="42"/>
      <c r="H257" s="43"/>
      <c r="I257" s="9"/>
      <c r="J257" s="9"/>
      <c r="K257" s="9"/>
    </row>
    <row r="258" spans="1:11" ht="13.5" customHeight="1" x14ac:dyDescent="0.25">
      <c r="A258" s="9"/>
      <c r="B258" s="9"/>
      <c r="C258" s="9"/>
      <c r="D258" s="9"/>
      <c r="E258" s="9"/>
      <c r="F258" s="9"/>
      <c r="G258" s="42"/>
      <c r="H258" s="43"/>
      <c r="I258" s="9"/>
      <c r="J258" s="9"/>
      <c r="K258" s="9"/>
    </row>
    <row r="259" spans="1:11" ht="13.5" customHeight="1" x14ac:dyDescent="0.25">
      <c r="A259" s="9"/>
      <c r="B259" s="9"/>
      <c r="C259" s="9"/>
      <c r="D259" s="9"/>
      <c r="E259" s="9"/>
      <c r="F259" s="9"/>
      <c r="G259" s="42"/>
      <c r="H259" s="43"/>
      <c r="I259" s="9"/>
      <c r="J259" s="9"/>
      <c r="K259" s="9"/>
    </row>
    <row r="260" spans="1:11" ht="13.5" customHeight="1" x14ac:dyDescent="0.25">
      <c r="A260" s="9"/>
      <c r="B260" s="9"/>
      <c r="C260" s="9"/>
      <c r="D260" s="9"/>
      <c r="E260" s="9"/>
      <c r="F260" s="9"/>
      <c r="G260" s="42"/>
      <c r="H260" s="43"/>
      <c r="I260" s="9"/>
      <c r="J260" s="9"/>
      <c r="K260" s="9"/>
    </row>
    <row r="261" spans="1:11" ht="13.5" customHeight="1" x14ac:dyDescent="0.25">
      <c r="A261" s="9"/>
      <c r="B261" s="9"/>
      <c r="C261" s="9"/>
      <c r="D261" s="9"/>
      <c r="E261" s="9"/>
      <c r="F261" s="9"/>
      <c r="G261" s="42"/>
      <c r="H261" s="43"/>
      <c r="I261" s="9"/>
      <c r="J261" s="9"/>
      <c r="K261" s="9"/>
    </row>
    <row r="262" spans="1:11" ht="13.5" customHeight="1" x14ac:dyDescent="0.25">
      <c r="A262" s="9"/>
      <c r="B262" s="9"/>
      <c r="C262" s="9"/>
      <c r="D262" s="9"/>
      <c r="E262" s="9"/>
      <c r="F262" s="9"/>
      <c r="G262" s="42"/>
      <c r="H262" s="43"/>
      <c r="I262" s="9"/>
      <c r="J262" s="9"/>
      <c r="K262" s="9"/>
    </row>
    <row r="263" spans="1:11" ht="13.5" customHeight="1" x14ac:dyDescent="0.25">
      <c r="A263" s="9"/>
      <c r="B263" s="9"/>
      <c r="C263" s="9"/>
      <c r="D263" s="9"/>
      <c r="E263" s="9"/>
      <c r="F263" s="9"/>
      <c r="G263" s="42"/>
      <c r="H263" s="43"/>
      <c r="I263" s="9"/>
      <c r="J263" s="9"/>
      <c r="K263" s="9"/>
    </row>
    <row r="264" spans="1:11" ht="13.5" customHeight="1" x14ac:dyDescent="0.25">
      <c r="A264" s="9"/>
      <c r="B264" s="9"/>
      <c r="C264" s="9"/>
      <c r="D264" s="9"/>
      <c r="E264" s="9"/>
      <c r="F264" s="9"/>
      <c r="G264" s="42"/>
      <c r="H264" s="43"/>
      <c r="I264" s="9"/>
      <c r="J264" s="9"/>
      <c r="K264" s="9"/>
    </row>
    <row r="265" spans="1:11" ht="13.5" customHeight="1" x14ac:dyDescent="0.25">
      <c r="A265" s="9"/>
      <c r="B265" s="9"/>
      <c r="C265" s="9"/>
      <c r="D265" s="9"/>
      <c r="E265" s="9"/>
      <c r="F265" s="9"/>
      <c r="G265" s="42"/>
      <c r="H265" s="43"/>
      <c r="I265" s="9"/>
      <c r="J265" s="9"/>
      <c r="K265" s="9"/>
    </row>
    <row r="266" spans="1:11" ht="13.5" customHeight="1" x14ac:dyDescent="0.25">
      <c r="A266" s="9"/>
      <c r="B266" s="9"/>
      <c r="C266" s="9"/>
      <c r="D266" s="9"/>
      <c r="E266" s="9"/>
      <c r="F266" s="9"/>
      <c r="G266" s="42"/>
      <c r="H266" s="43"/>
      <c r="I266" s="9"/>
      <c r="J266" s="9"/>
      <c r="K266" s="9"/>
    </row>
    <row r="267" spans="1:11" ht="13.5" customHeight="1" x14ac:dyDescent="0.25">
      <c r="A267" s="9"/>
      <c r="B267" s="9"/>
      <c r="C267" s="9"/>
      <c r="D267" s="9"/>
      <c r="E267" s="9"/>
      <c r="F267" s="9"/>
      <c r="G267" s="42"/>
      <c r="H267" s="43"/>
      <c r="I267" s="9"/>
      <c r="J267" s="9"/>
      <c r="K267" s="9"/>
    </row>
    <row r="268" spans="1:11" ht="13.5" customHeight="1" x14ac:dyDescent="0.25">
      <c r="A268" s="9"/>
      <c r="B268" s="9"/>
      <c r="C268" s="9"/>
      <c r="D268" s="9"/>
      <c r="E268" s="9"/>
      <c r="F268" s="9"/>
      <c r="G268" s="42"/>
      <c r="H268" s="43"/>
      <c r="I268" s="9"/>
      <c r="J268" s="9"/>
      <c r="K268" s="9"/>
    </row>
    <row r="269" spans="1:11" ht="13.5" customHeight="1" x14ac:dyDescent="0.25">
      <c r="A269" s="9"/>
      <c r="B269" s="9"/>
      <c r="C269" s="9"/>
      <c r="D269" s="9"/>
      <c r="E269" s="9"/>
      <c r="F269" s="9"/>
      <c r="G269" s="42"/>
      <c r="H269" s="43"/>
      <c r="I269" s="9"/>
      <c r="J269" s="9"/>
      <c r="K269" s="9"/>
    </row>
    <row r="270" spans="1:11" ht="13.5" customHeight="1" x14ac:dyDescent="0.25">
      <c r="A270" s="9"/>
      <c r="B270" s="9"/>
      <c r="C270" s="9"/>
      <c r="D270" s="9"/>
      <c r="E270" s="9"/>
      <c r="F270" s="9"/>
      <c r="G270" s="42"/>
      <c r="H270" s="43"/>
      <c r="I270" s="9"/>
      <c r="J270" s="9"/>
      <c r="K270" s="9"/>
    </row>
    <row r="271" spans="1:11" ht="13.5" customHeight="1" x14ac:dyDescent="0.25">
      <c r="A271" s="9"/>
      <c r="B271" s="9"/>
      <c r="C271" s="9"/>
      <c r="D271" s="9"/>
      <c r="E271" s="9"/>
      <c r="F271" s="9"/>
      <c r="G271" s="42"/>
      <c r="H271" s="43"/>
      <c r="I271" s="9"/>
      <c r="J271" s="9"/>
      <c r="K271" s="9"/>
    </row>
    <row r="272" spans="1:11" ht="13.5" customHeight="1" x14ac:dyDescent="0.25">
      <c r="A272" s="9"/>
      <c r="B272" s="9"/>
      <c r="C272" s="9"/>
      <c r="D272" s="9"/>
      <c r="E272" s="9"/>
      <c r="F272" s="9"/>
      <c r="G272" s="42"/>
      <c r="H272" s="43"/>
      <c r="I272" s="9"/>
      <c r="J272" s="9"/>
      <c r="K272" s="9"/>
    </row>
    <row r="273" spans="1:11" ht="13.5" customHeight="1" x14ac:dyDescent="0.25">
      <c r="A273" s="9"/>
      <c r="B273" s="9"/>
      <c r="C273" s="9"/>
      <c r="D273" s="9"/>
      <c r="E273" s="9"/>
      <c r="F273" s="9"/>
      <c r="G273" s="42"/>
      <c r="H273" s="43"/>
      <c r="I273" s="9"/>
      <c r="J273" s="9"/>
      <c r="K273" s="9"/>
    </row>
    <row r="274" spans="1:11" ht="13.5" customHeight="1" x14ac:dyDescent="0.25">
      <c r="A274" s="9"/>
      <c r="B274" s="9"/>
      <c r="C274" s="9"/>
      <c r="D274" s="9"/>
      <c r="E274" s="9"/>
      <c r="F274" s="9"/>
      <c r="G274" s="42"/>
      <c r="H274" s="43"/>
      <c r="I274" s="9"/>
      <c r="J274" s="9"/>
      <c r="K274" s="9"/>
    </row>
    <row r="275" spans="1:11" ht="13.5" customHeight="1" x14ac:dyDescent="0.25">
      <c r="A275" s="9"/>
      <c r="B275" s="9"/>
      <c r="C275" s="9"/>
      <c r="D275" s="9"/>
      <c r="E275" s="9"/>
      <c r="F275" s="9"/>
      <c r="G275" s="42"/>
      <c r="H275" s="43"/>
      <c r="I275" s="9"/>
      <c r="J275" s="9"/>
      <c r="K275" s="9"/>
    </row>
    <row r="276" spans="1:11" ht="13.5" customHeight="1" x14ac:dyDescent="0.25">
      <c r="A276" s="9"/>
      <c r="B276" s="9"/>
      <c r="C276" s="9"/>
      <c r="D276" s="9"/>
      <c r="E276" s="9"/>
      <c r="F276" s="9"/>
      <c r="G276" s="42"/>
      <c r="H276" s="43"/>
      <c r="I276" s="9"/>
      <c r="J276" s="9"/>
      <c r="K276" s="9"/>
    </row>
    <row r="277" spans="1:11" ht="13.5" customHeight="1" x14ac:dyDescent="0.25">
      <c r="A277" s="9"/>
      <c r="B277" s="9"/>
      <c r="C277" s="9"/>
      <c r="D277" s="9"/>
      <c r="E277" s="9"/>
      <c r="F277" s="9"/>
      <c r="G277" s="42"/>
      <c r="H277" s="43"/>
      <c r="I277" s="9"/>
      <c r="J277" s="9"/>
      <c r="K277" s="9"/>
    </row>
    <row r="278" spans="1:11" ht="13.5" customHeight="1" x14ac:dyDescent="0.25">
      <c r="A278" s="9"/>
      <c r="B278" s="9"/>
      <c r="C278" s="9"/>
      <c r="D278" s="9"/>
      <c r="E278" s="9"/>
      <c r="F278" s="9"/>
      <c r="G278" s="42"/>
      <c r="H278" s="43"/>
      <c r="I278" s="9"/>
      <c r="J278" s="9"/>
      <c r="K278" s="9"/>
    </row>
    <row r="279" spans="1:11" ht="13.5" customHeight="1" x14ac:dyDescent="0.25">
      <c r="A279" s="9"/>
      <c r="B279" s="9"/>
      <c r="C279" s="9"/>
      <c r="D279" s="9"/>
      <c r="E279" s="9"/>
      <c r="F279" s="9"/>
      <c r="G279" s="42"/>
      <c r="H279" s="43"/>
      <c r="I279" s="9"/>
      <c r="J279" s="9"/>
      <c r="K279" s="9"/>
    </row>
    <row r="280" spans="1:11" ht="13.5" customHeight="1" x14ac:dyDescent="0.25">
      <c r="A280" s="9"/>
      <c r="B280" s="9"/>
      <c r="C280" s="9"/>
      <c r="D280" s="9"/>
      <c r="E280" s="9"/>
      <c r="F280" s="9"/>
      <c r="G280" s="42"/>
      <c r="H280" s="43"/>
      <c r="I280" s="9"/>
      <c r="J280" s="9"/>
      <c r="K280" s="9"/>
    </row>
    <row r="281" spans="1:11" ht="13.5" customHeight="1" x14ac:dyDescent="0.25">
      <c r="A281" s="9"/>
      <c r="B281" s="9"/>
      <c r="C281" s="9"/>
      <c r="D281" s="9"/>
      <c r="E281" s="9"/>
      <c r="F281" s="9"/>
      <c r="G281" s="42"/>
      <c r="H281" s="43"/>
      <c r="I281" s="9"/>
      <c r="J281" s="9"/>
      <c r="K281" s="9"/>
    </row>
    <row r="282" spans="1:11" ht="13.5" customHeight="1" x14ac:dyDescent="0.25">
      <c r="A282" s="9"/>
      <c r="B282" s="9"/>
      <c r="C282" s="9"/>
      <c r="D282" s="9"/>
      <c r="E282" s="9"/>
      <c r="F282" s="9"/>
      <c r="G282" s="42"/>
      <c r="H282" s="43"/>
      <c r="I282" s="9"/>
      <c r="J282" s="9"/>
      <c r="K282" s="9"/>
    </row>
    <row r="283" spans="1:11" ht="13.5" customHeight="1" x14ac:dyDescent="0.25">
      <c r="A283" s="9"/>
      <c r="B283" s="9"/>
      <c r="C283" s="9"/>
      <c r="D283" s="9"/>
      <c r="E283" s="9"/>
      <c r="F283" s="9"/>
      <c r="G283" s="42"/>
      <c r="H283" s="43"/>
      <c r="I283" s="9"/>
      <c r="J283" s="9"/>
      <c r="K283" s="9"/>
    </row>
    <row r="284" spans="1:11" ht="13.5" customHeight="1" x14ac:dyDescent="0.25">
      <c r="A284" s="9"/>
      <c r="B284" s="9"/>
      <c r="C284" s="9"/>
      <c r="D284" s="9"/>
      <c r="E284" s="9"/>
      <c r="F284" s="9"/>
      <c r="G284" s="42"/>
      <c r="H284" s="43"/>
      <c r="I284" s="9"/>
      <c r="J284" s="9"/>
      <c r="K284" s="9"/>
    </row>
    <row r="285" spans="1:11" ht="13.5" customHeight="1" x14ac:dyDescent="0.25">
      <c r="A285" s="9"/>
      <c r="B285" s="9"/>
      <c r="C285" s="9"/>
      <c r="D285" s="9"/>
      <c r="E285" s="9"/>
      <c r="F285" s="9"/>
      <c r="G285" s="42"/>
      <c r="H285" s="43"/>
      <c r="I285" s="9"/>
      <c r="J285" s="9"/>
      <c r="K285" s="9"/>
    </row>
    <row r="286" spans="1:11" ht="13.5" customHeight="1" x14ac:dyDescent="0.25">
      <c r="A286" s="9"/>
      <c r="B286" s="9"/>
      <c r="C286" s="9"/>
      <c r="D286" s="9"/>
      <c r="E286" s="9"/>
      <c r="F286" s="9"/>
      <c r="G286" s="42"/>
      <c r="H286" s="43"/>
      <c r="I286" s="9"/>
      <c r="J286" s="9"/>
      <c r="K286" s="9"/>
    </row>
    <row r="287" spans="1:11" ht="13.5" customHeight="1" x14ac:dyDescent="0.25">
      <c r="A287" s="9"/>
      <c r="B287" s="9"/>
      <c r="C287" s="9"/>
      <c r="D287" s="9"/>
      <c r="E287" s="9"/>
      <c r="F287" s="9"/>
      <c r="G287" s="42"/>
      <c r="H287" s="43"/>
      <c r="I287" s="9"/>
      <c r="J287" s="9"/>
      <c r="K287" s="9"/>
    </row>
    <row r="288" spans="1:11" ht="13.5" customHeight="1" x14ac:dyDescent="0.25">
      <c r="A288" s="9"/>
      <c r="B288" s="9"/>
      <c r="C288" s="9"/>
      <c r="D288" s="9"/>
      <c r="E288" s="9"/>
      <c r="F288" s="9"/>
      <c r="G288" s="42"/>
      <c r="H288" s="43"/>
      <c r="I288" s="9"/>
      <c r="J288" s="9"/>
      <c r="K288" s="9"/>
    </row>
    <row r="289" spans="1:11" ht="13.5" customHeight="1" x14ac:dyDescent="0.25">
      <c r="A289" s="9"/>
      <c r="B289" s="9"/>
      <c r="C289" s="9"/>
      <c r="D289" s="9"/>
      <c r="E289" s="9"/>
      <c r="F289" s="9"/>
      <c r="G289" s="42"/>
      <c r="H289" s="43"/>
      <c r="I289" s="9"/>
      <c r="J289" s="9"/>
      <c r="K289" s="9"/>
    </row>
    <row r="290" spans="1:11" ht="13.5" customHeight="1" x14ac:dyDescent="0.25">
      <c r="A290" s="9"/>
      <c r="B290" s="9"/>
      <c r="C290" s="9"/>
      <c r="D290" s="9"/>
      <c r="E290" s="9"/>
      <c r="F290" s="9"/>
      <c r="G290" s="42"/>
      <c r="H290" s="43"/>
      <c r="I290" s="9"/>
      <c r="J290" s="9"/>
      <c r="K290" s="9"/>
    </row>
    <row r="291" spans="1:11" ht="13.5" customHeight="1" x14ac:dyDescent="0.25">
      <c r="A291" s="9"/>
      <c r="B291" s="9"/>
      <c r="C291" s="9"/>
      <c r="D291" s="9"/>
      <c r="E291" s="9"/>
      <c r="F291" s="9"/>
      <c r="G291" s="42"/>
      <c r="H291" s="43"/>
      <c r="I291" s="9"/>
      <c r="J291" s="9"/>
      <c r="K291" s="9"/>
    </row>
    <row r="292" spans="1:11" ht="13.5" customHeight="1" x14ac:dyDescent="0.25">
      <c r="A292" s="9"/>
      <c r="B292" s="9"/>
      <c r="C292" s="9"/>
      <c r="D292" s="9"/>
      <c r="E292" s="9"/>
      <c r="F292" s="9"/>
      <c r="G292" s="42"/>
      <c r="H292" s="43"/>
      <c r="I292" s="9"/>
      <c r="J292" s="9"/>
      <c r="K292" s="9"/>
    </row>
    <row r="293" spans="1:11" ht="13.5" customHeight="1" x14ac:dyDescent="0.25">
      <c r="A293" s="9"/>
      <c r="B293" s="9"/>
      <c r="C293" s="9"/>
      <c r="D293" s="9"/>
      <c r="E293" s="9"/>
      <c r="F293" s="9"/>
      <c r="G293" s="42"/>
      <c r="H293" s="43"/>
      <c r="I293" s="9"/>
      <c r="J293" s="9"/>
      <c r="K293" s="9"/>
    </row>
    <row r="294" spans="1:11" ht="13.5" customHeight="1" x14ac:dyDescent="0.25">
      <c r="A294" s="9"/>
      <c r="B294" s="9"/>
      <c r="C294" s="9"/>
      <c r="D294" s="9"/>
      <c r="E294" s="9"/>
      <c r="F294" s="9"/>
      <c r="G294" s="42"/>
      <c r="H294" s="43"/>
      <c r="I294" s="9"/>
      <c r="J294" s="9"/>
      <c r="K294" s="9"/>
    </row>
    <row r="295" spans="1:11" ht="13.5" customHeight="1" x14ac:dyDescent="0.25">
      <c r="A295" s="9"/>
      <c r="B295" s="9"/>
      <c r="C295" s="9"/>
      <c r="D295" s="9"/>
      <c r="E295" s="9"/>
      <c r="F295" s="9"/>
      <c r="G295" s="42"/>
      <c r="H295" s="43"/>
      <c r="I295" s="9"/>
      <c r="J295" s="9"/>
      <c r="K295" s="9"/>
    </row>
    <row r="296" spans="1:11" ht="13.5" customHeight="1" x14ac:dyDescent="0.25">
      <c r="A296" s="9"/>
      <c r="B296" s="9"/>
      <c r="C296" s="9"/>
      <c r="D296" s="9"/>
      <c r="E296" s="9"/>
      <c r="F296" s="9"/>
      <c r="G296" s="42"/>
      <c r="H296" s="43"/>
      <c r="I296" s="9"/>
      <c r="J296" s="9"/>
      <c r="K296" s="9"/>
    </row>
    <row r="297" spans="1:11" ht="13.5" customHeight="1" x14ac:dyDescent="0.25">
      <c r="A297" s="9"/>
      <c r="B297" s="9"/>
      <c r="C297" s="9"/>
      <c r="D297" s="9"/>
      <c r="E297" s="9"/>
      <c r="F297" s="9"/>
      <c r="G297" s="42"/>
      <c r="H297" s="43"/>
      <c r="I297" s="9"/>
      <c r="J297" s="9"/>
      <c r="K297" s="9"/>
    </row>
    <row r="298" spans="1:11" ht="13.5" customHeight="1" x14ac:dyDescent="0.25">
      <c r="A298" s="9"/>
      <c r="B298" s="9"/>
      <c r="C298" s="9"/>
      <c r="D298" s="9"/>
      <c r="E298" s="9"/>
      <c r="F298" s="9"/>
      <c r="G298" s="42"/>
      <c r="H298" s="43"/>
      <c r="I298" s="9"/>
      <c r="J298" s="9"/>
      <c r="K298" s="9"/>
    </row>
    <row r="299" spans="1:11" ht="13.5" customHeight="1" x14ac:dyDescent="0.25">
      <c r="A299" s="9"/>
      <c r="B299" s="9"/>
      <c r="C299" s="9"/>
      <c r="D299" s="9"/>
      <c r="E299" s="9"/>
      <c r="F299" s="9"/>
      <c r="G299" s="42"/>
      <c r="H299" s="43"/>
      <c r="I299" s="9"/>
      <c r="J299" s="9"/>
      <c r="K299" s="9"/>
    </row>
    <row r="300" spans="1:11" ht="13.5" customHeight="1" x14ac:dyDescent="0.25">
      <c r="A300" s="9"/>
      <c r="B300" s="9"/>
      <c r="C300" s="9"/>
      <c r="D300" s="9"/>
      <c r="E300" s="9"/>
      <c r="F300" s="9"/>
      <c r="G300" s="42"/>
      <c r="H300" s="43"/>
      <c r="I300" s="9"/>
      <c r="J300" s="9"/>
      <c r="K300" s="9"/>
    </row>
    <row r="301" spans="1:11" ht="13.5" customHeight="1" x14ac:dyDescent="0.25">
      <c r="A301" s="9"/>
      <c r="B301" s="9"/>
      <c r="C301" s="9"/>
      <c r="D301" s="9"/>
      <c r="E301" s="9"/>
      <c r="F301" s="9"/>
      <c r="G301" s="42"/>
      <c r="H301" s="43"/>
      <c r="I301" s="9"/>
      <c r="J301" s="9"/>
      <c r="K301" s="9"/>
    </row>
    <row r="302" spans="1:11" ht="13.5" customHeight="1" x14ac:dyDescent="0.25">
      <c r="A302" s="9"/>
      <c r="B302" s="9"/>
      <c r="C302" s="9"/>
      <c r="D302" s="9"/>
      <c r="E302" s="9"/>
      <c r="F302" s="9"/>
      <c r="G302" s="42"/>
      <c r="H302" s="43"/>
      <c r="I302" s="9"/>
      <c r="J302" s="9"/>
      <c r="K302" s="9"/>
    </row>
    <row r="303" spans="1:11" ht="13.5" customHeight="1" x14ac:dyDescent="0.25">
      <c r="A303" s="9"/>
      <c r="B303" s="9"/>
      <c r="C303" s="9"/>
      <c r="D303" s="9"/>
      <c r="E303" s="9"/>
      <c r="F303" s="9"/>
      <c r="G303" s="42"/>
      <c r="H303" s="43"/>
      <c r="I303" s="9"/>
      <c r="J303" s="9"/>
      <c r="K303" s="9"/>
    </row>
    <row r="304" spans="1:11" ht="13.5" customHeight="1" x14ac:dyDescent="0.25">
      <c r="A304" s="9"/>
      <c r="B304" s="9"/>
      <c r="C304" s="9"/>
      <c r="D304" s="9"/>
      <c r="E304" s="9"/>
      <c r="F304" s="9"/>
      <c r="G304" s="42"/>
      <c r="H304" s="43"/>
      <c r="I304" s="9"/>
      <c r="J304" s="9"/>
      <c r="K304" s="9"/>
    </row>
    <row r="305" spans="1:11" ht="13.5" customHeight="1" x14ac:dyDescent="0.25">
      <c r="A305" s="9"/>
      <c r="B305" s="9"/>
      <c r="C305" s="9"/>
      <c r="D305" s="9"/>
      <c r="E305" s="9"/>
      <c r="F305" s="9"/>
      <c r="G305" s="42"/>
      <c r="H305" s="43"/>
      <c r="I305" s="9"/>
      <c r="J305" s="9"/>
      <c r="K305" s="9"/>
    </row>
    <row r="306" spans="1:11" ht="13.5" customHeight="1" x14ac:dyDescent="0.25">
      <c r="A306" s="9"/>
      <c r="B306" s="9"/>
      <c r="C306" s="9"/>
      <c r="D306" s="9"/>
      <c r="E306" s="9"/>
      <c r="F306" s="9"/>
      <c r="G306" s="42"/>
      <c r="H306" s="43"/>
      <c r="I306" s="9"/>
      <c r="J306" s="9"/>
      <c r="K306" s="9"/>
    </row>
    <row r="307" spans="1:11" ht="13.5" customHeight="1" x14ac:dyDescent="0.25">
      <c r="A307" s="9"/>
      <c r="B307" s="9"/>
      <c r="C307" s="9"/>
      <c r="D307" s="9"/>
      <c r="E307" s="9"/>
      <c r="F307" s="9"/>
      <c r="G307" s="42"/>
      <c r="H307" s="43"/>
      <c r="I307" s="9"/>
      <c r="J307" s="9"/>
      <c r="K307" s="9"/>
    </row>
    <row r="308" spans="1:11" ht="13.5" customHeight="1" x14ac:dyDescent="0.25">
      <c r="A308" s="9"/>
      <c r="B308" s="9"/>
      <c r="C308" s="9"/>
      <c r="D308" s="9"/>
      <c r="E308" s="9"/>
      <c r="F308" s="9"/>
      <c r="G308" s="42"/>
      <c r="H308" s="43"/>
      <c r="I308" s="9"/>
      <c r="J308" s="9"/>
      <c r="K308" s="9"/>
    </row>
    <row r="309" spans="1:11" ht="13.5" customHeight="1" x14ac:dyDescent="0.25">
      <c r="A309" s="9"/>
      <c r="B309" s="9"/>
      <c r="C309" s="9"/>
      <c r="D309" s="9"/>
      <c r="E309" s="9"/>
      <c r="F309" s="9"/>
      <c r="G309" s="42"/>
      <c r="H309" s="43"/>
      <c r="I309" s="9"/>
      <c r="J309" s="9"/>
      <c r="K309" s="9"/>
    </row>
    <row r="310" spans="1:11" ht="13.5" customHeight="1" x14ac:dyDescent="0.25">
      <c r="A310" s="9"/>
      <c r="B310" s="9"/>
      <c r="C310" s="9"/>
      <c r="D310" s="9"/>
      <c r="E310" s="9"/>
      <c r="F310" s="9"/>
      <c r="G310" s="42"/>
      <c r="H310" s="43"/>
      <c r="I310" s="9"/>
      <c r="J310" s="9"/>
      <c r="K310" s="9"/>
    </row>
    <row r="311" spans="1:11" ht="13.5" customHeight="1" x14ac:dyDescent="0.25">
      <c r="A311" s="9"/>
      <c r="B311" s="9"/>
      <c r="C311" s="9"/>
      <c r="D311" s="9"/>
      <c r="E311" s="9"/>
      <c r="F311" s="9"/>
      <c r="G311" s="42"/>
      <c r="H311" s="43"/>
      <c r="I311" s="9"/>
      <c r="J311" s="9"/>
      <c r="K311" s="9"/>
    </row>
    <row r="312" spans="1:11" ht="13.5" customHeight="1" x14ac:dyDescent="0.25">
      <c r="A312" s="9"/>
      <c r="B312" s="9"/>
      <c r="C312" s="9"/>
      <c r="D312" s="9"/>
      <c r="E312" s="9"/>
      <c r="F312" s="9"/>
      <c r="G312" s="42"/>
      <c r="H312" s="43"/>
      <c r="I312" s="9"/>
      <c r="J312" s="9"/>
      <c r="K312" s="9"/>
    </row>
    <row r="313" spans="1:11" ht="13.5" customHeight="1" x14ac:dyDescent="0.25">
      <c r="A313" s="9"/>
      <c r="B313" s="9"/>
      <c r="C313" s="9"/>
      <c r="D313" s="9"/>
      <c r="E313" s="9"/>
      <c r="F313" s="9"/>
      <c r="G313" s="42"/>
      <c r="H313" s="43"/>
      <c r="I313" s="9"/>
      <c r="J313" s="9"/>
      <c r="K313" s="9"/>
    </row>
    <row r="314" spans="1:11" ht="13.5" customHeight="1" x14ac:dyDescent="0.25">
      <c r="A314" s="9"/>
      <c r="B314" s="9"/>
      <c r="C314" s="9"/>
      <c r="D314" s="9"/>
      <c r="E314" s="9"/>
      <c r="F314" s="9"/>
      <c r="G314" s="42"/>
      <c r="H314" s="43"/>
      <c r="I314" s="9"/>
      <c r="J314" s="9"/>
      <c r="K314" s="9"/>
    </row>
    <row r="315" spans="1:11" ht="13.5" customHeight="1" x14ac:dyDescent="0.25">
      <c r="A315" s="9"/>
      <c r="B315" s="9"/>
      <c r="C315" s="9"/>
      <c r="D315" s="9"/>
      <c r="E315" s="9"/>
      <c r="F315" s="9"/>
      <c r="G315" s="42"/>
      <c r="H315" s="43"/>
      <c r="I315" s="9"/>
      <c r="J315" s="9"/>
      <c r="K315" s="9"/>
    </row>
    <row r="316" spans="1:11" ht="13.5" customHeight="1" x14ac:dyDescent="0.25">
      <c r="A316" s="9"/>
      <c r="B316" s="9"/>
      <c r="C316" s="9"/>
      <c r="D316" s="9"/>
      <c r="E316" s="9"/>
      <c r="F316" s="9"/>
      <c r="G316" s="42"/>
      <c r="H316" s="43"/>
      <c r="I316" s="9"/>
      <c r="J316" s="9"/>
      <c r="K316" s="9"/>
    </row>
    <row r="317" spans="1:11" ht="13.5" customHeight="1" x14ac:dyDescent="0.25">
      <c r="A317" s="9"/>
      <c r="B317" s="9"/>
      <c r="C317" s="9"/>
      <c r="D317" s="9"/>
      <c r="E317" s="9"/>
      <c r="F317" s="9"/>
      <c r="G317" s="42"/>
      <c r="H317" s="43"/>
      <c r="I317" s="9"/>
      <c r="J317" s="9"/>
      <c r="K317" s="9"/>
    </row>
    <row r="318" spans="1:11" ht="13.5" customHeight="1" x14ac:dyDescent="0.25">
      <c r="A318" s="9"/>
      <c r="B318" s="9"/>
      <c r="C318" s="9"/>
      <c r="D318" s="9"/>
      <c r="E318" s="9"/>
      <c r="F318" s="9"/>
      <c r="G318" s="42"/>
      <c r="H318" s="43"/>
      <c r="I318" s="9"/>
      <c r="J318" s="9"/>
      <c r="K318" s="9"/>
    </row>
    <row r="319" spans="1:11" ht="13.5" customHeight="1" x14ac:dyDescent="0.25">
      <c r="A319" s="9"/>
      <c r="B319" s="9"/>
      <c r="C319" s="9"/>
      <c r="D319" s="9"/>
      <c r="E319" s="9"/>
      <c r="F319" s="9"/>
      <c r="G319" s="42"/>
      <c r="H319" s="43"/>
      <c r="I319" s="9"/>
      <c r="J319" s="9"/>
      <c r="K319" s="9"/>
    </row>
    <row r="320" spans="1:11" ht="13.5" customHeight="1" x14ac:dyDescent="0.25">
      <c r="A320" s="9"/>
      <c r="B320" s="9"/>
      <c r="C320" s="9"/>
      <c r="D320" s="9"/>
      <c r="E320" s="9"/>
      <c r="F320" s="9"/>
      <c r="G320" s="42"/>
      <c r="H320" s="43"/>
      <c r="I320" s="9"/>
      <c r="J320" s="9"/>
      <c r="K320" s="9"/>
    </row>
    <row r="321" spans="1:11" ht="13.5" customHeight="1" x14ac:dyDescent="0.25">
      <c r="A321" s="9"/>
      <c r="B321" s="9"/>
      <c r="C321" s="9"/>
      <c r="D321" s="9"/>
      <c r="E321" s="9"/>
      <c r="F321" s="9"/>
      <c r="G321" s="42"/>
      <c r="H321" s="43"/>
      <c r="I321" s="9"/>
      <c r="J321" s="9"/>
      <c r="K321" s="9"/>
    </row>
    <row r="322" spans="1:11" ht="13.5" customHeight="1" x14ac:dyDescent="0.25">
      <c r="A322" s="9"/>
      <c r="B322" s="9"/>
      <c r="C322" s="9"/>
      <c r="D322" s="9"/>
      <c r="E322" s="9"/>
      <c r="F322" s="9"/>
      <c r="G322" s="42"/>
      <c r="H322" s="43"/>
      <c r="I322" s="9"/>
      <c r="J322" s="9"/>
      <c r="K322" s="9"/>
    </row>
    <row r="323" spans="1:11" ht="13.5" customHeight="1" x14ac:dyDescent="0.25">
      <c r="A323" s="9"/>
      <c r="B323" s="9"/>
      <c r="C323" s="9"/>
      <c r="D323" s="9"/>
      <c r="E323" s="9"/>
      <c r="F323" s="9"/>
      <c r="G323" s="42"/>
      <c r="H323" s="43"/>
      <c r="I323" s="9"/>
      <c r="J323" s="9"/>
      <c r="K323" s="9"/>
    </row>
    <row r="324" spans="1:11" ht="13.5" customHeight="1" x14ac:dyDescent="0.25">
      <c r="A324" s="9"/>
      <c r="B324" s="9"/>
      <c r="C324" s="9"/>
      <c r="D324" s="9"/>
      <c r="E324" s="9"/>
      <c r="F324" s="9"/>
      <c r="G324" s="42"/>
      <c r="H324" s="43"/>
      <c r="I324" s="9"/>
      <c r="J324" s="9"/>
      <c r="K324" s="9"/>
    </row>
    <row r="325" spans="1:11" ht="13.5" customHeight="1" x14ac:dyDescent="0.25">
      <c r="A325" s="9"/>
      <c r="B325" s="9"/>
      <c r="C325" s="9"/>
      <c r="D325" s="9"/>
      <c r="E325" s="9"/>
      <c r="F325" s="9"/>
      <c r="G325" s="42"/>
      <c r="H325" s="43"/>
      <c r="I325" s="9"/>
      <c r="J325" s="9"/>
      <c r="K325" s="9"/>
    </row>
    <row r="326" spans="1:11" ht="13.5" customHeight="1" x14ac:dyDescent="0.25">
      <c r="A326" s="9"/>
      <c r="B326" s="9"/>
      <c r="C326" s="9"/>
      <c r="D326" s="9"/>
      <c r="E326" s="9"/>
      <c r="F326" s="9"/>
      <c r="G326" s="42"/>
      <c r="H326" s="43"/>
      <c r="I326" s="9"/>
      <c r="J326" s="9"/>
      <c r="K326" s="9"/>
    </row>
    <row r="327" spans="1:11" ht="13.5" customHeight="1" x14ac:dyDescent="0.25">
      <c r="A327" s="9"/>
      <c r="B327" s="9"/>
      <c r="C327" s="9"/>
      <c r="D327" s="9"/>
      <c r="E327" s="9"/>
      <c r="F327" s="9"/>
      <c r="G327" s="42"/>
      <c r="H327" s="43"/>
      <c r="I327" s="9"/>
      <c r="J327" s="9"/>
      <c r="K327" s="9"/>
    </row>
    <row r="328" spans="1:11" ht="13.5" customHeight="1" x14ac:dyDescent="0.25">
      <c r="A328" s="9"/>
      <c r="B328" s="9"/>
      <c r="C328" s="9"/>
      <c r="D328" s="9"/>
      <c r="E328" s="9"/>
      <c r="F328" s="9"/>
      <c r="G328" s="42"/>
      <c r="H328" s="43"/>
      <c r="I328" s="9"/>
      <c r="J328" s="9"/>
      <c r="K328" s="9"/>
    </row>
    <row r="329" spans="1:11" ht="13.5" customHeight="1" x14ac:dyDescent="0.25">
      <c r="A329" s="9"/>
      <c r="B329" s="9"/>
      <c r="C329" s="9"/>
      <c r="D329" s="9"/>
      <c r="E329" s="9"/>
      <c r="F329" s="9"/>
      <c r="G329" s="42"/>
      <c r="H329" s="43"/>
      <c r="I329" s="9"/>
      <c r="J329" s="9"/>
      <c r="K329" s="9"/>
    </row>
    <row r="330" spans="1:11" ht="13.5" customHeight="1" x14ac:dyDescent="0.25">
      <c r="A330" s="9"/>
      <c r="B330" s="9"/>
      <c r="C330" s="9"/>
      <c r="D330" s="9"/>
      <c r="E330" s="9"/>
      <c r="F330" s="9"/>
      <c r="G330" s="42"/>
      <c r="H330" s="43"/>
      <c r="I330" s="9"/>
      <c r="J330" s="9"/>
      <c r="K330" s="9"/>
    </row>
    <row r="331" spans="1:11" ht="13.5" customHeight="1" x14ac:dyDescent="0.25">
      <c r="A331" s="9"/>
      <c r="B331" s="9"/>
      <c r="C331" s="9"/>
      <c r="D331" s="9"/>
      <c r="E331" s="9"/>
      <c r="F331" s="9"/>
      <c r="G331" s="42"/>
      <c r="H331" s="43"/>
      <c r="I331" s="9"/>
      <c r="J331" s="9"/>
      <c r="K331" s="9"/>
    </row>
    <row r="332" spans="1:11" ht="13.5" customHeight="1" x14ac:dyDescent="0.25">
      <c r="A332" s="9"/>
      <c r="B332" s="9"/>
      <c r="C332" s="9"/>
      <c r="D332" s="9"/>
      <c r="E332" s="9"/>
      <c r="F332" s="9"/>
      <c r="G332" s="42"/>
      <c r="H332" s="43"/>
      <c r="I332" s="9"/>
      <c r="J332" s="9"/>
      <c r="K332" s="9"/>
    </row>
    <row r="333" spans="1:11" ht="13.5" customHeight="1" x14ac:dyDescent="0.25">
      <c r="A333" s="9"/>
      <c r="B333" s="9"/>
      <c r="C333" s="9"/>
      <c r="D333" s="9"/>
      <c r="E333" s="9"/>
      <c r="F333" s="9"/>
      <c r="G333" s="42"/>
      <c r="H333" s="43"/>
      <c r="I333" s="9"/>
      <c r="J333" s="9"/>
      <c r="K333" s="9"/>
    </row>
    <row r="334" spans="1:11" ht="13.5" customHeight="1" x14ac:dyDescent="0.25">
      <c r="A334" s="9"/>
      <c r="B334" s="9"/>
      <c r="C334" s="9"/>
      <c r="D334" s="9"/>
      <c r="E334" s="9"/>
      <c r="F334" s="9"/>
      <c r="G334" s="42"/>
      <c r="H334" s="43"/>
      <c r="I334" s="9"/>
      <c r="J334" s="9"/>
      <c r="K334" s="9"/>
    </row>
    <row r="335" spans="1:11" ht="13.5" customHeight="1" x14ac:dyDescent="0.25">
      <c r="A335" s="9"/>
      <c r="B335" s="9"/>
      <c r="C335" s="9"/>
      <c r="D335" s="9"/>
      <c r="E335" s="9"/>
      <c r="F335" s="9"/>
      <c r="G335" s="42"/>
      <c r="H335" s="43"/>
      <c r="I335" s="9"/>
      <c r="J335" s="9"/>
      <c r="K335" s="9"/>
    </row>
    <row r="336" spans="1:11" ht="13.5" customHeight="1" x14ac:dyDescent="0.25">
      <c r="A336" s="9"/>
      <c r="B336" s="9"/>
      <c r="C336" s="9"/>
      <c r="D336" s="9"/>
      <c r="E336" s="9"/>
      <c r="F336" s="9"/>
      <c r="G336" s="42"/>
      <c r="H336" s="43"/>
      <c r="I336" s="9"/>
      <c r="J336" s="9"/>
      <c r="K336" s="9"/>
    </row>
    <row r="337" spans="1:11" ht="13.5" customHeight="1" x14ac:dyDescent="0.25">
      <c r="A337" s="9"/>
      <c r="B337" s="9"/>
      <c r="C337" s="9"/>
      <c r="D337" s="9"/>
      <c r="E337" s="9"/>
      <c r="F337" s="9"/>
      <c r="G337" s="42"/>
      <c r="H337" s="43"/>
      <c r="I337" s="9"/>
      <c r="J337" s="9"/>
      <c r="K337" s="9"/>
    </row>
    <row r="338" spans="1:11" ht="13.5" customHeight="1" x14ac:dyDescent="0.25">
      <c r="A338" s="9"/>
      <c r="B338" s="9"/>
      <c r="C338" s="9"/>
      <c r="D338" s="9"/>
      <c r="E338" s="9"/>
      <c r="F338" s="9"/>
      <c r="G338" s="42"/>
      <c r="H338" s="43"/>
      <c r="I338" s="9"/>
      <c r="J338" s="9"/>
      <c r="K338" s="9"/>
    </row>
    <row r="339" spans="1:11" ht="13.5" customHeight="1" x14ac:dyDescent="0.25">
      <c r="A339" s="9"/>
      <c r="B339" s="9"/>
      <c r="C339" s="9"/>
      <c r="D339" s="9"/>
      <c r="E339" s="9"/>
      <c r="F339" s="9"/>
      <c r="G339" s="42"/>
      <c r="H339" s="43"/>
      <c r="I339" s="9"/>
      <c r="J339" s="9"/>
      <c r="K339" s="9"/>
    </row>
    <row r="340" spans="1:11" ht="13.5" customHeight="1" x14ac:dyDescent="0.25">
      <c r="A340" s="9"/>
      <c r="B340" s="9"/>
      <c r="C340" s="9"/>
      <c r="D340" s="9"/>
      <c r="E340" s="9"/>
      <c r="F340" s="9"/>
      <c r="G340" s="42"/>
      <c r="H340" s="43"/>
      <c r="I340" s="9"/>
      <c r="J340" s="9"/>
      <c r="K340" s="9"/>
    </row>
    <row r="341" spans="1:11" ht="13.5" customHeight="1" x14ac:dyDescent="0.25">
      <c r="A341" s="9"/>
      <c r="B341" s="9"/>
      <c r="C341" s="9"/>
      <c r="D341" s="9"/>
      <c r="E341" s="9"/>
      <c r="F341" s="9"/>
      <c r="G341" s="42"/>
      <c r="H341" s="43"/>
      <c r="I341" s="9"/>
      <c r="J341" s="9"/>
      <c r="K341" s="9"/>
    </row>
    <row r="342" spans="1:11" ht="13.5" customHeight="1" x14ac:dyDescent="0.25">
      <c r="A342" s="9"/>
      <c r="B342" s="9"/>
      <c r="C342" s="9"/>
      <c r="D342" s="9"/>
      <c r="E342" s="9"/>
      <c r="F342" s="9"/>
      <c r="G342" s="42"/>
      <c r="H342" s="43"/>
      <c r="I342" s="9"/>
      <c r="J342" s="9"/>
      <c r="K342" s="9"/>
    </row>
    <row r="343" spans="1:11" ht="13.5" customHeight="1" x14ac:dyDescent="0.25">
      <c r="A343" s="9"/>
      <c r="B343" s="9"/>
      <c r="C343" s="9"/>
      <c r="D343" s="9"/>
      <c r="E343" s="9"/>
      <c r="F343" s="9"/>
      <c r="G343" s="42"/>
      <c r="H343" s="43"/>
      <c r="I343" s="9"/>
      <c r="J343" s="9"/>
      <c r="K343" s="9"/>
    </row>
    <row r="344" spans="1:11" ht="13.5" customHeight="1" x14ac:dyDescent="0.25">
      <c r="A344" s="9"/>
      <c r="B344" s="9"/>
      <c r="C344" s="9"/>
      <c r="D344" s="9"/>
      <c r="E344" s="9"/>
      <c r="F344" s="9"/>
      <c r="G344" s="42"/>
      <c r="H344" s="43"/>
      <c r="I344" s="9"/>
      <c r="J344" s="9"/>
      <c r="K344" s="9"/>
    </row>
    <row r="345" spans="1:11" ht="13.5" customHeight="1" x14ac:dyDescent="0.25">
      <c r="A345" s="9"/>
      <c r="B345" s="9"/>
      <c r="C345" s="9"/>
      <c r="D345" s="9"/>
      <c r="E345" s="9"/>
      <c r="F345" s="9"/>
      <c r="G345" s="42"/>
      <c r="H345" s="43"/>
      <c r="I345" s="9"/>
      <c r="J345" s="9"/>
      <c r="K345" s="9"/>
    </row>
    <row r="346" spans="1:11" ht="13.5" customHeight="1" x14ac:dyDescent="0.25">
      <c r="A346" s="9"/>
      <c r="B346" s="9"/>
      <c r="C346" s="9"/>
      <c r="D346" s="9"/>
      <c r="E346" s="9"/>
      <c r="F346" s="9"/>
      <c r="G346" s="42"/>
      <c r="H346" s="43"/>
      <c r="I346" s="9"/>
      <c r="J346" s="9"/>
      <c r="K346" s="9"/>
    </row>
    <row r="347" spans="1:11" ht="13.5" customHeight="1" x14ac:dyDescent="0.25">
      <c r="A347" s="9"/>
      <c r="B347" s="9"/>
      <c r="C347" s="9"/>
      <c r="D347" s="9"/>
      <c r="E347" s="9"/>
      <c r="F347" s="9"/>
      <c r="G347" s="42"/>
      <c r="H347" s="43"/>
      <c r="I347" s="9"/>
      <c r="J347" s="9"/>
      <c r="K347" s="9"/>
    </row>
    <row r="348" spans="1:11" ht="13.5" customHeight="1" x14ac:dyDescent="0.25">
      <c r="A348" s="9"/>
      <c r="B348" s="9"/>
      <c r="C348" s="9"/>
      <c r="D348" s="9"/>
      <c r="E348" s="9"/>
      <c r="F348" s="9"/>
      <c r="G348" s="42"/>
      <c r="H348" s="43"/>
      <c r="I348" s="9"/>
      <c r="J348" s="9"/>
      <c r="K348" s="9"/>
    </row>
    <row r="349" spans="1:11" ht="13.5" customHeight="1" x14ac:dyDescent="0.25">
      <c r="A349" s="9"/>
      <c r="B349" s="9"/>
      <c r="C349" s="9"/>
      <c r="D349" s="9"/>
      <c r="E349" s="9"/>
      <c r="F349" s="9"/>
      <c r="G349" s="42"/>
      <c r="H349" s="43"/>
      <c r="I349" s="9"/>
      <c r="J349" s="9"/>
      <c r="K349" s="9"/>
    </row>
    <row r="350" spans="1:11" ht="13.5" customHeight="1" x14ac:dyDescent="0.25">
      <c r="A350" s="9"/>
      <c r="B350" s="9"/>
      <c r="C350" s="9"/>
      <c r="D350" s="9"/>
      <c r="E350" s="9"/>
      <c r="F350" s="9"/>
      <c r="G350" s="42"/>
      <c r="H350" s="43"/>
      <c r="I350" s="9"/>
      <c r="J350" s="9"/>
      <c r="K350" s="9"/>
    </row>
    <row r="351" spans="1:11" ht="13.5" customHeight="1" x14ac:dyDescent="0.25">
      <c r="A351" s="9"/>
      <c r="B351" s="9"/>
      <c r="C351" s="9"/>
      <c r="D351" s="9"/>
      <c r="E351" s="9"/>
      <c r="F351" s="9"/>
      <c r="G351" s="42"/>
      <c r="H351" s="43"/>
      <c r="I351" s="9"/>
      <c r="J351" s="9"/>
      <c r="K351" s="9"/>
    </row>
    <row r="352" spans="1:11" ht="13.5" customHeight="1" x14ac:dyDescent="0.25">
      <c r="A352" s="9"/>
      <c r="B352" s="9"/>
      <c r="C352" s="9"/>
      <c r="D352" s="9"/>
      <c r="E352" s="9"/>
      <c r="F352" s="9"/>
      <c r="G352" s="42"/>
      <c r="H352" s="43"/>
      <c r="I352" s="9"/>
      <c r="J352" s="9"/>
      <c r="K352" s="9"/>
    </row>
    <row r="353" spans="1:11" ht="13.5" customHeight="1" x14ac:dyDescent="0.25">
      <c r="A353" s="9"/>
      <c r="B353" s="9"/>
      <c r="C353" s="9"/>
      <c r="D353" s="9"/>
      <c r="E353" s="9"/>
      <c r="F353" s="9"/>
      <c r="G353" s="42"/>
      <c r="H353" s="43"/>
      <c r="I353" s="9"/>
      <c r="J353" s="9"/>
      <c r="K353" s="9"/>
    </row>
    <row r="354" spans="1:11" ht="13.5" customHeight="1" x14ac:dyDescent="0.25">
      <c r="A354" s="9"/>
      <c r="B354" s="9"/>
      <c r="C354" s="9"/>
      <c r="D354" s="9"/>
      <c r="E354" s="9"/>
      <c r="F354" s="9"/>
      <c r="G354" s="42"/>
      <c r="H354" s="43"/>
      <c r="I354" s="9"/>
      <c r="J354" s="9"/>
      <c r="K354" s="9"/>
    </row>
    <row r="355" spans="1:11" ht="13.5" customHeight="1" x14ac:dyDescent="0.25">
      <c r="A355" s="9"/>
      <c r="B355" s="9"/>
      <c r="C355" s="9"/>
      <c r="D355" s="9"/>
      <c r="E355" s="9"/>
      <c r="F355" s="9"/>
      <c r="G355" s="42"/>
      <c r="H355" s="43"/>
      <c r="I355" s="9"/>
      <c r="J355" s="9"/>
      <c r="K355" s="9"/>
    </row>
    <row r="356" spans="1:11" ht="13.5" customHeight="1" x14ac:dyDescent="0.25">
      <c r="A356" s="9"/>
      <c r="B356" s="9"/>
      <c r="C356" s="9"/>
      <c r="D356" s="9"/>
      <c r="E356" s="9"/>
      <c r="F356" s="9"/>
      <c r="G356" s="42"/>
      <c r="H356" s="43"/>
      <c r="I356" s="9"/>
      <c r="J356" s="9"/>
      <c r="K356" s="9"/>
    </row>
    <row r="357" spans="1:11" ht="13.5" customHeight="1" x14ac:dyDescent="0.25">
      <c r="A357" s="9"/>
      <c r="B357" s="9"/>
      <c r="C357" s="9"/>
      <c r="D357" s="9"/>
      <c r="E357" s="9"/>
      <c r="F357" s="9"/>
      <c r="G357" s="42"/>
      <c r="H357" s="43"/>
      <c r="I357" s="9"/>
      <c r="J357" s="9"/>
      <c r="K357" s="9"/>
    </row>
    <row r="358" spans="1:11" ht="13.5" customHeight="1" x14ac:dyDescent="0.25">
      <c r="A358" s="9"/>
      <c r="B358" s="9"/>
      <c r="C358" s="9"/>
      <c r="D358" s="9"/>
      <c r="E358" s="9"/>
      <c r="F358" s="9"/>
      <c r="G358" s="42"/>
      <c r="H358" s="43"/>
      <c r="I358" s="9"/>
      <c r="J358" s="9"/>
      <c r="K358" s="9"/>
    </row>
    <row r="359" spans="1:11" ht="13.5" customHeight="1" x14ac:dyDescent="0.25">
      <c r="A359" s="9"/>
      <c r="B359" s="9"/>
      <c r="C359" s="9"/>
      <c r="D359" s="9"/>
      <c r="E359" s="9"/>
      <c r="F359" s="9"/>
      <c r="G359" s="42"/>
      <c r="H359" s="43"/>
      <c r="I359" s="9"/>
      <c r="J359" s="9"/>
      <c r="K359" s="9"/>
    </row>
    <row r="360" spans="1:11" ht="13.5" customHeight="1" x14ac:dyDescent="0.25">
      <c r="A360" s="9"/>
      <c r="B360" s="9"/>
      <c r="C360" s="9"/>
      <c r="D360" s="9"/>
      <c r="E360" s="9"/>
      <c r="F360" s="9"/>
      <c r="G360" s="42"/>
      <c r="H360" s="43"/>
      <c r="I360" s="9"/>
      <c r="J360" s="9"/>
      <c r="K360" s="9"/>
    </row>
    <row r="361" spans="1:11" ht="13.5" customHeight="1" x14ac:dyDescent="0.25">
      <c r="A361" s="9"/>
      <c r="B361" s="9"/>
      <c r="C361" s="9"/>
      <c r="D361" s="9"/>
      <c r="E361" s="9"/>
      <c r="F361" s="9"/>
      <c r="G361" s="42"/>
      <c r="H361" s="43"/>
      <c r="I361" s="9"/>
      <c r="J361" s="9"/>
      <c r="K361" s="9"/>
    </row>
    <row r="362" spans="1:11" ht="13.5" customHeight="1" x14ac:dyDescent="0.25">
      <c r="A362" s="9"/>
      <c r="B362" s="9"/>
      <c r="C362" s="9"/>
      <c r="D362" s="9"/>
      <c r="E362" s="9"/>
      <c r="F362" s="9"/>
      <c r="G362" s="42"/>
      <c r="H362" s="43"/>
      <c r="I362" s="9"/>
      <c r="J362" s="9"/>
      <c r="K362" s="9"/>
    </row>
    <row r="363" spans="1:11" ht="13.5" customHeight="1" x14ac:dyDescent="0.25">
      <c r="A363" s="9"/>
      <c r="B363" s="9"/>
      <c r="C363" s="9"/>
      <c r="D363" s="9"/>
      <c r="E363" s="9"/>
      <c r="F363" s="9"/>
      <c r="G363" s="42"/>
      <c r="H363" s="43"/>
      <c r="I363" s="9"/>
      <c r="J363" s="9"/>
      <c r="K363" s="9"/>
    </row>
    <row r="364" spans="1:11" ht="13.5" customHeight="1" x14ac:dyDescent="0.25">
      <c r="A364" s="9"/>
      <c r="B364" s="9"/>
      <c r="C364" s="9"/>
      <c r="D364" s="9"/>
      <c r="E364" s="9"/>
      <c r="F364" s="9"/>
      <c r="G364" s="42"/>
      <c r="H364" s="43"/>
      <c r="I364" s="9"/>
      <c r="J364" s="9"/>
      <c r="K364" s="9"/>
    </row>
    <row r="365" spans="1:11" ht="13.5" customHeight="1" x14ac:dyDescent="0.25">
      <c r="A365" s="9"/>
      <c r="B365" s="9"/>
      <c r="C365" s="9"/>
      <c r="D365" s="9"/>
      <c r="E365" s="9"/>
      <c r="F365" s="9"/>
      <c r="G365" s="42"/>
      <c r="H365" s="43"/>
      <c r="I365" s="9"/>
      <c r="J365" s="9"/>
      <c r="K365" s="9"/>
    </row>
    <row r="366" spans="1:11" ht="13.5" customHeight="1" x14ac:dyDescent="0.25">
      <c r="A366" s="9"/>
      <c r="B366" s="9"/>
      <c r="C366" s="9"/>
      <c r="D366" s="9"/>
      <c r="E366" s="9"/>
      <c r="F366" s="9"/>
      <c r="G366" s="42"/>
      <c r="H366" s="43"/>
      <c r="I366" s="9"/>
      <c r="J366" s="9"/>
      <c r="K366" s="9"/>
    </row>
    <row r="367" spans="1:11" ht="13.5" customHeight="1" x14ac:dyDescent="0.25">
      <c r="A367" s="9"/>
      <c r="B367" s="9"/>
      <c r="C367" s="9"/>
      <c r="D367" s="9"/>
      <c r="E367" s="9"/>
      <c r="F367" s="9"/>
      <c r="G367" s="42"/>
      <c r="H367" s="43"/>
      <c r="I367" s="9"/>
      <c r="J367" s="9"/>
      <c r="K367" s="9"/>
    </row>
    <row r="368" spans="1:11" ht="13.5" customHeight="1" x14ac:dyDescent="0.25">
      <c r="A368" s="9"/>
      <c r="B368" s="9"/>
      <c r="C368" s="9"/>
      <c r="D368" s="9"/>
      <c r="E368" s="9"/>
      <c r="F368" s="9"/>
      <c r="G368" s="42"/>
      <c r="H368" s="43"/>
      <c r="I368" s="9"/>
      <c r="J368" s="9"/>
      <c r="K368" s="9"/>
    </row>
    <row r="369" spans="1:11" ht="13.5" customHeight="1" x14ac:dyDescent="0.25">
      <c r="A369" s="9"/>
      <c r="B369" s="9"/>
      <c r="C369" s="9"/>
      <c r="D369" s="9"/>
      <c r="E369" s="9"/>
      <c r="F369" s="9"/>
      <c r="G369" s="42"/>
      <c r="H369" s="43"/>
      <c r="I369" s="9"/>
      <c r="J369" s="9"/>
      <c r="K369" s="9"/>
    </row>
    <row r="370" spans="1:11" ht="13.5" customHeight="1" x14ac:dyDescent="0.25">
      <c r="A370" s="9"/>
      <c r="B370" s="9"/>
      <c r="C370" s="9"/>
      <c r="D370" s="9"/>
      <c r="E370" s="9"/>
      <c r="F370" s="9"/>
      <c r="G370" s="42"/>
      <c r="H370" s="43"/>
      <c r="I370" s="9"/>
      <c r="J370" s="9"/>
      <c r="K370" s="9"/>
    </row>
    <row r="371" spans="1:11" ht="13.5" customHeight="1" x14ac:dyDescent="0.25">
      <c r="A371" s="9"/>
      <c r="B371" s="9"/>
      <c r="C371" s="9"/>
      <c r="D371" s="9"/>
      <c r="E371" s="9"/>
      <c r="F371" s="9"/>
      <c r="G371" s="42"/>
      <c r="H371" s="43"/>
      <c r="I371" s="9"/>
      <c r="J371" s="9"/>
      <c r="K371" s="9"/>
    </row>
    <row r="372" spans="1:11" ht="13.5" customHeight="1" x14ac:dyDescent="0.25">
      <c r="A372" s="9"/>
      <c r="B372" s="9"/>
      <c r="C372" s="9"/>
      <c r="D372" s="9"/>
      <c r="E372" s="9"/>
      <c r="F372" s="9"/>
      <c r="G372" s="42"/>
      <c r="H372" s="43"/>
      <c r="I372" s="9"/>
      <c r="J372" s="9"/>
      <c r="K372" s="9"/>
    </row>
    <row r="373" spans="1:11" ht="13.5" customHeight="1" x14ac:dyDescent="0.25">
      <c r="A373" s="9"/>
      <c r="B373" s="9"/>
      <c r="C373" s="9"/>
      <c r="D373" s="9"/>
      <c r="E373" s="9"/>
      <c r="F373" s="9"/>
      <c r="G373" s="42"/>
      <c r="H373" s="43"/>
      <c r="I373" s="9"/>
      <c r="J373" s="9"/>
      <c r="K373" s="9"/>
    </row>
    <row r="374" spans="1:11" ht="13.5" customHeight="1" x14ac:dyDescent="0.25">
      <c r="A374" s="9"/>
      <c r="B374" s="9"/>
      <c r="C374" s="9"/>
      <c r="D374" s="9"/>
      <c r="E374" s="9"/>
      <c r="F374" s="9"/>
      <c r="G374" s="42"/>
      <c r="H374" s="43"/>
      <c r="I374" s="9"/>
      <c r="J374" s="9"/>
      <c r="K374" s="9"/>
    </row>
    <row r="375" spans="1:11" ht="13.5" customHeight="1" x14ac:dyDescent="0.25">
      <c r="A375" s="9"/>
      <c r="B375" s="9"/>
      <c r="C375" s="9"/>
      <c r="D375" s="9"/>
      <c r="E375" s="9"/>
      <c r="F375" s="9"/>
      <c r="G375" s="42"/>
      <c r="H375" s="43"/>
      <c r="I375" s="9"/>
      <c r="J375" s="9"/>
      <c r="K375" s="9"/>
    </row>
    <row r="376" spans="1:11" ht="13.5" customHeight="1" x14ac:dyDescent="0.25">
      <c r="A376" s="9"/>
      <c r="B376" s="9"/>
      <c r="C376" s="9"/>
      <c r="D376" s="9"/>
      <c r="E376" s="9"/>
      <c r="F376" s="9"/>
      <c r="G376" s="42"/>
      <c r="H376" s="43"/>
      <c r="I376" s="9"/>
      <c r="J376" s="9"/>
      <c r="K376" s="9"/>
    </row>
    <row r="377" spans="1:11" ht="13.5" customHeight="1" x14ac:dyDescent="0.25">
      <c r="A377" s="9"/>
      <c r="B377" s="9"/>
      <c r="C377" s="9"/>
      <c r="D377" s="9"/>
      <c r="E377" s="9"/>
      <c r="F377" s="9"/>
      <c r="G377" s="42"/>
      <c r="H377" s="43"/>
      <c r="I377" s="9"/>
      <c r="J377" s="9"/>
      <c r="K377" s="9"/>
    </row>
    <row r="378" spans="1:11" ht="13.5" customHeight="1" x14ac:dyDescent="0.25">
      <c r="A378" s="9"/>
      <c r="B378" s="9"/>
      <c r="C378" s="9"/>
      <c r="D378" s="9"/>
      <c r="E378" s="9"/>
      <c r="F378" s="9"/>
      <c r="G378" s="42"/>
      <c r="H378" s="43"/>
      <c r="I378" s="9"/>
      <c r="J378" s="9"/>
      <c r="K378" s="9"/>
    </row>
    <row r="379" spans="1:11" ht="13.5" customHeight="1" x14ac:dyDescent="0.25">
      <c r="A379" s="9"/>
      <c r="B379" s="9"/>
      <c r="C379" s="9"/>
      <c r="D379" s="9"/>
      <c r="E379" s="9"/>
      <c r="F379" s="9"/>
      <c r="G379" s="42"/>
      <c r="H379" s="43"/>
      <c r="I379" s="9"/>
      <c r="J379" s="9"/>
      <c r="K379" s="9"/>
    </row>
    <row r="380" spans="1:11" ht="13.5" customHeight="1" x14ac:dyDescent="0.25">
      <c r="A380" s="9"/>
      <c r="B380" s="9"/>
      <c r="C380" s="9"/>
      <c r="D380" s="9"/>
      <c r="E380" s="9"/>
      <c r="F380" s="9"/>
      <c r="G380" s="42"/>
      <c r="H380" s="43"/>
      <c r="I380" s="9"/>
      <c r="J380" s="9"/>
      <c r="K380" s="9"/>
    </row>
    <row r="381" spans="1:11" ht="13.5" customHeight="1" x14ac:dyDescent="0.25">
      <c r="A381" s="9"/>
      <c r="B381" s="9"/>
      <c r="C381" s="9"/>
      <c r="D381" s="9"/>
      <c r="E381" s="9"/>
      <c r="F381" s="9"/>
      <c r="G381" s="42"/>
      <c r="H381" s="43"/>
      <c r="I381" s="9"/>
      <c r="J381" s="9"/>
      <c r="K381" s="9"/>
    </row>
    <row r="382" spans="1:11" ht="13.5" customHeight="1" x14ac:dyDescent="0.25">
      <c r="A382" s="9"/>
      <c r="B382" s="9"/>
      <c r="C382" s="9"/>
      <c r="D382" s="9"/>
      <c r="E382" s="9"/>
      <c r="F382" s="9"/>
      <c r="G382" s="42"/>
      <c r="H382" s="43"/>
      <c r="I382" s="9"/>
      <c r="J382" s="9"/>
      <c r="K382" s="9"/>
    </row>
    <row r="383" spans="1:11" ht="13.5" customHeight="1" x14ac:dyDescent="0.25">
      <c r="A383" s="9"/>
      <c r="B383" s="9"/>
      <c r="C383" s="9"/>
      <c r="D383" s="9"/>
      <c r="E383" s="9"/>
      <c r="F383" s="9"/>
      <c r="G383" s="42"/>
      <c r="H383" s="43"/>
      <c r="I383" s="9"/>
      <c r="J383" s="9"/>
      <c r="K383" s="9"/>
    </row>
    <row r="384" spans="1:11" ht="13.5" customHeight="1" x14ac:dyDescent="0.25">
      <c r="A384" s="9"/>
      <c r="B384" s="9"/>
      <c r="C384" s="9"/>
      <c r="D384" s="9"/>
      <c r="E384" s="9"/>
      <c r="F384" s="9"/>
      <c r="G384" s="42"/>
      <c r="H384" s="43"/>
      <c r="I384" s="9"/>
      <c r="J384" s="9"/>
      <c r="K384" s="9"/>
    </row>
    <row r="385" spans="1:11" ht="13.5" customHeight="1" x14ac:dyDescent="0.25">
      <c r="A385" s="9"/>
      <c r="B385" s="9"/>
      <c r="C385" s="9"/>
      <c r="D385" s="9"/>
      <c r="E385" s="9"/>
      <c r="F385" s="9"/>
      <c r="G385" s="42"/>
      <c r="H385" s="43"/>
      <c r="I385" s="9"/>
      <c r="J385" s="9"/>
      <c r="K385" s="9"/>
    </row>
    <row r="386" spans="1:11" ht="13.5" customHeight="1" x14ac:dyDescent="0.25">
      <c r="A386" s="9"/>
      <c r="B386" s="9"/>
      <c r="C386" s="9"/>
      <c r="D386" s="9"/>
      <c r="E386" s="9"/>
      <c r="F386" s="9"/>
      <c r="G386" s="42"/>
      <c r="H386" s="43"/>
      <c r="I386" s="9"/>
      <c r="J386" s="9"/>
      <c r="K386" s="9"/>
    </row>
    <row r="387" spans="1:11" ht="13.5" customHeight="1" x14ac:dyDescent="0.25">
      <c r="A387" s="9"/>
      <c r="B387" s="9"/>
      <c r="C387" s="9"/>
      <c r="D387" s="9"/>
      <c r="E387" s="9"/>
      <c r="F387" s="9"/>
      <c r="G387" s="42"/>
      <c r="H387" s="43"/>
      <c r="I387" s="9"/>
      <c r="J387" s="9"/>
      <c r="K387" s="9"/>
    </row>
    <row r="388" spans="1:11" ht="13.5" customHeight="1" x14ac:dyDescent="0.25">
      <c r="A388" s="9"/>
      <c r="B388" s="9"/>
      <c r="C388" s="9"/>
      <c r="D388" s="9"/>
      <c r="E388" s="9"/>
      <c r="F388" s="9"/>
      <c r="G388" s="42"/>
      <c r="H388" s="43"/>
      <c r="I388" s="9"/>
      <c r="J388" s="9"/>
      <c r="K388" s="9"/>
    </row>
    <row r="389" spans="1:11" ht="13.5" customHeight="1" x14ac:dyDescent="0.25">
      <c r="A389" s="9"/>
      <c r="B389" s="9"/>
      <c r="C389" s="9"/>
      <c r="D389" s="9"/>
      <c r="E389" s="9"/>
      <c r="F389" s="9"/>
      <c r="G389" s="42"/>
      <c r="H389" s="43"/>
      <c r="I389" s="9"/>
      <c r="J389" s="9"/>
      <c r="K389" s="9"/>
    </row>
    <row r="390" spans="1:11" ht="13.5" customHeight="1" x14ac:dyDescent="0.25">
      <c r="A390" s="9"/>
      <c r="B390" s="9"/>
      <c r="C390" s="9"/>
      <c r="D390" s="9"/>
      <c r="E390" s="9"/>
      <c r="F390" s="9"/>
      <c r="G390" s="42"/>
      <c r="H390" s="43"/>
      <c r="I390" s="9"/>
      <c r="J390" s="9"/>
      <c r="K390" s="9"/>
    </row>
    <row r="391" spans="1:11" ht="13.5" customHeight="1" x14ac:dyDescent="0.25">
      <c r="A391" s="9"/>
      <c r="B391" s="9"/>
      <c r="C391" s="9"/>
      <c r="D391" s="9"/>
      <c r="E391" s="9"/>
      <c r="F391" s="9"/>
      <c r="G391" s="42"/>
      <c r="H391" s="43"/>
      <c r="I391" s="9"/>
      <c r="J391" s="9"/>
      <c r="K391" s="9"/>
    </row>
    <row r="392" spans="1:11" ht="13.5" customHeight="1" x14ac:dyDescent="0.25">
      <c r="A392" s="9"/>
      <c r="B392" s="9"/>
      <c r="C392" s="9"/>
      <c r="D392" s="9"/>
      <c r="E392" s="9"/>
      <c r="F392" s="9"/>
      <c r="G392" s="42"/>
      <c r="H392" s="43"/>
      <c r="I392" s="9"/>
      <c r="J392" s="9"/>
      <c r="K392" s="9"/>
    </row>
    <row r="393" spans="1:11" ht="13.5" customHeight="1" x14ac:dyDescent="0.25">
      <c r="A393" s="9"/>
      <c r="B393" s="9"/>
      <c r="C393" s="9"/>
      <c r="D393" s="9"/>
      <c r="E393" s="9"/>
      <c r="F393" s="9"/>
      <c r="G393" s="42"/>
      <c r="H393" s="43"/>
      <c r="I393" s="9"/>
      <c r="J393" s="9"/>
      <c r="K393" s="9"/>
    </row>
    <row r="394" spans="1:11" ht="13.5" customHeight="1" x14ac:dyDescent="0.25">
      <c r="A394" s="9"/>
      <c r="B394" s="9"/>
      <c r="C394" s="9"/>
      <c r="D394" s="9"/>
      <c r="E394" s="9"/>
      <c r="F394" s="9"/>
      <c r="G394" s="42"/>
      <c r="H394" s="43"/>
      <c r="I394" s="9"/>
      <c r="J394" s="9"/>
      <c r="K394" s="9"/>
    </row>
    <row r="395" spans="1:11" ht="13.5" customHeight="1" x14ac:dyDescent="0.25">
      <c r="A395" s="9"/>
      <c r="B395" s="9"/>
      <c r="C395" s="9"/>
      <c r="D395" s="9"/>
      <c r="E395" s="9"/>
      <c r="F395" s="9"/>
      <c r="G395" s="42"/>
      <c r="H395" s="43"/>
      <c r="I395" s="9"/>
      <c r="J395" s="9"/>
      <c r="K395" s="9"/>
    </row>
    <row r="396" spans="1:11" ht="13.5" customHeight="1" x14ac:dyDescent="0.25">
      <c r="A396" s="9"/>
      <c r="B396" s="9"/>
      <c r="C396" s="9"/>
      <c r="D396" s="9"/>
      <c r="E396" s="9"/>
      <c r="F396" s="9"/>
      <c r="G396" s="42"/>
      <c r="H396" s="43"/>
      <c r="I396" s="9"/>
      <c r="J396" s="9"/>
      <c r="K396" s="9"/>
    </row>
    <row r="397" spans="1:11" ht="13.5" customHeight="1" x14ac:dyDescent="0.25">
      <c r="A397" s="9"/>
      <c r="B397" s="9"/>
      <c r="C397" s="9"/>
      <c r="D397" s="9"/>
      <c r="E397" s="9"/>
      <c r="F397" s="9"/>
      <c r="G397" s="42"/>
      <c r="H397" s="43"/>
      <c r="I397" s="9"/>
      <c r="J397" s="9"/>
      <c r="K397" s="9"/>
    </row>
    <row r="398" spans="1:11" ht="13.5" customHeight="1" x14ac:dyDescent="0.25">
      <c r="A398" s="9"/>
      <c r="B398" s="9"/>
      <c r="C398" s="9"/>
      <c r="D398" s="9"/>
      <c r="E398" s="9"/>
      <c r="F398" s="9"/>
      <c r="G398" s="42"/>
      <c r="H398" s="43"/>
      <c r="I398" s="9"/>
      <c r="J398" s="9"/>
      <c r="K398" s="9"/>
    </row>
    <row r="399" spans="1:11" ht="13.5" customHeight="1" x14ac:dyDescent="0.25">
      <c r="A399" s="9"/>
      <c r="B399" s="9"/>
      <c r="C399" s="9"/>
      <c r="D399" s="9"/>
      <c r="E399" s="9"/>
      <c r="F399" s="9"/>
      <c r="G399" s="42"/>
      <c r="H399" s="43"/>
      <c r="I399" s="9"/>
      <c r="J399" s="9"/>
      <c r="K399" s="9"/>
    </row>
    <row r="400" spans="1:11" ht="13.5" customHeight="1" x14ac:dyDescent="0.25">
      <c r="A400" s="9"/>
      <c r="B400" s="9"/>
      <c r="C400" s="9"/>
      <c r="D400" s="9"/>
      <c r="E400" s="9"/>
      <c r="F400" s="9"/>
      <c r="G400" s="42"/>
      <c r="H400" s="43"/>
      <c r="I400" s="9"/>
      <c r="J400" s="9"/>
      <c r="K400" s="9"/>
    </row>
    <row r="401" spans="1:11" ht="13.5" customHeight="1" x14ac:dyDescent="0.25">
      <c r="A401" s="9"/>
      <c r="B401" s="9"/>
      <c r="C401" s="9"/>
      <c r="D401" s="9"/>
      <c r="E401" s="9"/>
      <c r="F401" s="9"/>
      <c r="G401" s="42"/>
      <c r="H401" s="43"/>
      <c r="I401" s="9"/>
      <c r="J401" s="9"/>
      <c r="K401" s="9"/>
    </row>
    <row r="402" spans="1:11" ht="13.5" customHeight="1" x14ac:dyDescent="0.25">
      <c r="A402" s="9"/>
      <c r="B402" s="9"/>
      <c r="C402" s="9"/>
      <c r="D402" s="9"/>
      <c r="E402" s="9"/>
      <c r="F402" s="9"/>
      <c r="G402" s="42"/>
      <c r="H402" s="43"/>
      <c r="I402" s="9"/>
      <c r="J402" s="9"/>
      <c r="K402" s="9"/>
    </row>
    <row r="403" spans="1:11" ht="13.5" customHeight="1" x14ac:dyDescent="0.25">
      <c r="A403" s="9"/>
      <c r="B403" s="9"/>
      <c r="C403" s="9"/>
      <c r="D403" s="9"/>
      <c r="E403" s="9"/>
      <c r="F403" s="9"/>
      <c r="G403" s="42"/>
      <c r="H403" s="43"/>
      <c r="I403" s="9"/>
      <c r="J403" s="9"/>
      <c r="K403" s="9"/>
    </row>
    <row r="404" spans="1:11" ht="13.5" customHeight="1" x14ac:dyDescent="0.25">
      <c r="A404" s="9"/>
      <c r="B404" s="9"/>
      <c r="C404" s="9"/>
      <c r="D404" s="9"/>
      <c r="E404" s="9"/>
      <c r="F404" s="9"/>
      <c r="G404" s="42"/>
      <c r="H404" s="43"/>
      <c r="I404" s="9"/>
      <c r="J404" s="9"/>
      <c r="K404" s="9"/>
    </row>
    <row r="405" spans="1:11" ht="13.5" customHeight="1" x14ac:dyDescent="0.25">
      <c r="A405" s="9"/>
      <c r="B405" s="9"/>
      <c r="C405" s="9"/>
      <c r="D405" s="9"/>
      <c r="E405" s="9"/>
      <c r="F405" s="9"/>
      <c r="G405" s="42"/>
      <c r="H405" s="43"/>
      <c r="I405" s="9"/>
      <c r="J405" s="9"/>
      <c r="K405" s="9"/>
    </row>
    <row r="406" spans="1:11" ht="13.5" customHeight="1" x14ac:dyDescent="0.25">
      <c r="A406" s="9"/>
      <c r="B406" s="9"/>
      <c r="C406" s="9"/>
      <c r="D406" s="9"/>
      <c r="E406" s="9"/>
      <c r="F406" s="9"/>
      <c r="G406" s="42"/>
      <c r="H406" s="43"/>
      <c r="I406" s="9"/>
      <c r="J406" s="9"/>
      <c r="K406" s="9"/>
    </row>
    <row r="407" spans="1:11" ht="13.5" customHeight="1" x14ac:dyDescent="0.25">
      <c r="A407" s="9"/>
      <c r="B407" s="9"/>
      <c r="C407" s="9"/>
      <c r="D407" s="9"/>
      <c r="E407" s="9"/>
      <c r="F407" s="9"/>
      <c r="G407" s="42"/>
      <c r="H407" s="43"/>
      <c r="I407" s="9"/>
      <c r="J407" s="9"/>
      <c r="K407" s="9"/>
    </row>
    <row r="408" spans="1:11" ht="13.5" customHeight="1" x14ac:dyDescent="0.25">
      <c r="A408" s="9"/>
      <c r="B408" s="9"/>
      <c r="C408" s="9"/>
      <c r="D408" s="9"/>
      <c r="E408" s="9"/>
      <c r="F408" s="9"/>
      <c r="G408" s="42"/>
      <c r="H408" s="43"/>
      <c r="I408" s="9"/>
      <c r="J408" s="9"/>
      <c r="K408" s="9"/>
    </row>
    <row r="409" spans="1:11" ht="13.5" customHeight="1" x14ac:dyDescent="0.25">
      <c r="A409" s="9"/>
      <c r="B409" s="9"/>
      <c r="C409" s="9"/>
      <c r="D409" s="9"/>
      <c r="E409" s="9"/>
      <c r="F409" s="9"/>
      <c r="G409" s="42"/>
      <c r="H409" s="43"/>
      <c r="I409" s="9"/>
      <c r="J409" s="9"/>
      <c r="K409" s="9"/>
    </row>
    <row r="410" spans="1:11" ht="13.5" customHeight="1" x14ac:dyDescent="0.25">
      <c r="A410" s="9"/>
      <c r="B410" s="9"/>
      <c r="C410" s="9"/>
      <c r="D410" s="9"/>
      <c r="E410" s="9"/>
      <c r="F410" s="9"/>
      <c r="G410" s="42"/>
      <c r="H410" s="43"/>
      <c r="I410" s="9"/>
      <c r="J410" s="9"/>
      <c r="K410" s="9"/>
    </row>
    <row r="411" spans="1:11" ht="13.5" customHeight="1" x14ac:dyDescent="0.25">
      <c r="A411" s="9"/>
      <c r="B411" s="9"/>
      <c r="C411" s="9"/>
      <c r="D411" s="9"/>
      <c r="E411" s="9"/>
      <c r="F411" s="9"/>
      <c r="G411" s="42"/>
      <c r="H411" s="43"/>
      <c r="I411" s="9"/>
      <c r="J411" s="9"/>
      <c r="K411" s="9"/>
    </row>
    <row r="412" spans="1:11" ht="13.5" customHeight="1" x14ac:dyDescent="0.25">
      <c r="A412" s="9"/>
      <c r="B412" s="9"/>
      <c r="C412" s="9"/>
      <c r="D412" s="9"/>
      <c r="E412" s="9"/>
      <c r="F412" s="9"/>
      <c r="G412" s="42"/>
      <c r="H412" s="43"/>
      <c r="I412" s="9"/>
      <c r="J412" s="9"/>
      <c r="K412" s="9"/>
    </row>
    <row r="413" spans="1:11" ht="13.5" customHeight="1" x14ac:dyDescent="0.25">
      <c r="A413" s="9"/>
      <c r="B413" s="9"/>
      <c r="C413" s="9"/>
      <c r="D413" s="9"/>
      <c r="E413" s="9"/>
      <c r="F413" s="9"/>
      <c r="G413" s="42"/>
      <c r="H413" s="43"/>
      <c r="I413" s="9"/>
      <c r="J413" s="9"/>
      <c r="K413" s="9"/>
    </row>
    <row r="414" spans="1:11" ht="13.5" customHeight="1" x14ac:dyDescent="0.25">
      <c r="A414" s="9"/>
      <c r="B414" s="9"/>
      <c r="C414" s="9"/>
      <c r="D414" s="9"/>
      <c r="E414" s="9"/>
      <c r="F414" s="9"/>
      <c r="G414" s="42"/>
      <c r="H414" s="43"/>
      <c r="I414" s="9"/>
      <c r="J414" s="9"/>
      <c r="K414" s="9"/>
    </row>
    <row r="415" spans="1:11" ht="13.5" customHeight="1" x14ac:dyDescent="0.25">
      <c r="A415" s="9"/>
      <c r="B415" s="9"/>
      <c r="C415" s="9"/>
      <c r="D415" s="9"/>
      <c r="E415" s="9"/>
      <c r="F415" s="9"/>
      <c r="G415" s="42"/>
      <c r="H415" s="43"/>
      <c r="I415" s="9"/>
      <c r="J415" s="9"/>
      <c r="K415" s="9"/>
    </row>
    <row r="416" spans="1:11" ht="13.5" customHeight="1" x14ac:dyDescent="0.25">
      <c r="A416" s="9"/>
      <c r="B416" s="9"/>
      <c r="C416" s="9"/>
      <c r="D416" s="9"/>
      <c r="E416" s="9"/>
      <c r="F416" s="9"/>
      <c r="G416" s="42"/>
      <c r="H416" s="43"/>
      <c r="I416" s="9"/>
      <c r="J416" s="9"/>
      <c r="K416" s="9"/>
    </row>
    <row r="417" spans="1:11" ht="13.5" customHeight="1" x14ac:dyDescent="0.25">
      <c r="A417" s="9"/>
      <c r="B417" s="9"/>
      <c r="C417" s="9"/>
      <c r="D417" s="9"/>
      <c r="E417" s="9"/>
      <c r="F417" s="9"/>
      <c r="G417" s="42"/>
      <c r="H417" s="43"/>
      <c r="I417" s="9"/>
      <c r="J417" s="9"/>
      <c r="K417" s="9"/>
    </row>
    <row r="418" spans="1:11" ht="13.5" customHeight="1" x14ac:dyDescent="0.25">
      <c r="A418" s="9"/>
      <c r="B418" s="9"/>
      <c r="C418" s="9"/>
      <c r="D418" s="9"/>
      <c r="E418" s="9"/>
      <c r="F418" s="9"/>
      <c r="G418" s="42"/>
      <c r="H418" s="43"/>
      <c r="I418" s="9"/>
      <c r="J418" s="9"/>
      <c r="K418" s="9"/>
    </row>
    <row r="419" spans="1:11" ht="13.5" customHeight="1" x14ac:dyDescent="0.25">
      <c r="A419" s="9"/>
      <c r="B419" s="9"/>
      <c r="C419" s="9"/>
      <c r="D419" s="9"/>
      <c r="E419" s="9"/>
      <c r="F419" s="9"/>
      <c r="G419" s="42"/>
      <c r="H419" s="43"/>
      <c r="I419" s="9"/>
      <c r="J419" s="9"/>
      <c r="K419" s="9"/>
    </row>
    <row r="420" spans="1:11" ht="13.5" customHeight="1" x14ac:dyDescent="0.25">
      <c r="A420" s="9"/>
      <c r="B420" s="9"/>
      <c r="C420" s="9"/>
      <c r="D420" s="9"/>
      <c r="E420" s="9"/>
      <c r="F420" s="9"/>
      <c r="G420" s="42"/>
      <c r="H420" s="43"/>
      <c r="I420" s="9"/>
      <c r="J420" s="9"/>
      <c r="K420" s="9"/>
    </row>
    <row r="421" spans="1:11" ht="13.5" customHeight="1" x14ac:dyDescent="0.25">
      <c r="A421" s="9"/>
      <c r="B421" s="9"/>
      <c r="C421" s="9"/>
      <c r="D421" s="9"/>
      <c r="E421" s="9"/>
      <c r="F421" s="9"/>
      <c r="G421" s="42"/>
      <c r="H421" s="43"/>
      <c r="I421" s="9"/>
      <c r="J421" s="9"/>
      <c r="K421" s="9"/>
    </row>
    <row r="422" spans="1:11" ht="13.5" customHeight="1" x14ac:dyDescent="0.25">
      <c r="A422" s="9"/>
      <c r="B422" s="9"/>
      <c r="C422" s="9"/>
      <c r="D422" s="9"/>
      <c r="E422" s="9"/>
      <c r="F422" s="9"/>
      <c r="G422" s="42"/>
      <c r="H422" s="43"/>
      <c r="I422" s="9"/>
      <c r="J422" s="9"/>
      <c r="K422" s="9"/>
    </row>
    <row r="423" spans="1:11" ht="13.5" customHeight="1" x14ac:dyDescent="0.25">
      <c r="A423" s="9"/>
      <c r="B423" s="9"/>
      <c r="C423" s="9"/>
      <c r="D423" s="9"/>
      <c r="E423" s="9"/>
      <c r="F423" s="9"/>
      <c r="G423" s="42"/>
      <c r="H423" s="43"/>
      <c r="I423" s="9"/>
      <c r="J423" s="9"/>
      <c r="K423" s="9"/>
    </row>
    <row r="424" spans="1:11" ht="13.5" customHeight="1" x14ac:dyDescent="0.25">
      <c r="A424" s="9"/>
      <c r="B424" s="9"/>
      <c r="C424" s="9"/>
      <c r="D424" s="9"/>
      <c r="E424" s="9"/>
      <c r="F424" s="9"/>
      <c r="G424" s="42"/>
      <c r="H424" s="43"/>
      <c r="I424" s="9"/>
      <c r="J424" s="9"/>
      <c r="K424" s="9"/>
    </row>
    <row r="425" spans="1:11" ht="13.5" customHeight="1" x14ac:dyDescent="0.25">
      <c r="A425" s="9"/>
      <c r="B425" s="9"/>
      <c r="C425" s="9"/>
      <c r="D425" s="9"/>
      <c r="E425" s="9"/>
      <c r="F425" s="9"/>
      <c r="G425" s="42"/>
      <c r="H425" s="43"/>
      <c r="I425" s="9"/>
      <c r="J425" s="9"/>
      <c r="K425" s="9"/>
    </row>
    <row r="426" spans="1:11" ht="13.5" customHeight="1" x14ac:dyDescent="0.25">
      <c r="A426" s="9"/>
      <c r="B426" s="9"/>
      <c r="C426" s="9"/>
      <c r="D426" s="9"/>
      <c r="E426" s="9"/>
      <c r="F426" s="9"/>
      <c r="G426" s="42"/>
      <c r="H426" s="43"/>
      <c r="I426" s="9"/>
      <c r="J426" s="9"/>
      <c r="K426" s="9"/>
    </row>
    <row r="427" spans="1:11" ht="13.5" customHeight="1" x14ac:dyDescent="0.25">
      <c r="A427" s="9"/>
      <c r="B427" s="9"/>
      <c r="C427" s="9"/>
      <c r="D427" s="9"/>
      <c r="E427" s="9"/>
      <c r="F427" s="9"/>
      <c r="G427" s="42"/>
      <c r="H427" s="43"/>
      <c r="I427" s="9"/>
      <c r="J427" s="9"/>
      <c r="K427" s="9"/>
    </row>
    <row r="428" spans="1:11" ht="13.5" customHeight="1" x14ac:dyDescent="0.25">
      <c r="A428" s="9"/>
      <c r="B428" s="9"/>
      <c r="C428" s="9"/>
      <c r="D428" s="9"/>
      <c r="E428" s="9"/>
      <c r="F428" s="9"/>
      <c r="G428" s="42"/>
      <c r="H428" s="43"/>
      <c r="I428" s="9"/>
      <c r="J428" s="9"/>
      <c r="K428" s="9"/>
    </row>
    <row r="429" spans="1:11" ht="13.5" customHeight="1" x14ac:dyDescent="0.25">
      <c r="A429" s="9"/>
      <c r="B429" s="9"/>
      <c r="C429" s="9"/>
      <c r="D429" s="9"/>
      <c r="E429" s="9"/>
      <c r="F429" s="9"/>
      <c r="G429" s="42"/>
      <c r="H429" s="43"/>
      <c r="I429" s="9"/>
      <c r="J429" s="9"/>
      <c r="K429" s="9"/>
    </row>
    <row r="430" spans="1:11" ht="13.5" customHeight="1" x14ac:dyDescent="0.25">
      <c r="A430" s="9"/>
      <c r="B430" s="9"/>
      <c r="C430" s="9"/>
      <c r="D430" s="9"/>
      <c r="E430" s="9"/>
      <c r="F430" s="9"/>
      <c r="G430" s="42"/>
      <c r="H430" s="43"/>
      <c r="I430" s="9"/>
      <c r="J430" s="9"/>
      <c r="K430" s="9"/>
    </row>
    <row r="431" spans="1:11" ht="13.5" customHeight="1" x14ac:dyDescent="0.25">
      <c r="A431" s="9"/>
      <c r="B431" s="9"/>
      <c r="C431" s="9"/>
      <c r="D431" s="9"/>
      <c r="E431" s="9"/>
      <c r="F431" s="9"/>
      <c r="G431" s="42"/>
      <c r="H431" s="43"/>
      <c r="I431" s="9"/>
      <c r="J431" s="9"/>
      <c r="K431" s="9"/>
    </row>
    <row r="432" spans="1:11" ht="13.5" customHeight="1" x14ac:dyDescent="0.25">
      <c r="A432" s="9"/>
      <c r="B432" s="9"/>
      <c r="C432" s="9"/>
      <c r="D432" s="9"/>
      <c r="E432" s="9"/>
      <c r="F432" s="9"/>
      <c r="G432" s="42"/>
      <c r="H432" s="43"/>
      <c r="I432" s="9"/>
      <c r="J432" s="9"/>
      <c r="K432" s="9"/>
    </row>
    <row r="433" spans="1:11" ht="13.5" customHeight="1" x14ac:dyDescent="0.25">
      <c r="A433" s="9"/>
      <c r="B433" s="9"/>
      <c r="C433" s="9"/>
      <c r="D433" s="9"/>
      <c r="E433" s="9"/>
      <c r="F433" s="9"/>
      <c r="G433" s="42"/>
      <c r="H433" s="43"/>
      <c r="I433" s="9"/>
      <c r="J433" s="9"/>
      <c r="K433" s="9"/>
    </row>
    <row r="434" spans="1:11" ht="13.5" customHeight="1" x14ac:dyDescent="0.25">
      <c r="A434" s="9"/>
      <c r="B434" s="9"/>
      <c r="C434" s="9"/>
      <c r="D434" s="9"/>
      <c r="E434" s="9"/>
      <c r="F434" s="9"/>
      <c r="G434" s="42"/>
      <c r="H434" s="43"/>
      <c r="I434" s="9"/>
      <c r="J434" s="9"/>
      <c r="K434" s="9"/>
    </row>
    <row r="435" spans="1:11" ht="13.5" customHeight="1" x14ac:dyDescent="0.25">
      <c r="A435" s="9"/>
      <c r="B435" s="9"/>
      <c r="C435" s="9"/>
      <c r="D435" s="9"/>
      <c r="E435" s="9"/>
      <c r="F435" s="9"/>
      <c r="G435" s="42"/>
      <c r="H435" s="43"/>
      <c r="I435" s="9"/>
      <c r="J435" s="9"/>
      <c r="K435" s="9"/>
    </row>
    <row r="436" spans="1:11" ht="13.5" customHeight="1" x14ac:dyDescent="0.25">
      <c r="A436" s="9"/>
      <c r="B436" s="9"/>
      <c r="C436" s="9"/>
      <c r="D436" s="9"/>
      <c r="E436" s="9"/>
      <c r="F436" s="9"/>
      <c r="G436" s="42"/>
      <c r="H436" s="43"/>
      <c r="I436" s="9"/>
      <c r="J436" s="9"/>
      <c r="K436" s="9"/>
    </row>
    <row r="437" spans="1:11" ht="13.5" customHeight="1" x14ac:dyDescent="0.25">
      <c r="A437" s="9"/>
      <c r="B437" s="9"/>
      <c r="C437" s="9"/>
      <c r="D437" s="9"/>
      <c r="E437" s="9"/>
      <c r="F437" s="9"/>
      <c r="G437" s="42"/>
      <c r="H437" s="43"/>
      <c r="I437" s="9"/>
      <c r="J437" s="9"/>
      <c r="K437" s="9"/>
    </row>
    <row r="438" spans="1:11" ht="13.5" customHeight="1" x14ac:dyDescent="0.25">
      <c r="A438" s="9"/>
      <c r="B438" s="9"/>
      <c r="C438" s="9"/>
      <c r="D438" s="9"/>
      <c r="E438" s="9"/>
      <c r="F438" s="9"/>
      <c r="G438" s="42"/>
      <c r="H438" s="43"/>
      <c r="I438" s="9"/>
      <c r="J438" s="9"/>
      <c r="K438" s="9"/>
    </row>
    <row r="439" spans="1:11" ht="13.5" customHeight="1" x14ac:dyDescent="0.25">
      <c r="A439" s="9"/>
      <c r="B439" s="9"/>
      <c r="C439" s="9"/>
      <c r="D439" s="9"/>
      <c r="E439" s="9"/>
      <c r="F439" s="9"/>
      <c r="G439" s="42"/>
      <c r="H439" s="43"/>
      <c r="I439" s="9"/>
      <c r="J439" s="9"/>
      <c r="K439" s="9"/>
    </row>
    <row r="440" spans="1:11" ht="13.5" customHeight="1" x14ac:dyDescent="0.25">
      <c r="A440" s="9"/>
      <c r="B440" s="9"/>
      <c r="C440" s="9"/>
      <c r="D440" s="9"/>
      <c r="E440" s="9"/>
      <c r="F440" s="9"/>
      <c r="G440" s="42"/>
      <c r="H440" s="43"/>
      <c r="I440" s="9"/>
      <c r="J440" s="9"/>
      <c r="K440" s="9"/>
    </row>
    <row r="441" spans="1:11" ht="13.5" customHeight="1" x14ac:dyDescent="0.25">
      <c r="A441" s="9"/>
      <c r="B441" s="9"/>
      <c r="C441" s="9"/>
      <c r="D441" s="9"/>
      <c r="E441" s="9"/>
      <c r="F441" s="9"/>
      <c r="G441" s="42"/>
      <c r="H441" s="43"/>
      <c r="I441" s="9"/>
      <c r="J441" s="9"/>
      <c r="K441" s="9"/>
    </row>
    <row r="442" spans="1:11" ht="13.5" customHeight="1" x14ac:dyDescent="0.25">
      <c r="A442" s="9"/>
      <c r="B442" s="9"/>
      <c r="C442" s="9"/>
      <c r="D442" s="9"/>
      <c r="E442" s="9"/>
      <c r="F442" s="9"/>
      <c r="G442" s="42"/>
      <c r="H442" s="43"/>
      <c r="I442" s="9"/>
      <c r="J442" s="9"/>
      <c r="K442" s="9"/>
    </row>
    <row r="443" spans="1:11" ht="13.5" customHeight="1" x14ac:dyDescent="0.25">
      <c r="A443" s="9"/>
      <c r="B443" s="9"/>
      <c r="C443" s="9"/>
      <c r="D443" s="9"/>
      <c r="E443" s="9"/>
      <c r="F443" s="9"/>
      <c r="G443" s="42"/>
      <c r="H443" s="43"/>
      <c r="I443" s="9"/>
      <c r="J443" s="9"/>
      <c r="K443" s="9"/>
    </row>
    <row r="444" spans="1:11" ht="13.5" customHeight="1" x14ac:dyDescent="0.25">
      <c r="A444" s="9"/>
      <c r="B444" s="9"/>
      <c r="C444" s="9"/>
      <c r="D444" s="9"/>
      <c r="E444" s="9"/>
      <c r="F444" s="9"/>
      <c r="G444" s="42"/>
      <c r="H444" s="43"/>
      <c r="I444" s="9"/>
      <c r="J444" s="9"/>
      <c r="K444" s="9"/>
    </row>
    <row r="445" spans="1:11" ht="13.5" customHeight="1" x14ac:dyDescent="0.25">
      <c r="A445" s="9"/>
      <c r="B445" s="9"/>
      <c r="C445" s="9"/>
      <c r="D445" s="9"/>
      <c r="E445" s="9"/>
      <c r="F445" s="9"/>
      <c r="G445" s="42"/>
      <c r="H445" s="43"/>
      <c r="I445" s="9"/>
      <c r="J445" s="9"/>
      <c r="K445" s="9"/>
    </row>
    <row r="446" spans="1:11" ht="13.5" customHeight="1" x14ac:dyDescent="0.25">
      <c r="A446" s="9"/>
      <c r="B446" s="9"/>
      <c r="C446" s="9"/>
      <c r="D446" s="9"/>
      <c r="E446" s="9"/>
      <c r="F446" s="9"/>
      <c r="G446" s="42"/>
      <c r="H446" s="43"/>
      <c r="I446" s="9"/>
      <c r="J446" s="9"/>
      <c r="K446" s="9"/>
    </row>
    <row r="447" spans="1:11" ht="13.5" customHeight="1" x14ac:dyDescent="0.25">
      <c r="A447" s="9"/>
      <c r="B447" s="9"/>
      <c r="C447" s="9"/>
      <c r="D447" s="9"/>
      <c r="E447" s="9"/>
      <c r="F447" s="9"/>
      <c r="G447" s="42"/>
      <c r="H447" s="43"/>
      <c r="I447" s="9"/>
      <c r="J447" s="9"/>
      <c r="K447" s="9"/>
    </row>
    <row r="448" spans="1:11" ht="13.5" customHeight="1" x14ac:dyDescent="0.25">
      <c r="A448" s="9"/>
      <c r="B448" s="9"/>
      <c r="C448" s="9"/>
      <c r="D448" s="9"/>
      <c r="E448" s="9"/>
      <c r="F448" s="9"/>
      <c r="G448" s="42"/>
      <c r="H448" s="43"/>
      <c r="I448" s="9"/>
      <c r="J448" s="9"/>
      <c r="K448" s="9"/>
    </row>
    <row r="449" spans="1:11" ht="13.5" customHeight="1" x14ac:dyDescent="0.25">
      <c r="A449" s="9"/>
      <c r="B449" s="9"/>
      <c r="C449" s="9"/>
      <c r="D449" s="9"/>
      <c r="E449" s="9"/>
      <c r="F449" s="9"/>
      <c r="G449" s="42"/>
      <c r="H449" s="43"/>
      <c r="I449" s="9"/>
      <c r="J449" s="9"/>
      <c r="K449" s="9"/>
    </row>
    <row r="450" spans="1:11" ht="13.5" customHeight="1" x14ac:dyDescent="0.25">
      <c r="A450" s="9"/>
      <c r="B450" s="9"/>
      <c r="C450" s="9"/>
      <c r="D450" s="9"/>
      <c r="E450" s="9"/>
      <c r="F450" s="9"/>
      <c r="G450" s="42"/>
      <c r="H450" s="43"/>
      <c r="I450" s="9"/>
      <c r="J450" s="9"/>
      <c r="K450" s="9"/>
    </row>
    <row r="451" spans="1:11" ht="13.5" customHeight="1" x14ac:dyDescent="0.25">
      <c r="A451" s="9"/>
      <c r="B451" s="9"/>
      <c r="C451" s="9"/>
      <c r="D451" s="9"/>
      <c r="E451" s="9"/>
      <c r="F451" s="9"/>
      <c r="G451" s="42"/>
      <c r="H451" s="43"/>
      <c r="I451" s="9"/>
      <c r="J451" s="9"/>
      <c r="K451" s="9"/>
    </row>
    <row r="452" spans="1:11" ht="13.5" customHeight="1" x14ac:dyDescent="0.25">
      <c r="A452" s="9"/>
      <c r="B452" s="9"/>
      <c r="C452" s="9"/>
      <c r="D452" s="9"/>
      <c r="E452" s="9"/>
      <c r="F452" s="9"/>
      <c r="G452" s="42"/>
      <c r="H452" s="43"/>
      <c r="I452" s="9"/>
      <c r="J452" s="9"/>
      <c r="K452" s="9"/>
    </row>
    <row r="453" spans="1:11" ht="13.5" customHeight="1" x14ac:dyDescent="0.25">
      <c r="A453" s="9"/>
      <c r="B453" s="9"/>
      <c r="C453" s="9"/>
      <c r="D453" s="9"/>
      <c r="E453" s="9"/>
      <c r="F453" s="9"/>
      <c r="G453" s="42"/>
      <c r="H453" s="43"/>
      <c r="I453" s="9"/>
      <c r="J453" s="9"/>
      <c r="K453" s="9"/>
    </row>
    <row r="454" spans="1:11" ht="13.5" customHeight="1" x14ac:dyDescent="0.25">
      <c r="A454" s="9"/>
      <c r="B454" s="9"/>
      <c r="C454" s="9"/>
      <c r="D454" s="9"/>
      <c r="E454" s="9"/>
      <c r="F454" s="9"/>
      <c r="G454" s="42"/>
      <c r="H454" s="43"/>
      <c r="I454" s="9"/>
      <c r="J454" s="9"/>
      <c r="K454" s="9"/>
    </row>
    <row r="455" spans="1:11" ht="13.5" customHeight="1" x14ac:dyDescent="0.25">
      <c r="A455" s="9"/>
      <c r="B455" s="9"/>
      <c r="C455" s="9"/>
      <c r="D455" s="9"/>
      <c r="E455" s="9"/>
      <c r="F455" s="9"/>
      <c r="G455" s="42"/>
      <c r="H455" s="43"/>
      <c r="I455" s="9"/>
      <c r="J455" s="9"/>
      <c r="K455" s="9"/>
    </row>
    <row r="456" spans="1:11" ht="13.5" customHeight="1" x14ac:dyDescent="0.25">
      <c r="A456" s="9"/>
      <c r="B456" s="9"/>
      <c r="C456" s="9"/>
      <c r="D456" s="9"/>
      <c r="E456" s="9"/>
      <c r="F456" s="9"/>
      <c r="G456" s="42"/>
      <c r="H456" s="43"/>
      <c r="I456" s="9"/>
      <c r="J456" s="9"/>
      <c r="K456" s="9"/>
    </row>
    <row r="457" spans="1:11" ht="13.5" customHeight="1" x14ac:dyDescent="0.25">
      <c r="A457" s="9"/>
      <c r="B457" s="9"/>
      <c r="C457" s="9"/>
      <c r="D457" s="9"/>
      <c r="E457" s="9"/>
      <c r="F457" s="9"/>
      <c r="G457" s="42"/>
      <c r="H457" s="43"/>
      <c r="I457" s="9"/>
      <c r="J457" s="9"/>
      <c r="K457" s="9"/>
    </row>
    <row r="458" spans="1:11" ht="13.5" customHeight="1" x14ac:dyDescent="0.25">
      <c r="A458" s="9"/>
      <c r="B458" s="9"/>
      <c r="C458" s="9"/>
      <c r="D458" s="9"/>
      <c r="E458" s="9"/>
      <c r="F458" s="9"/>
      <c r="G458" s="42"/>
      <c r="H458" s="43"/>
      <c r="I458" s="9"/>
      <c r="J458" s="9"/>
      <c r="K458" s="9"/>
    </row>
    <row r="459" spans="1:11" ht="13.5" customHeight="1" x14ac:dyDescent="0.25">
      <c r="A459" s="9"/>
      <c r="B459" s="9"/>
      <c r="C459" s="9"/>
      <c r="D459" s="9"/>
      <c r="E459" s="9"/>
      <c r="F459" s="9"/>
      <c r="G459" s="42"/>
      <c r="H459" s="43"/>
      <c r="I459" s="9"/>
      <c r="J459" s="9"/>
      <c r="K459" s="9"/>
    </row>
    <row r="460" spans="1:11" ht="13.5" customHeight="1" x14ac:dyDescent="0.25">
      <c r="A460" s="9"/>
      <c r="B460" s="9"/>
      <c r="C460" s="9"/>
      <c r="D460" s="9"/>
      <c r="E460" s="9"/>
      <c r="F460" s="9"/>
      <c r="G460" s="42"/>
      <c r="H460" s="43"/>
      <c r="I460" s="9"/>
      <c r="J460" s="9"/>
      <c r="K460" s="9"/>
    </row>
    <row r="461" spans="1:11" ht="13.5" customHeight="1" x14ac:dyDescent="0.25">
      <c r="A461" s="9"/>
      <c r="B461" s="9"/>
      <c r="C461" s="9"/>
      <c r="D461" s="9"/>
      <c r="E461" s="9"/>
      <c r="F461" s="9"/>
      <c r="G461" s="42"/>
      <c r="H461" s="43"/>
      <c r="I461" s="9"/>
      <c r="J461" s="9"/>
      <c r="K461" s="9"/>
    </row>
    <row r="462" spans="1:11" ht="13.5" customHeight="1" x14ac:dyDescent="0.25">
      <c r="A462" s="9"/>
      <c r="B462" s="9"/>
      <c r="C462" s="9"/>
      <c r="D462" s="9"/>
      <c r="E462" s="9"/>
      <c r="F462" s="9"/>
      <c r="G462" s="42"/>
      <c r="H462" s="43"/>
      <c r="I462" s="9"/>
      <c r="J462" s="9"/>
      <c r="K462" s="9"/>
    </row>
    <row r="463" spans="1:11" ht="13.5" customHeight="1" x14ac:dyDescent="0.25">
      <c r="A463" s="9"/>
      <c r="B463" s="9"/>
      <c r="C463" s="9"/>
      <c r="D463" s="9"/>
      <c r="E463" s="9"/>
      <c r="F463" s="9"/>
      <c r="G463" s="42"/>
      <c r="H463" s="43"/>
      <c r="I463" s="9"/>
      <c r="J463" s="9"/>
      <c r="K463" s="9"/>
    </row>
    <row r="464" spans="1:11" ht="13.5" customHeight="1" x14ac:dyDescent="0.25">
      <c r="A464" s="9"/>
      <c r="B464" s="9"/>
      <c r="C464" s="9"/>
      <c r="D464" s="9"/>
      <c r="E464" s="9"/>
      <c r="F464" s="9"/>
      <c r="G464" s="42"/>
      <c r="H464" s="43"/>
      <c r="I464" s="9"/>
      <c r="J464" s="9"/>
      <c r="K464" s="9"/>
    </row>
    <row r="465" spans="1:11" ht="13.5" customHeight="1" x14ac:dyDescent="0.25">
      <c r="A465" s="9"/>
      <c r="B465" s="9"/>
      <c r="C465" s="9"/>
      <c r="D465" s="9"/>
      <c r="E465" s="9"/>
      <c r="F465" s="9"/>
      <c r="G465" s="42"/>
      <c r="H465" s="43"/>
      <c r="I465" s="9"/>
      <c r="J465" s="9"/>
      <c r="K465" s="9"/>
    </row>
    <row r="466" spans="1:11" ht="13.5" customHeight="1" x14ac:dyDescent="0.25">
      <c r="A466" s="9"/>
      <c r="B466" s="9"/>
      <c r="C466" s="9"/>
      <c r="D466" s="9"/>
      <c r="E466" s="9"/>
      <c r="F466" s="9"/>
      <c r="G466" s="42"/>
      <c r="H466" s="43"/>
      <c r="I466" s="9"/>
      <c r="J466" s="9"/>
      <c r="K466" s="9"/>
    </row>
    <row r="467" spans="1:11" ht="13.5" customHeight="1" x14ac:dyDescent="0.25">
      <c r="A467" s="9"/>
      <c r="B467" s="9"/>
      <c r="C467" s="9"/>
      <c r="D467" s="9"/>
      <c r="E467" s="9"/>
      <c r="F467" s="9"/>
      <c r="G467" s="42"/>
      <c r="H467" s="43"/>
      <c r="I467" s="9"/>
      <c r="J467" s="9"/>
      <c r="K467" s="9"/>
    </row>
    <row r="468" spans="1:11" ht="13.5" customHeight="1" x14ac:dyDescent="0.25">
      <c r="A468" s="9"/>
      <c r="B468" s="9"/>
      <c r="C468" s="9"/>
      <c r="D468" s="9"/>
      <c r="E468" s="9"/>
      <c r="F468" s="9"/>
      <c r="G468" s="42"/>
      <c r="H468" s="43"/>
      <c r="I468" s="9"/>
      <c r="J468" s="9"/>
      <c r="K468" s="9"/>
    </row>
    <row r="469" spans="1:11" ht="13.5" customHeight="1" x14ac:dyDescent="0.25">
      <c r="A469" s="9"/>
      <c r="B469" s="9"/>
      <c r="C469" s="9"/>
      <c r="D469" s="9"/>
      <c r="E469" s="9"/>
      <c r="F469" s="9"/>
      <c r="G469" s="42"/>
      <c r="H469" s="43"/>
      <c r="I469" s="9"/>
      <c r="J469" s="9"/>
      <c r="K469" s="9"/>
    </row>
    <row r="470" spans="1:11" ht="13.5" customHeight="1" x14ac:dyDescent="0.25">
      <c r="A470" s="9"/>
      <c r="B470" s="9"/>
      <c r="C470" s="9"/>
      <c r="D470" s="9"/>
      <c r="E470" s="9"/>
      <c r="F470" s="9"/>
      <c r="G470" s="42"/>
      <c r="H470" s="43"/>
      <c r="I470" s="9"/>
      <c r="J470" s="9"/>
      <c r="K470" s="9"/>
    </row>
    <row r="471" spans="1:11" ht="13.5" customHeight="1" x14ac:dyDescent="0.25">
      <c r="A471" s="9"/>
      <c r="B471" s="9"/>
      <c r="C471" s="9"/>
      <c r="D471" s="9"/>
      <c r="E471" s="9"/>
      <c r="F471" s="9"/>
      <c r="G471" s="42"/>
      <c r="H471" s="43"/>
      <c r="I471" s="9"/>
      <c r="J471" s="9"/>
      <c r="K471" s="9"/>
    </row>
    <row r="472" spans="1:11" ht="13.5" customHeight="1" x14ac:dyDescent="0.25">
      <c r="A472" s="9"/>
      <c r="B472" s="9"/>
      <c r="C472" s="9"/>
      <c r="D472" s="9"/>
      <c r="E472" s="9"/>
      <c r="F472" s="9"/>
      <c r="G472" s="42"/>
      <c r="H472" s="43"/>
      <c r="I472" s="9"/>
      <c r="J472" s="9"/>
      <c r="K472" s="9"/>
    </row>
    <row r="473" spans="1:11" ht="13.5" customHeight="1" x14ac:dyDescent="0.25">
      <c r="A473" s="9"/>
      <c r="B473" s="9"/>
      <c r="C473" s="9"/>
      <c r="D473" s="9"/>
      <c r="E473" s="9"/>
      <c r="F473" s="9"/>
      <c r="G473" s="42"/>
      <c r="H473" s="43"/>
      <c r="I473" s="9"/>
      <c r="J473" s="9"/>
      <c r="K473" s="9"/>
    </row>
    <row r="474" spans="1:11" ht="13.5" customHeight="1" x14ac:dyDescent="0.25">
      <c r="A474" s="9"/>
      <c r="B474" s="9"/>
      <c r="C474" s="9"/>
      <c r="D474" s="9"/>
      <c r="E474" s="9"/>
      <c r="F474" s="9"/>
      <c r="G474" s="42"/>
      <c r="H474" s="43"/>
      <c r="I474" s="9"/>
      <c r="J474" s="9"/>
      <c r="K474" s="9"/>
    </row>
    <row r="475" spans="1:11" ht="13.5" customHeight="1" x14ac:dyDescent="0.25">
      <c r="A475" s="9"/>
      <c r="B475" s="9"/>
      <c r="C475" s="9"/>
      <c r="D475" s="9"/>
      <c r="E475" s="9"/>
      <c r="F475" s="9"/>
      <c r="G475" s="42"/>
      <c r="H475" s="43"/>
      <c r="I475" s="9"/>
      <c r="J475" s="9"/>
      <c r="K475" s="9"/>
    </row>
    <row r="476" spans="1:11" ht="13.5" customHeight="1" x14ac:dyDescent="0.25">
      <c r="A476" s="9"/>
      <c r="B476" s="9"/>
      <c r="C476" s="9"/>
      <c r="D476" s="9"/>
      <c r="E476" s="9"/>
      <c r="F476" s="9"/>
      <c r="G476" s="42"/>
      <c r="H476" s="43"/>
      <c r="I476" s="9"/>
      <c r="J476" s="9"/>
      <c r="K476" s="9"/>
    </row>
    <row r="477" spans="1:11" ht="13.5" customHeight="1" x14ac:dyDescent="0.25">
      <c r="A477" s="9"/>
      <c r="B477" s="9"/>
      <c r="C477" s="9"/>
      <c r="D477" s="9"/>
      <c r="E477" s="9"/>
      <c r="F477" s="9"/>
      <c r="G477" s="42"/>
      <c r="H477" s="43"/>
      <c r="I477" s="9"/>
      <c r="J477" s="9"/>
      <c r="K477" s="9"/>
    </row>
    <row r="478" spans="1:11" ht="13.5" customHeight="1" x14ac:dyDescent="0.25">
      <c r="A478" s="9"/>
      <c r="B478" s="9"/>
      <c r="C478" s="9"/>
      <c r="D478" s="9"/>
      <c r="E478" s="9"/>
      <c r="F478" s="9"/>
      <c r="G478" s="42"/>
      <c r="H478" s="43"/>
      <c r="I478" s="9"/>
      <c r="J478" s="9"/>
      <c r="K478" s="9"/>
    </row>
    <row r="479" spans="1:11" ht="13.5" customHeight="1" x14ac:dyDescent="0.25">
      <c r="A479" s="9"/>
      <c r="B479" s="9"/>
      <c r="C479" s="9"/>
      <c r="D479" s="9"/>
      <c r="E479" s="9"/>
      <c r="F479" s="9"/>
      <c r="G479" s="42"/>
      <c r="H479" s="43"/>
      <c r="I479" s="9"/>
      <c r="J479" s="9"/>
      <c r="K479" s="9"/>
    </row>
    <row r="480" spans="1:11" ht="13.5" customHeight="1" x14ac:dyDescent="0.25">
      <c r="A480" s="9"/>
      <c r="B480" s="9"/>
      <c r="C480" s="9"/>
      <c r="D480" s="9"/>
      <c r="E480" s="9"/>
      <c r="F480" s="9"/>
      <c r="G480" s="42"/>
      <c r="H480" s="43"/>
      <c r="I480" s="9"/>
      <c r="J480" s="9"/>
      <c r="K480" s="9"/>
    </row>
    <row r="481" spans="1:11" ht="13.5" customHeight="1" x14ac:dyDescent="0.25">
      <c r="A481" s="9"/>
      <c r="B481" s="9"/>
      <c r="C481" s="9"/>
      <c r="D481" s="9"/>
      <c r="E481" s="9"/>
      <c r="F481" s="9"/>
      <c r="G481" s="42"/>
      <c r="H481" s="43"/>
      <c r="I481" s="9"/>
      <c r="J481" s="9"/>
      <c r="K481" s="9"/>
    </row>
    <row r="482" spans="1:11" ht="13.5" customHeight="1" x14ac:dyDescent="0.25">
      <c r="A482" s="9"/>
      <c r="B482" s="9"/>
      <c r="C482" s="9"/>
      <c r="D482" s="9"/>
      <c r="E482" s="9"/>
      <c r="F482" s="9"/>
      <c r="G482" s="42"/>
      <c r="H482" s="43"/>
      <c r="I482" s="9"/>
      <c r="J482" s="9"/>
      <c r="K482" s="9"/>
    </row>
    <row r="483" spans="1:11" ht="13.5" customHeight="1" x14ac:dyDescent="0.25">
      <c r="A483" s="9"/>
      <c r="B483" s="9"/>
      <c r="C483" s="9"/>
      <c r="D483" s="9"/>
      <c r="E483" s="9"/>
      <c r="F483" s="9"/>
      <c r="G483" s="42"/>
      <c r="H483" s="43"/>
      <c r="I483" s="9"/>
      <c r="J483" s="9"/>
      <c r="K483" s="9"/>
    </row>
    <row r="484" spans="1:11" ht="13.5" customHeight="1" x14ac:dyDescent="0.25">
      <c r="A484" s="9"/>
      <c r="B484" s="9"/>
      <c r="C484" s="9"/>
      <c r="D484" s="9"/>
      <c r="E484" s="9"/>
      <c r="F484" s="9"/>
      <c r="G484" s="42"/>
      <c r="H484" s="43"/>
      <c r="I484" s="9"/>
      <c r="J484" s="9"/>
      <c r="K484" s="9"/>
    </row>
    <row r="485" spans="1:11" ht="13.5" customHeight="1" x14ac:dyDescent="0.25">
      <c r="A485" s="9"/>
      <c r="B485" s="9"/>
      <c r="C485" s="9"/>
      <c r="D485" s="9"/>
      <c r="E485" s="9"/>
      <c r="F485" s="9"/>
      <c r="G485" s="42"/>
      <c r="H485" s="43"/>
      <c r="I485" s="9"/>
      <c r="J485" s="9"/>
      <c r="K485" s="9"/>
    </row>
    <row r="486" spans="1:11" ht="13.5" customHeight="1" x14ac:dyDescent="0.25">
      <c r="A486" s="9"/>
      <c r="B486" s="9"/>
      <c r="C486" s="9"/>
      <c r="D486" s="9"/>
      <c r="E486" s="9"/>
      <c r="F486" s="9"/>
      <c r="G486" s="42"/>
      <c r="H486" s="43"/>
      <c r="I486" s="9"/>
      <c r="J486" s="9"/>
      <c r="K486" s="9"/>
    </row>
    <row r="487" spans="1:11" ht="13.5" customHeight="1" x14ac:dyDescent="0.25">
      <c r="A487" s="9"/>
      <c r="B487" s="9"/>
      <c r="C487" s="9"/>
      <c r="D487" s="9"/>
      <c r="E487" s="9"/>
      <c r="F487" s="9"/>
      <c r="G487" s="42"/>
      <c r="H487" s="43"/>
      <c r="I487" s="9"/>
      <c r="J487" s="9"/>
      <c r="K487" s="9"/>
    </row>
    <row r="488" spans="1:11" ht="13.5" customHeight="1" x14ac:dyDescent="0.25">
      <c r="A488" s="9"/>
      <c r="B488" s="9"/>
      <c r="C488" s="9"/>
      <c r="D488" s="9"/>
      <c r="E488" s="9"/>
      <c r="F488" s="9"/>
      <c r="G488" s="42"/>
      <c r="H488" s="43"/>
      <c r="I488" s="9"/>
      <c r="J488" s="9"/>
      <c r="K488" s="9"/>
    </row>
    <row r="489" spans="1:11" ht="13.5" customHeight="1" x14ac:dyDescent="0.25">
      <c r="A489" s="9"/>
      <c r="B489" s="9"/>
      <c r="C489" s="9"/>
      <c r="D489" s="9"/>
      <c r="E489" s="9"/>
      <c r="F489" s="9"/>
      <c r="G489" s="42"/>
      <c r="H489" s="43"/>
      <c r="I489" s="9"/>
      <c r="J489" s="9"/>
      <c r="K489" s="9"/>
    </row>
    <row r="490" spans="1:11" ht="13.5" customHeight="1" x14ac:dyDescent="0.25">
      <c r="A490" s="9"/>
      <c r="B490" s="9"/>
      <c r="C490" s="9"/>
      <c r="D490" s="9"/>
      <c r="E490" s="9"/>
      <c r="F490" s="9"/>
      <c r="G490" s="42"/>
      <c r="H490" s="43"/>
      <c r="I490" s="9"/>
      <c r="J490" s="9"/>
      <c r="K490" s="9"/>
    </row>
    <row r="491" spans="1:11" ht="13.5" customHeight="1" x14ac:dyDescent="0.25">
      <c r="A491" s="9"/>
      <c r="B491" s="9"/>
      <c r="C491" s="9"/>
      <c r="D491" s="9"/>
      <c r="E491" s="9"/>
      <c r="F491" s="9"/>
      <c r="G491" s="42"/>
      <c r="H491" s="43"/>
      <c r="I491" s="9"/>
      <c r="J491" s="9"/>
      <c r="K491" s="9"/>
    </row>
    <row r="492" spans="1:11" ht="13.5" customHeight="1" x14ac:dyDescent="0.25">
      <c r="A492" s="9"/>
      <c r="B492" s="9"/>
      <c r="C492" s="9"/>
      <c r="D492" s="9"/>
      <c r="E492" s="9"/>
      <c r="F492" s="9"/>
      <c r="G492" s="42"/>
      <c r="H492" s="43"/>
      <c r="I492" s="9"/>
      <c r="J492" s="9"/>
      <c r="K492" s="9"/>
    </row>
    <row r="493" spans="1:11" ht="13.5" customHeight="1" x14ac:dyDescent="0.25">
      <c r="A493" s="9"/>
      <c r="B493" s="9"/>
      <c r="C493" s="9"/>
      <c r="D493" s="9"/>
      <c r="E493" s="9"/>
      <c r="F493" s="9"/>
      <c r="G493" s="42"/>
      <c r="H493" s="43"/>
      <c r="I493" s="9"/>
      <c r="J493" s="9"/>
      <c r="K493" s="9"/>
    </row>
    <row r="494" spans="1:11" ht="13.5" customHeight="1" x14ac:dyDescent="0.25">
      <c r="A494" s="9"/>
      <c r="B494" s="9"/>
      <c r="C494" s="9"/>
      <c r="D494" s="9"/>
      <c r="E494" s="9"/>
      <c r="F494" s="9"/>
      <c r="G494" s="42"/>
      <c r="H494" s="43"/>
      <c r="I494" s="9"/>
      <c r="J494" s="9"/>
      <c r="K494" s="9"/>
    </row>
    <row r="495" spans="1:11" ht="13.5" customHeight="1" x14ac:dyDescent="0.25">
      <c r="A495" s="9"/>
      <c r="B495" s="9"/>
      <c r="C495" s="9"/>
      <c r="D495" s="9"/>
      <c r="E495" s="9"/>
      <c r="F495" s="9"/>
      <c r="G495" s="42"/>
      <c r="H495" s="43"/>
      <c r="I495" s="9"/>
      <c r="J495" s="9"/>
      <c r="K495" s="9"/>
    </row>
    <row r="496" spans="1:11" ht="13.5" customHeight="1" x14ac:dyDescent="0.25">
      <c r="A496" s="9"/>
      <c r="B496" s="9"/>
      <c r="C496" s="9"/>
      <c r="D496" s="9"/>
      <c r="E496" s="9"/>
      <c r="F496" s="9"/>
      <c r="G496" s="42"/>
      <c r="H496" s="43"/>
      <c r="I496" s="9"/>
      <c r="J496" s="9"/>
      <c r="K496" s="9"/>
    </row>
    <row r="497" spans="1:11" ht="13.5" customHeight="1" x14ac:dyDescent="0.25">
      <c r="A497" s="9"/>
      <c r="B497" s="9"/>
      <c r="C497" s="9"/>
      <c r="D497" s="9"/>
      <c r="E497" s="9"/>
      <c r="F497" s="9"/>
      <c r="G497" s="42"/>
      <c r="H497" s="43"/>
      <c r="I497" s="9"/>
      <c r="J497" s="9"/>
      <c r="K497" s="9"/>
    </row>
    <row r="498" spans="1:11" ht="13.5" customHeight="1" x14ac:dyDescent="0.25">
      <c r="A498" s="9"/>
      <c r="B498" s="9"/>
      <c r="C498" s="9"/>
      <c r="D498" s="9"/>
      <c r="E498" s="9"/>
      <c r="F498" s="9"/>
      <c r="G498" s="42"/>
      <c r="H498" s="43"/>
      <c r="I498" s="9"/>
      <c r="J498" s="9"/>
      <c r="K498" s="9"/>
    </row>
    <row r="499" spans="1:11" ht="13.5" customHeight="1" x14ac:dyDescent="0.25">
      <c r="A499" s="9"/>
      <c r="B499" s="9"/>
      <c r="C499" s="9"/>
      <c r="D499" s="9"/>
      <c r="E499" s="9"/>
      <c r="F499" s="9"/>
      <c r="G499" s="42"/>
      <c r="H499" s="43"/>
      <c r="I499" s="9"/>
      <c r="J499" s="9"/>
      <c r="K499" s="9"/>
    </row>
    <row r="500" spans="1:11" ht="13.5" customHeight="1" x14ac:dyDescent="0.25">
      <c r="A500" s="9"/>
      <c r="B500" s="9"/>
      <c r="C500" s="9"/>
      <c r="D500" s="9"/>
      <c r="E500" s="9"/>
      <c r="F500" s="9"/>
      <c r="G500" s="42"/>
      <c r="H500" s="43"/>
      <c r="I500" s="9"/>
      <c r="J500" s="9"/>
      <c r="K500" s="9"/>
    </row>
    <row r="501" spans="1:11" ht="13.5" customHeight="1" x14ac:dyDescent="0.25">
      <c r="A501" s="9"/>
      <c r="B501" s="9"/>
      <c r="C501" s="9"/>
      <c r="D501" s="9"/>
      <c r="E501" s="9"/>
      <c r="F501" s="9"/>
      <c r="G501" s="42"/>
      <c r="H501" s="43"/>
      <c r="I501" s="9"/>
      <c r="J501" s="9"/>
      <c r="K501" s="9"/>
    </row>
    <row r="502" spans="1:11" ht="13.5" customHeight="1" x14ac:dyDescent="0.25">
      <c r="A502" s="9"/>
      <c r="B502" s="9"/>
      <c r="C502" s="9"/>
      <c r="D502" s="9"/>
      <c r="E502" s="9"/>
      <c r="F502" s="9"/>
      <c r="G502" s="42"/>
      <c r="H502" s="43"/>
      <c r="I502" s="9"/>
      <c r="J502" s="9"/>
      <c r="K502" s="9"/>
    </row>
    <row r="503" spans="1:11" ht="13.5" customHeight="1" x14ac:dyDescent="0.25">
      <c r="A503" s="9"/>
      <c r="B503" s="9"/>
      <c r="C503" s="9"/>
      <c r="D503" s="9"/>
      <c r="E503" s="9"/>
      <c r="F503" s="9"/>
      <c r="G503" s="42"/>
      <c r="H503" s="43"/>
      <c r="I503" s="9"/>
      <c r="J503" s="9"/>
      <c r="K503" s="9"/>
    </row>
    <row r="504" spans="1:11" ht="13.5" customHeight="1" x14ac:dyDescent="0.25">
      <c r="A504" s="9"/>
      <c r="B504" s="9"/>
      <c r="C504" s="9"/>
      <c r="D504" s="9"/>
      <c r="E504" s="9"/>
      <c r="F504" s="9"/>
      <c r="G504" s="42"/>
      <c r="H504" s="43"/>
      <c r="I504" s="9"/>
      <c r="J504" s="9"/>
      <c r="K504" s="9"/>
    </row>
    <row r="505" spans="1:11" ht="13.5" customHeight="1" x14ac:dyDescent="0.25">
      <c r="A505" s="9"/>
      <c r="B505" s="9"/>
      <c r="C505" s="9"/>
      <c r="D505" s="9"/>
      <c r="E505" s="9"/>
      <c r="F505" s="9"/>
      <c r="G505" s="42"/>
      <c r="H505" s="43"/>
      <c r="I505" s="9"/>
      <c r="J505" s="9"/>
      <c r="K505" s="9"/>
    </row>
    <row r="506" spans="1:11" ht="13.5" customHeight="1" x14ac:dyDescent="0.25">
      <c r="A506" s="9"/>
      <c r="B506" s="9"/>
      <c r="C506" s="9"/>
      <c r="D506" s="9"/>
      <c r="E506" s="9"/>
      <c r="F506" s="9"/>
      <c r="G506" s="42"/>
      <c r="H506" s="43"/>
      <c r="I506" s="9"/>
      <c r="J506" s="9"/>
      <c r="K506" s="9"/>
    </row>
    <row r="507" spans="1:11" ht="13.5" customHeight="1" x14ac:dyDescent="0.25">
      <c r="A507" s="9"/>
      <c r="B507" s="9"/>
      <c r="C507" s="9"/>
      <c r="D507" s="9"/>
      <c r="E507" s="9"/>
      <c r="F507" s="9"/>
      <c r="G507" s="42"/>
      <c r="H507" s="43"/>
      <c r="I507" s="9"/>
      <c r="J507" s="9"/>
      <c r="K507" s="9"/>
    </row>
    <row r="508" spans="1:11" ht="13.5" customHeight="1" x14ac:dyDescent="0.25">
      <c r="A508" s="9"/>
      <c r="B508" s="9"/>
      <c r="C508" s="9"/>
      <c r="D508" s="9"/>
      <c r="E508" s="9"/>
      <c r="F508" s="9"/>
      <c r="G508" s="42"/>
      <c r="H508" s="43"/>
      <c r="I508" s="9"/>
      <c r="J508" s="9"/>
      <c r="K508" s="9"/>
    </row>
    <row r="509" spans="1:11" ht="13.5" customHeight="1" x14ac:dyDescent="0.25">
      <c r="A509" s="9"/>
      <c r="B509" s="9"/>
      <c r="C509" s="9"/>
      <c r="D509" s="9"/>
      <c r="E509" s="9"/>
      <c r="F509" s="9"/>
      <c r="G509" s="42"/>
      <c r="H509" s="43"/>
      <c r="I509" s="9"/>
      <c r="J509" s="9"/>
      <c r="K509" s="9"/>
    </row>
    <row r="510" spans="1:11" ht="13.5" customHeight="1" x14ac:dyDescent="0.25">
      <c r="A510" s="9"/>
      <c r="B510" s="9"/>
      <c r="C510" s="9"/>
      <c r="D510" s="9"/>
      <c r="E510" s="9"/>
      <c r="F510" s="9"/>
      <c r="G510" s="42"/>
      <c r="H510" s="43"/>
      <c r="I510" s="9"/>
      <c r="J510" s="9"/>
      <c r="K510" s="9"/>
    </row>
    <row r="511" spans="1:11" ht="13.5" customHeight="1" x14ac:dyDescent="0.25">
      <c r="A511" s="9"/>
      <c r="B511" s="9"/>
      <c r="C511" s="9"/>
      <c r="D511" s="9"/>
      <c r="E511" s="9"/>
      <c r="F511" s="9"/>
      <c r="G511" s="42"/>
      <c r="H511" s="43"/>
      <c r="I511" s="9"/>
      <c r="J511" s="9"/>
      <c r="K511" s="9"/>
    </row>
    <row r="512" spans="1:11" ht="13.5" customHeight="1" x14ac:dyDescent="0.25">
      <c r="A512" s="9"/>
      <c r="B512" s="9"/>
      <c r="C512" s="9"/>
      <c r="D512" s="9"/>
      <c r="E512" s="9"/>
      <c r="F512" s="9"/>
      <c r="G512" s="42"/>
      <c r="H512" s="43"/>
      <c r="I512" s="9"/>
      <c r="J512" s="9"/>
      <c r="K512" s="9"/>
    </row>
    <row r="513" spans="1:11" ht="13.5" customHeight="1" x14ac:dyDescent="0.25">
      <c r="A513" s="9"/>
      <c r="B513" s="9"/>
      <c r="C513" s="9"/>
      <c r="D513" s="9"/>
      <c r="E513" s="9"/>
      <c r="F513" s="9"/>
      <c r="G513" s="42"/>
      <c r="H513" s="43"/>
      <c r="I513" s="9"/>
      <c r="J513" s="9"/>
      <c r="K513" s="9"/>
    </row>
    <row r="514" spans="1:11" ht="13.5" customHeight="1" x14ac:dyDescent="0.25">
      <c r="A514" s="9"/>
      <c r="B514" s="9"/>
      <c r="C514" s="9"/>
      <c r="D514" s="9"/>
      <c r="E514" s="9"/>
      <c r="F514" s="9"/>
      <c r="G514" s="42"/>
      <c r="H514" s="43"/>
      <c r="I514" s="9"/>
      <c r="J514" s="9"/>
      <c r="K514" s="9"/>
    </row>
    <row r="515" spans="1:11" ht="13.5" customHeight="1" x14ac:dyDescent="0.25">
      <c r="A515" s="9"/>
      <c r="B515" s="9"/>
      <c r="C515" s="9"/>
      <c r="D515" s="9"/>
      <c r="E515" s="9"/>
      <c r="F515" s="9"/>
      <c r="G515" s="42"/>
      <c r="H515" s="43"/>
      <c r="I515" s="9"/>
      <c r="J515" s="9"/>
      <c r="K515" s="9"/>
    </row>
    <row r="516" spans="1:11" ht="13.5" customHeight="1" x14ac:dyDescent="0.25">
      <c r="A516" s="9"/>
      <c r="B516" s="9"/>
      <c r="C516" s="9"/>
      <c r="D516" s="9"/>
      <c r="E516" s="9"/>
      <c r="F516" s="9"/>
      <c r="G516" s="42"/>
      <c r="H516" s="43"/>
      <c r="I516" s="9"/>
      <c r="J516" s="9"/>
      <c r="K516" s="9"/>
    </row>
    <row r="517" spans="1:11" ht="13.5" customHeight="1" x14ac:dyDescent="0.25">
      <c r="A517" s="9"/>
      <c r="B517" s="9"/>
      <c r="C517" s="9"/>
      <c r="D517" s="9"/>
      <c r="E517" s="9"/>
      <c r="F517" s="9"/>
      <c r="G517" s="42"/>
      <c r="H517" s="43"/>
      <c r="I517" s="9"/>
      <c r="J517" s="9"/>
      <c r="K517" s="9"/>
    </row>
    <row r="518" spans="1:11" ht="13.5" customHeight="1" x14ac:dyDescent="0.25">
      <c r="A518" s="9"/>
      <c r="B518" s="9"/>
      <c r="C518" s="9"/>
      <c r="D518" s="9"/>
      <c r="E518" s="9"/>
      <c r="F518" s="9"/>
      <c r="G518" s="42"/>
      <c r="H518" s="43"/>
      <c r="I518" s="9"/>
      <c r="J518" s="9"/>
      <c r="K518" s="9"/>
    </row>
    <row r="519" spans="1:11" ht="13.5" customHeight="1" x14ac:dyDescent="0.25">
      <c r="A519" s="9"/>
      <c r="B519" s="9"/>
      <c r="C519" s="9"/>
      <c r="D519" s="9"/>
      <c r="E519" s="9"/>
      <c r="F519" s="9"/>
      <c r="G519" s="42"/>
      <c r="H519" s="43"/>
      <c r="I519" s="9"/>
      <c r="J519" s="9"/>
      <c r="K519" s="9"/>
    </row>
    <row r="520" spans="1:11" ht="13.5" customHeight="1" x14ac:dyDescent="0.25">
      <c r="A520" s="9"/>
      <c r="B520" s="9"/>
      <c r="C520" s="9"/>
      <c r="D520" s="9"/>
      <c r="E520" s="9"/>
      <c r="F520" s="9"/>
      <c r="G520" s="42"/>
      <c r="H520" s="43"/>
      <c r="I520" s="9"/>
      <c r="J520" s="9"/>
      <c r="K520" s="9"/>
    </row>
    <row r="521" spans="1:11" ht="13.5" customHeight="1" x14ac:dyDescent="0.25">
      <c r="A521" s="9"/>
      <c r="B521" s="9"/>
      <c r="C521" s="9"/>
      <c r="D521" s="9"/>
      <c r="E521" s="9"/>
      <c r="F521" s="9"/>
      <c r="G521" s="42"/>
      <c r="H521" s="43"/>
      <c r="I521" s="9"/>
      <c r="J521" s="9"/>
      <c r="K521" s="9"/>
    </row>
    <row r="522" spans="1:11" ht="13.5" customHeight="1" x14ac:dyDescent="0.25">
      <c r="A522" s="9"/>
      <c r="B522" s="9"/>
      <c r="C522" s="9"/>
      <c r="D522" s="9"/>
      <c r="E522" s="9"/>
      <c r="F522" s="9"/>
      <c r="G522" s="42"/>
      <c r="H522" s="43"/>
      <c r="I522" s="9"/>
      <c r="J522" s="9"/>
      <c r="K522" s="9"/>
    </row>
    <row r="523" spans="1:11" ht="13.5" customHeight="1" x14ac:dyDescent="0.25">
      <c r="A523" s="9"/>
      <c r="B523" s="9"/>
      <c r="C523" s="9"/>
      <c r="D523" s="9"/>
      <c r="E523" s="9"/>
      <c r="F523" s="9"/>
      <c r="G523" s="42"/>
      <c r="H523" s="43"/>
      <c r="I523" s="9"/>
      <c r="J523" s="9"/>
      <c r="K523" s="9"/>
    </row>
    <row r="524" spans="1:11" ht="13.5" customHeight="1" x14ac:dyDescent="0.25">
      <c r="A524" s="9"/>
      <c r="B524" s="9"/>
      <c r="C524" s="9"/>
      <c r="D524" s="9"/>
      <c r="E524" s="9"/>
      <c r="F524" s="9"/>
      <c r="G524" s="42"/>
      <c r="H524" s="43"/>
      <c r="I524" s="9"/>
      <c r="J524" s="9"/>
      <c r="K524" s="9"/>
    </row>
    <row r="525" spans="1:11" ht="13.5" customHeight="1" x14ac:dyDescent="0.25">
      <c r="A525" s="9"/>
      <c r="B525" s="9"/>
      <c r="C525" s="9"/>
      <c r="D525" s="9"/>
      <c r="E525" s="9"/>
      <c r="F525" s="9"/>
      <c r="G525" s="42"/>
      <c r="H525" s="43"/>
      <c r="I525" s="9"/>
      <c r="J525" s="9"/>
      <c r="K525" s="9"/>
    </row>
    <row r="526" spans="1:11" ht="13.5" customHeight="1" x14ac:dyDescent="0.25">
      <c r="A526" s="9"/>
      <c r="B526" s="9"/>
      <c r="C526" s="9"/>
      <c r="D526" s="9"/>
      <c r="E526" s="9"/>
      <c r="F526" s="9"/>
      <c r="G526" s="42"/>
      <c r="H526" s="43"/>
      <c r="I526" s="9"/>
      <c r="J526" s="9"/>
      <c r="K526" s="9"/>
    </row>
    <row r="527" spans="1:11" ht="13.5" customHeight="1" x14ac:dyDescent="0.25">
      <c r="A527" s="9"/>
      <c r="B527" s="9"/>
      <c r="C527" s="9"/>
      <c r="D527" s="9"/>
      <c r="E527" s="9"/>
      <c r="F527" s="9"/>
      <c r="G527" s="42"/>
      <c r="H527" s="43"/>
      <c r="I527" s="9"/>
      <c r="J527" s="9"/>
      <c r="K527" s="9"/>
    </row>
    <row r="528" spans="1:11" ht="13.5" customHeight="1" x14ac:dyDescent="0.25">
      <c r="A528" s="9"/>
      <c r="B528" s="9"/>
      <c r="C528" s="9"/>
      <c r="D528" s="9"/>
      <c r="E528" s="9"/>
      <c r="F528" s="9"/>
      <c r="G528" s="42"/>
      <c r="H528" s="43"/>
      <c r="I528" s="9"/>
      <c r="J528" s="9"/>
      <c r="K528" s="9"/>
    </row>
    <row r="529" spans="1:11" ht="13.5" customHeight="1" x14ac:dyDescent="0.25">
      <c r="A529" s="9"/>
      <c r="B529" s="9"/>
      <c r="C529" s="9"/>
      <c r="D529" s="9"/>
      <c r="E529" s="9"/>
      <c r="F529" s="9"/>
      <c r="G529" s="42"/>
      <c r="H529" s="43"/>
      <c r="I529" s="9"/>
      <c r="J529" s="9"/>
      <c r="K529" s="9"/>
    </row>
    <row r="530" spans="1:11" ht="13.5" customHeight="1" x14ac:dyDescent="0.25">
      <c r="A530" s="9"/>
      <c r="B530" s="9"/>
      <c r="C530" s="9"/>
      <c r="D530" s="9"/>
      <c r="E530" s="9"/>
      <c r="F530" s="9"/>
      <c r="G530" s="42"/>
      <c r="H530" s="43"/>
      <c r="I530" s="9"/>
      <c r="J530" s="9"/>
      <c r="K530" s="9"/>
    </row>
    <row r="531" spans="1:11" ht="13.5" customHeight="1" x14ac:dyDescent="0.25">
      <c r="A531" s="9"/>
      <c r="B531" s="9"/>
      <c r="C531" s="9"/>
      <c r="D531" s="9"/>
      <c r="E531" s="9"/>
      <c r="F531" s="9"/>
      <c r="G531" s="42"/>
      <c r="H531" s="43"/>
      <c r="I531" s="9"/>
      <c r="J531" s="9"/>
      <c r="K531" s="9"/>
    </row>
    <row r="532" spans="1:11" ht="13.5" customHeight="1" x14ac:dyDescent="0.25">
      <c r="A532" s="9"/>
      <c r="B532" s="9"/>
      <c r="C532" s="9"/>
      <c r="D532" s="9"/>
      <c r="E532" s="9"/>
      <c r="F532" s="9"/>
      <c r="G532" s="42"/>
      <c r="H532" s="43"/>
      <c r="I532" s="9"/>
      <c r="J532" s="9"/>
      <c r="K532" s="9"/>
    </row>
    <row r="533" spans="1:11" ht="13.5" customHeight="1" x14ac:dyDescent="0.25">
      <c r="A533" s="9"/>
      <c r="B533" s="9"/>
      <c r="C533" s="9"/>
      <c r="D533" s="9"/>
      <c r="E533" s="9"/>
      <c r="F533" s="9"/>
      <c r="G533" s="42"/>
      <c r="H533" s="43"/>
      <c r="I533" s="9"/>
      <c r="J533" s="9"/>
      <c r="K533" s="9"/>
    </row>
    <row r="534" spans="1:11" ht="13.5" customHeight="1" x14ac:dyDescent="0.25">
      <c r="A534" s="9"/>
      <c r="B534" s="9"/>
      <c r="C534" s="9"/>
      <c r="D534" s="9"/>
      <c r="E534" s="9"/>
      <c r="F534" s="9"/>
      <c r="G534" s="42"/>
      <c r="H534" s="43"/>
      <c r="I534" s="9"/>
      <c r="J534" s="9"/>
      <c r="K534" s="9"/>
    </row>
    <row r="535" spans="1:11" ht="13.5" customHeight="1" x14ac:dyDescent="0.25">
      <c r="A535" s="9"/>
      <c r="B535" s="9"/>
      <c r="C535" s="9"/>
      <c r="D535" s="9"/>
      <c r="E535" s="9"/>
      <c r="F535" s="9"/>
      <c r="G535" s="42"/>
      <c r="H535" s="43"/>
      <c r="I535" s="9"/>
      <c r="J535" s="9"/>
      <c r="K535" s="9"/>
    </row>
    <row r="536" spans="1:11" ht="13.5" customHeight="1" x14ac:dyDescent="0.25">
      <c r="A536" s="9"/>
      <c r="B536" s="9"/>
      <c r="C536" s="9"/>
      <c r="D536" s="9"/>
      <c r="E536" s="9"/>
      <c r="F536" s="9"/>
      <c r="G536" s="42"/>
      <c r="H536" s="43"/>
      <c r="I536" s="9"/>
      <c r="J536" s="9"/>
      <c r="K536" s="9"/>
    </row>
    <row r="537" spans="1:11" ht="13.5" customHeight="1" x14ac:dyDescent="0.25">
      <c r="A537" s="9"/>
      <c r="B537" s="9"/>
      <c r="C537" s="9"/>
      <c r="D537" s="9"/>
      <c r="E537" s="9"/>
      <c r="F537" s="9"/>
      <c r="G537" s="42"/>
      <c r="H537" s="43"/>
      <c r="I537" s="9"/>
      <c r="J537" s="9"/>
      <c r="K537" s="9"/>
    </row>
    <row r="538" spans="1:11" ht="13.5" customHeight="1" x14ac:dyDescent="0.25">
      <c r="A538" s="9"/>
      <c r="B538" s="9"/>
      <c r="C538" s="9"/>
      <c r="D538" s="9"/>
      <c r="E538" s="9"/>
      <c r="F538" s="9"/>
      <c r="G538" s="42"/>
      <c r="H538" s="43"/>
      <c r="I538" s="9"/>
      <c r="J538" s="9"/>
      <c r="K538" s="9"/>
    </row>
    <row r="539" spans="1:11" ht="13.5" customHeight="1" x14ac:dyDescent="0.25">
      <c r="A539" s="9"/>
      <c r="B539" s="9"/>
      <c r="C539" s="9"/>
      <c r="D539" s="9"/>
      <c r="E539" s="9"/>
      <c r="F539" s="9"/>
      <c r="G539" s="42"/>
      <c r="H539" s="43"/>
      <c r="I539" s="9"/>
      <c r="J539" s="9"/>
      <c r="K539" s="9"/>
    </row>
    <row r="540" spans="1:11" ht="13.5" customHeight="1" x14ac:dyDescent="0.25">
      <c r="A540" s="9"/>
      <c r="B540" s="9"/>
      <c r="C540" s="9"/>
      <c r="D540" s="9"/>
      <c r="E540" s="9"/>
      <c r="F540" s="9"/>
      <c r="G540" s="42"/>
      <c r="H540" s="43"/>
      <c r="I540" s="9"/>
      <c r="J540" s="9"/>
      <c r="K540" s="9"/>
    </row>
    <row r="541" spans="1:11" ht="13.5" customHeight="1" x14ac:dyDescent="0.25">
      <c r="A541" s="9"/>
      <c r="B541" s="9"/>
      <c r="C541" s="9"/>
      <c r="D541" s="9"/>
      <c r="E541" s="9"/>
      <c r="F541" s="9"/>
      <c r="G541" s="42"/>
      <c r="H541" s="43"/>
      <c r="I541" s="9"/>
      <c r="J541" s="9"/>
      <c r="K541" s="9"/>
    </row>
    <row r="542" spans="1:11" ht="13.5" customHeight="1" x14ac:dyDescent="0.25">
      <c r="A542" s="9"/>
      <c r="B542" s="9"/>
      <c r="C542" s="9"/>
      <c r="D542" s="9"/>
      <c r="E542" s="9"/>
      <c r="F542" s="9"/>
      <c r="G542" s="42"/>
      <c r="H542" s="43"/>
      <c r="I542" s="9"/>
      <c r="J542" s="9"/>
      <c r="K542" s="9"/>
    </row>
    <row r="543" spans="1:11" ht="13.5" customHeight="1" x14ac:dyDescent="0.25">
      <c r="A543" s="9"/>
      <c r="B543" s="9"/>
      <c r="C543" s="9"/>
      <c r="D543" s="9"/>
      <c r="E543" s="9"/>
      <c r="F543" s="9"/>
      <c r="G543" s="42"/>
      <c r="H543" s="43"/>
      <c r="I543" s="9"/>
      <c r="J543" s="9"/>
      <c r="K543" s="9"/>
    </row>
    <row r="544" spans="1:11" ht="13.5" customHeight="1" x14ac:dyDescent="0.25">
      <c r="A544" s="9"/>
      <c r="B544" s="9"/>
      <c r="C544" s="9"/>
      <c r="D544" s="9"/>
      <c r="E544" s="9"/>
      <c r="F544" s="9"/>
      <c r="G544" s="42"/>
      <c r="H544" s="43"/>
      <c r="I544" s="9"/>
      <c r="J544" s="9"/>
      <c r="K544" s="9"/>
    </row>
    <row r="545" spans="1:11" ht="13.5" customHeight="1" x14ac:dyDescent="0.25">
      <c r="A545" s="9"/>
      <c r="B545" s="9"/>
      <c r="C545" s="9"/>
      <c r="D545" s="9"/>
      <c r="E545" s="9"/>
      <c r="F545" s="9"/>
      <c r="G545" s="42"/>
      <c r="H545" s="43"/>
      <c r="I545" s="9"/>
      <c r="J545" s="9"/>
      <c r="K545" s="9"/>
    </row>
    <row r="546" spans="1:11" ht="13.5" customHeight="1" x14ac:dyDescent="0.25">
      <c r="A546" s="9"/>
      <c r="B546" s="9"/>
      <c r="C546" s="9"/>
      <c r="D546" s="9"/>
      <c r="E546" s="9"/>
      <c r="F546" s="9"/>
      <c r="G546" s="42"/>
      <c r="H546" s="43"/>
      <c r="I546" s="9"/>
      <c r="J546" s="9"/>
      <c r="K546" s="9"/>
    </row>
    <row r="547" spans="1:11" ht="13.5" customHeight="1" x14ac:dyDescent="0.25">
      <c r="A547" s="9"/>
      <c r="B547" s="9"/>
      <c r="C547" s="9"/>
      <c r="D547" s="9"/>
      <c r="E547" s="9"/>
      <c r="F547" s="9"/>
      <c r="G547" s="42"/>
      <c r="H547" s="43"/>
      <c r="I547" s="9"/>
      <c r="J547" s="9"/>
      <c r="K547" s="9"/>
    </row>
    <row r="548" spans="1:11" ht="13.5" customHeight="1" x14ac:dyDescent="0.25">
      <c r="A548" s="9"/>
      <c r="B548" s="9"/>
      <c r="C548" s="9"/>
      <c r="D548" s="9"/>
      <c r="E548" s="9"/>
      <c r="F548" s="9"/>
      <c r="G548" s="42"/>
      <c r="H548" s="43"/>
      <c r="I548" s="9"/>
      <c r="J548" s="9"/>
      <c r="K548" s="9"/>
    </row>
    <row r="549" spans="1:11" ht="13.5" customHeight="1" x14ac:dyDescent="0.25">
      <c r="A549" s="9"/>
      <c r="B549" s="9"/>
      <c r="C549" s="9"/>
      <c r="D549" s="9"/>
      <c r="E549" s="9"/>
      <c r="F549" s="9"/>
      <c r="G549" s="42"/>
      <c r="H549" s="43"/>
      <c r="I549" s="9"/>
      <c r="J549" s="9"/>
      <c r="K549" s="9"/>
    </row>
    <row r="550" spans="1:11" ht="13.5" customHeight="1" x14ac:dyDescent="0.25">
      <c r="A550" s="9"/>
      <c r="B550" s="9"/>
      <c r="C550" s="9"/>
      <c r="D550" s="9"/>
      <c r="E550" s="9"/>
      <c r="F550" s="9"/>
      <c r="G550" s="42"/>
      <c r="H550" s="43"/>
      <c r="I550" s="9"/>
      <c r="J550" s="9"/>
      <c r="K550" s="9"/>
    </row>
    <row r="551" spans="1:11" ht="13.5" customHeight="1" x14ac:dyDescent="0.25">
      <c r="A551" s="9"/>
      <c r="B551" s="9"/>
      <c r="C551" s="9"/>
      <c r="D551" s="9"/>
      <c r="E551" s="9"/>
      <c r="F551" s="9"/>
      <c r="G551" s="42"/>
      <c r="H551" s="43"/>
      <c r="I551" s="9"/>
      <c r="J551" s="9"/>
      <c r="K551" s="9"/>
    </row>
    <row r="552" spans="1:11" ht="13.5" customHeight="1" x14ac:dyDescent="0.25">
      <c r="A552" s="9"/>
      <c r="B552" s="9"/>
      <c r="C552" s="9"/>
      <c r="D552" s="9"/>
      <c r="E552" s="9"/>
      <c r="F552" s="9"/>
      <c r="G552" s="42"/>
      <c r="H552" s="43"/>
      <c r="I552" s="9"/>
      <c r="J552" s="9"/>
      <c r="K552" s="9"/>
    </row>
    <row r="553" spans="1:11" ht="13.5" customHeight="1" x14ac:dyDescent="0.25">
      <c r="A553" s="9"/>
      <c r="B553" s="9"/>
      <c r="C553" s="9"/>
      <c r="D553" s="9"/>
      <c r="E553" s="9"/>
      <c r="F553" s="9"/>
      <c r="G553" s="42"/>
      <c r="H553" s="43"/>
      <c r="I553" s="9"/>
      <c r="J553" s="9"/>
      <c r="K553" s="9"/>
    </row>
    <row r="554" spans="1:11" ht="13.5" customHeight="1" x14ac:dyDescent="0.25">
      <c r="A554" s="9"/>
      <c r="B554" s="9"/>
      <c r="C554" s="9"/>
      <c r="D554" s="9"/>
      <c r="E554" s="9"/>
      <c r="F554" s="9"/>
      <c r="G554" s="42"/>
      <c r="H554" s="43"/>
      <c r="I554" s="9"/>
      <c r="J554" s="9"/>
      <c r="K554" s="9"/>
    </row>
    <row r="555" spans="1:11" ht="13.5" customHeight="1" x14ac:dyDescent="0.25">
      <c r="A555" s="9"/>
      <c r="B555" s="9"/>
      <c r="C555" s="9"/>
      <c r="D555" s="9"/>
      <c r="E555" s="9"/>
      <c r="F555" s="9"/>
      <c r="G555" s="42"/>
      <c r="H555" s="43"/>
      <c r="I555" s="9"/>
      <c r="J555" s="9"/>
      <c r="K555" s="9"/>
    </row>
    <row r="556" spans="1:11" ht="13.5" customHeight="1" x14ac:dyDescent="0.25">
      <c r="A556" s="9"/>
      <c r="B556" s="9"/>
      <c r="C556" s="9"/>
      <c r="D556" s="9"/>
      <c r="E556" s="9"/>
      <c r="F556" s="9"/>
      <c r="G556" s="42"/>
      <c r="H556" s="43"/>
      <c r="I556" s="9"/>
      <c r="J556" s="9"/>
      <c r="K556" s="9"/>
    </row>
    <row r="557" spans="1:11" ht="13.5" customHeight="1" x14ac:dyDescent="0.25">
      <c r="A557" s="9"/>
      <c r="B557" s="9"/>
      <c r="C557" s="9"/>
      <c r="D557" s="9"/>
      <c r="E557" s="9"/>
      <c r="F557" s="9"/>
      <c r="G557" s="42"/>
      <c r="H557" s="43"/>
      <c r="I557" s="9"/>
      <c r="J557" s="9"/>
      <c r="K557" s="9"/>
    </row>
    <row r="558" spans="1:11" ht="13.5" customHeight="1" x14ac:dyDescent="0.25">
      <c r="A558" s="9"/>
      <c r="B558" s="9"/>
      <c r="C558" s="9"/>
      <c r="D558" s="9"/>
      <c r="E558" s="9"/>
      <c r="F558" s="9"/>
      <c r="G558" s="42"/>
      <c r="H558" s="43"/>
      <c r="I558" s="9"/>
      <c r="J558" s="9"/>
      <c r="K558" s="9"/>
    </row>
    <row r="559" spans="1:11" ht="13.5" customHeight="1" x14ac:dyDescent="0.25">
      <c r="A559" s="9"/>
      <c r="B559" s="9"/>
      <c r="C559" s="9"/>
      <c r="D559" s="9"/>
      <c r="E559" s="9"/>
      <c r="F559" s="9"/>
      <c r="G559" s="42"/>
      <c r="H559" s="43"/>
      <c r="I559" s="9"/>
      <c r="J559" s="9"/>
      <c r="K559" s="9"/>
    </row>
    <row r="560" spans="1:11" ht="13.5" customHeight="1" x14ac:dyDescent="0.25">
      <c r="A560" s="9"/>
      <c r="B560" s="9"/>
      <c r="C560" s="9"/>
      <c r="D560" s="9"/>
      <c r="E560" s="9"/>
      <c r="F560" s="9"/>
      <c r="G560" s="42"/>
      <c r="H560" s="43"/>
      <c r="I560" s="9"/>
      <c r="J560" s="9"/>
      <c r="K560" s="9"/>
    </row>
    <row r="561" spans="1:11" ht="13.5" customHeight="1" x14ac:dyDescent="0.25">
      <c r="A561" s="9"/>
      <c r="B561" s="9"/>
      <c r="C561" s="9"/>
      <c r="D561" s="9"/>
      <c r="E561" s="9"/>
      <c r="F561" s="9"/>
      <c r="G561" s="42"/>
      <c r="H561" s="43"/>
      <c r="I561" s="9"/>
      <c r="J561" s="9"/>
      <c r="K561" s="9"/>
    </row>
    <row r="562" spans="1:11" ht="13.5" customHeight="1" x14ac:dyDescent="0.25">
      <c r="A562" s="9"/>
      <c r="B562" s="9"/>
      <c r="C562" s="9"/>
      <c r="D562" s="9"/>
      <c r="E562" s="9"/>
      <c r="F562" s="9"/>
      <c r="G562" s="42"/>
      <c r="H562" s="43"/>
      <c r="I562" s="9"/>
      <c r="J562" s="9"/>
      <c r="K562" s="9"/>
    </row>
    <row r="563" spans="1:11" ht="13.5" customHeight="1" x14ac:dyDescent="0.25">
      <c r="A563" s="9"/>
      <c r="B563" s="9"/>
      <c r="C563" s="9"/>
      <c r="D563" s="9"/>
      <c r="E563" s="9"/>
      <c r="F563" s="9"/>
      <c r="G563" s="42"/>
      <c r="H563" s="43"/>
      <c r="I563" s="9"/>
      <c r="J563" s="9"/>
      <c r="K563" s="9"/>
    </row>
    <row r="564" spans="1:11" ht="13.5" customHeight="1" x14ac:dyDescent="0.25">
      <c r="A564" s="9"/>
      <c r="B564" s="9"/>
      <c r="C564" s="9"/>
      <c r="D564" s="9"/>
      <c r="E564" s="9"/>
      <c r="F564" s="9"/>
      <c r="G564" s="42"/>
      <c r="H564" s="43"/>
      <c r="I564" s="9"/>
      <c r="J564" s="9"/>
      <c r="K564" s="9"/>
    </row>
    <row r="565" spans="1:11" ht="13.5" customHeight="1" x14ac:dyDescent="0.25">
      <c r="A565" s="9"/>
      <c r="B565" s="9"/>
      <c r="C565" s="9"/>
      <c r="D565" s="9"/>
      <c r="E565" s="9"/>
      <c r="F565" s="9"/>
      <c r="G565" s="42"/>
      <c r="H565" s="43"/>
      <c r="I565" s="9"/>
      <c r="J565" s="9"/>
      <c r="K565" s="9"/>
    </row>
    <row r="566" spans="1:11" ht="13.5" customHeight="1" x14ac:dyDescent="0.25">
      <c r="A566" s="9"/>
      <c r="B566" s="9"/>
      <c r="C566" s="9"/>
      <c r="D566" s="9"/>
      <c r="E566" s="9"/>
      <c r="F566" s="9"/>
      <c r="G566" s="42"/>
      <c r="H566" s="43"/>
      <c r="I566" s="9"/>
      <c r="J566" s="9"/>
      <c r="K566" s="9"/>
    </row>
    <row r="567" spans="1:11" ht="13.5" customHeight="1" x14ac:dyDescent="0.25">
      <c r="A567" s="9"/>
      <c r="B567" s="9"/>
      <c r="C567" s="9"/>
      <c r="D567" s="9"/>
      <c r="E567" s="9"/>
      <c r="F567" s="9"/>
      <c r="G567" s="42"/>
      <c r="H567" s="43"/>
      <c r="I567" s="9"/>
      <c r="J567" s="9"/>
      <c r="K567" s="9"/>
    </row>
    <row r="568" spans="1:11" ht="13.5" customHeight="1" x14ac:dyDescent="0.25">
      <c r="A568" s="9"/>
      <c r="B568" s="9"/>
      <c r="C568" s="9"/>
      <c r="D568" s="9"/>
      <c r="E568" s="9"/>
      <c r="F568" s="9"/>
      <c r="G568" s="42"/>
      <c r="H568" s="43"/>
      <c r="I568" s="9"/>
      <c r="J568" s="9"/>
      <c r="K568" s="9"/>
    </row>
    <row r="569" spans="1:11" ht="13.5" customHeight="1" x14ac:dyDescent="0.25">
      <c r="A569" s="9"/>
      <c r="B569" s="9"/>
      <c r="C569" s="9"/>
      <c r="D569" s="9"/>
      <c r="E569" s="9"/>
      <c r="F569" s="9"/>
      <c r="G569" s="42"/>
      <c r="H569" s="43"/>
      <c r="I569" s="9"/>
      <c r="J569" s="9"/>
      <c r="K569" s="9"/>
    </row>
    <row r="570" spans="1:11" ht="13.5" customHeight="1" x14ac:dyDescent="0.25">
      <c r="A570" s="9"/>
      <c r="B570" s="9"/>
      <c r="C570" s="9"/>
      <c r="D570" s="9"/>
      <c r="E570" s="9"/>
      <c r="F570" s="9"/>
      <c r="G570" s="42"/>
      <c r="H570" s="43"/>
      <c r="I570" s="9"/>
      <c r="J570" s="9"/>
      <c r="K570" s="9"/>
    </row>
    <row r="571" spans="1:11" ht="13.5" customHeight="1" x14ac:dyDescent="0.25">
      <c r="A571" s="9"/>
      <c r="B571" s="9"/>
      <c r="C571" s="9"/>
      <c r="D571" s="9"/>
      <c r="E571" s="9"/>
      <c r="F571" s="9"/>
      <c r="G571" s="42"/>
      <c r="H571" s="43"/>
      <c r="I571" s="9"/>
      <c r="J571" s="9"/>
      <c r="K571" s="9"/>
    </row>
    <row r="572" spans="1:11" ht="13.5" customHeight="1" x14ac:dyDescent="0.25">
      <c r="A572" s="9"/>
      <c r="B572" s="9"/>
      <c r="C572" s="9"/>
      <c r="D572" s="9"/>
      <c r="E572" s="9"/>
      <c r="F572" s="9"/>
      <c r="G572" s="42"/>
      <c r="H572" s="43"/>
      <c r="I572" s="9"/>
      <c r="J572" s="9"/>
      <c r="K572" s="9"/>
    </row>
    <row r="573" spans="1:11" ht="13.5" customHeight="1" x14ac:dyDescent="0.25">
      <c r="A573" s="9"/>
      <c r="B573" s="9"/>
      <c r="C573" s="9"/>
      <c r="D573" s="9"/>
      <c r="E573" s="9"/>
      <c r="F573" s="9"/>
      <c r="G573" s="42"/>
      <c r="H573" s="43"/>
      <c r="I573" s="9"/>
      <c r="J573" s="9"/>
      <c r="K573" s="9"/>
    </row>
    <row r="574" spans="1:11" ht="13.5" customHeight="1" x14ac:dyDescent="0.25">
      <c r="A574" s="9"/>
      <c r="B574" s="9"/>
      <c r="C574" s="9"/>
      <c r="D574" s="9"/>
      <c r="E574" s="9"/>
      <c r="F574" s="9"/>
      <c r="G574" s="42"/>
      <c r="H574" s="43"/>
      <c r="I574" s="9"/>
      <c r="J574" s="9"/>
      <c r="K574" s="9"/>
    </row>
    <row r="575" spans="1:11" ht="13.5" customHeight="1" x14ac:dyDescent="0.25">
      <c r="A575" s="9"/>
      <c r="B575" s="9"/>
      <c r="C575" s="9"/>
      <c r="D575" s="9"/>
      <c r="E575" s="9"/>
      <c r="F575" s="9"/>
      <c r="G575" s="42"/>
      <c r="H575" s="43"/>
      <c r="I575" s="9"/>
      <c r="J575" s="9"/>
      <c r="K575" s="9"/>
    </row>
    <row r="576" spans="1:11" ht="13.5" customHeight="1" x14ac:dyDescent="0.25">
      <c r="A576" s="9"/>
      <c r="B576" s="9"/>
      <c r="C576" s="9"/>
      <c r="D576" s="9"/>
      <c r="E576" s="9"/>
      <c r="F576" s="9"/>
      <c r="G576" s="42"/>
      <c r="H576" s="43"/>
      <c r="I576" s="9"/>
      <c r="J576" s="9"/>
      <c r="K576" s="9"/>
    </row>
    <row r="577" spans="1:11" ht="13.5" customHeight="1" x14ac:dyDescent="0.25">
      <c r="A577" s="9"/>
      <c r="B577" s="9"/>
      <c r="C577" s="9"/>
      <c r="D577" s="9"/>
      <c r="E577" s="9"/>
      <c r="F577" s="9"/>
      <c r="G577" s="42"/>
      <c r="H577" s="43"/>
      <c r="I577" s="9"/>
      <c r="J577" s="9"/>
      <c r="K577" s="9"/>
    </row>
    <row r="578" spans="1:11" ht="13.5" customHeight="1" x14ac:dyDescent="0.25">
      <c r="A578" s="9"/>
      <c r="B578" s="9"/>
      <c r="C578" s="9"/>
      <c r="D578" s="9"/>
      <c r="E578" s="9"/>
      <c r="F578" s="9"/>
      <c r="G578" s="42"/>
      <c r="H578" s="43"/>
      <c r="I578" s="9"/>
      <c r="J578" s="9"/>
      <c r="K578" s="9"/>
    </row>
    <row r="579" spans="1:11" ht="13.5" customHeight="1" x14ac:dyDescent="0.25">
      <c r="A579" s="9"/>
      <c r="B579" s="9"/>
      <c r="C579" s="9"/>
      <c r="D579" s="9"/>
      <c r="E579" s="9"/>
      <c r="F579" s="9"/>
      <c r="G579" s="42"/>
      <c r="H579" s="43"/>
      <c r="I579" s="9"/>
      <c r="J579" s="9"/>
      <c r="K579" s="9"/>
    </row>
    <row r="580" spans="1:11" ht="13.5" customHeight="1" x14ac:dyDescent="0.25">
      <c r="A580" s="9"/>
      <c r="B580" s="9"/>
      <c r="C580" s="9"/>
      <c r="D580" s="9"/>
      <c r="E580" s="9"/>
      <c r="F580" s="9"/>
      <c r="G580" s="42"/>
      <c r="H580" s="43"/>
      <c r="I580" s="9"/>
      <c r="J580" s="9"/>
      <c r="K580" s="9"/>
    </row>
    <row r="581" spans="1:11" ht="13.5" customHeight="1" x14ac:dyDescent="0.25">
      <c r="A581" s="9"/>
      <c r="B581" s="9"/>
      <c r="C581" s="9"/>
      <c r="D581" s="9"/>
      <c r="E581" s="9"/>
      <c r="F581" s="9"/>
      <c r="G581" s="42"/>
      <c r="H581" s="43"/>
      <c r="I581" s="9"/>
      <c r="J581" s="9"/>
      <c r="K581" s="9"/>
    </row>
    <row r="582" spans="1:11" ht="13.5" customHeight="1" x14ac:dyDescent="0.25">
      <c r="A582" s="9"/>
      <c r="B582" s="9"/>
      <c r="C582" s="9"/>
      <c r="D582" s="9"/>
      <c r="E582" s="9"/>
      <c r="F582" s="9"/>
      <c r="G582" s="42"/>
      <c r="H582" s="43"/>
      <c r="I582" s="9"/>
      <c r="J582" s="9"/>
      <c r="K582" s="9"/>
    </row>
    <row r="583" spans="1:11" ht="13.5" customHeight="1" x14ac:dyDescent="0.25">
      <c r="A583" s="9"/>
      <c r="B583" s="9"/>
      <c r="C583" s="9"/>
      <c r="D583" s="9"/>
      <c r="E583" s="9"/>
      <c r="F583" s="9"/>
      <c r="G583" s="42"/>
      <c r="H583" s="43"/>
      <c r="I583" s="9"/>
      <c r="J583" s="9"/>
      <c r="K583" s="9"/>
    </row>
    <row r="584" spans="1:11" ht="13.5" customHeight="1" x14ac:dyDescent="0.25">
      <c r="A584" s="9"/>
      <c r="B584" s="9"/>
      <c r="C584" s="9"/>
      <c r="D584" s="9"/>
      <c r="E584" s="9"/>
      <c r="F584" s="9"/>
      <c r="G584" s="42"/>
      <c r="H584" s="43"/>
      <c r="I584" s="9"/>
      <c r="J584" s="9"/>
      <c r="K584" s="9"/>
    </row>
    <row r="585" spans="1:11" ht="13.5" customHeight="1" x14ac:dyDescent="0.25">
      <c r="A585" s="9"/>
      <c r="B585" s="9"/>
      <c r="C585" s="9"/>
      <c r="D585" s="9"/>
      <c r="E585" s="9"/>
      <c r="F585" s="9"/>
      <c r="G585" s="42"/>
      <c r="H585" s="43"/>
      <c r="I585" s="9"/>
      <c r="J585" s="9"/>
      <c r="K585" s="9"/>
    </row>
    <row r="586" spans="1:11" ht="13.5" customHeight="1" x14ac:dyDescent="0.25">
      <c r="A586" s="9"/>
      <c r="B586" s="9"/>
      <c r="C586" s="9"/>
      <c r="D586" s="9"/>
      <c r="E586" s="9"/>
      <c r="F586" s="9"/>
      <c r="G586" s="42"/>
      <c r="H586" s="43"/>
      <c r="I586" s="9"/>
      <c r="J586" s="9"/>
      <c r="K586" s="9"/>
    </row>
    <row r="587" spans="1:11" ht="13.5" customHeight="1" x14ac:dyDescent="0.25">
      <c r="A587" s="9"/>
      <c r="B587" s="9"/>
      <c r="C587" s="9"/>
      <c r="D587" s="9"/>
      <c r="E587" s="9"/>
      <c r="F587" s="9"/>
      <c r="G587" s="42"/>
      <c r="H587" s="43"/>
      <c r="I587" s="9"/>
      <c r="J587" s="9"/>
      <c r="K587" s="9"/>
    </row>
    <row r="588" spans="1:11" ht="13.5" customHeight="1" x14ac:dyDescent="0.25">
      <c r="A588" s="9"/>
      <c r="B588" s="9"/>
      <c r="C588" s="9"/>
      <c r="D588" s="9"/>
      <c r="E588" s="9"/>
      <c r="F588" s="9"/>
      <c r="G588" s="42"/>
      <c r="H588" s="43"/>
      <c r="I588" s="9"/>
      <c r="J588" s="9"/>
      <c r="K588" s="9"/>
    </row>
    <row r="589" spans="1:11" ht="13.5" customHeight="1" x14ac:dyDescent="0.25">
      <c r="A589" s="9"/>
      <c r="B589" s="9"/>
      <c r="C589" s="9"/>
      <c r="D589" s="9"/>
      <c r="E589" s="9"/>
      <c r="F589" s="9"/>
      <c r="G589" s="42"/>
      <c r="H589" s="43"/>
      <c r="I589" s="9"/>
      <c r="J589" s="9"/>
      <c r="K589" s="9"/>
    </row>
    <row r="590" spans="1:11" ht="13.5" customHeight="1" x14ac:dyDescent="0.25">
      <c r="A590" s="9"/>
      <c r="B590" s="9"/>
      <c r="C590" s="9"/>
      <c r="D590" s="9"/>
      <c r="E590" s="9"/>
      <c r="F590" s="9"/>
      <c r="G590" s="42"/>
      <c r="H590" s="43"/>
      <c r="I590" s="9"/>
      <c r="J590" s="9"/>
      <c r="K590" s="9"/>
    </row>
    <row r="591" spans="1:11" ht="13.5" customHeight="1" x14ac:dyDescent="0.25">
      <c r="A591" s="9"/>
      <c r="B591" s="9"/>
      <c r="C591" s="9"/>
      <c r="D591" s="9"/>
      <c r="E591" s="9"/>
      <c r="F591" s="9"/>
      <c r="G591" s="42"/>
      <c r="H591" s="43"/>
      <c r="I591" s="9"/>
      <c r="J591" s="9"/>
      <c r="K591" s="9"/>
    </row>
    <row r="592" spans="1:11" ht="13.5" customHeight="1" x14ac:dyDescent="0.25">
      <c r="A592" s="9"/>
      <c r="B592" s="9"/>
      <c r="C592" s="9"/>
      <c r="D592" s="9"/>
      <c r="E592" s="9"/>
      <c r="F592" s="9"/>
      <c r="G592" s="42"/>
      <c r="H592" s="43"/>
      <c r="I592" s="9"/>
      <c r="J592" s="9"/>
      <c r="K592" s="9"/>
    </row>
    <row r="593" spans="1:11" ht="13.5" customHeight="1" x14ac:dyDescent="0.25">
      <c r="A593" s="9"/>
      <c r="B593" s="9"/>
      <c r="C593" s="9"/>
      <c r="D593" s="9"/>
      <c r="E593" s="9"/>
      <c r="F593" s="9"/>
      <c r="G593" s="42"/>
      <c r="H593" s="43"/>
      <c r="I593" s="9"/>
      <c r="J593" s="9"/>
      <c r="K593" s="9"/>
    </row>
    <row r="594" spans="1:11" ht="13.5" customHeight="1" x14ac:dyDescent="0.25">
      <c r="A594" s="9"/>
      <c r="B594" s="9"/>
      <c r="C594" s="9"/>
      <c r="D594" s="9"/>
      <c r="E594" s="9"/>
      <c r="F594" s="9"/>
      <c r="G594" s="42"/>
      <c r="H594" s="43"/>
      <c r="I594" s="9"/>
      <c r="J594" s="9"/>
      <c r="K594" s="9"/>
    </row>
    <row r="595" spans="1:11" ht="13.5" customHeight="1" x14ac:dyDescent="0.25">
      <c r="A595" s="9"/>
      <c r="B595" s="9"/>
      <c r="C595" s="9"/>
      <c r="D595" s="9"/>
      <c r="E595" s="9"/>
      <c r="F595" s="9"/>
      <c r="G595" s="42"/>
      <c r="H595" s="43"/>
      <c r="I595" s="9"/>
      <c r="J595" s="9"/>
      <c r="K595" s="9"/>
    </row>
    <row r="596" spans="1:11" ht="13.5" customHeight="1" x14ac:dyDescent="0.25">
      <c r="A596" s="9"/>
      <c r="B596" s="9"/>
      <c r="C596" s="9"/>
      <c r="D596" s="9"/>
      <c r="E596" s="9"/>
      <c r="F596" s="9"/>
      <c r="G596" s="42"/>
      <c r="H596" s="43"/>
      <c r="I596" s="9"/>
      <c r="J596" s="9"/>
      <c r="K596" s="9"/>
    </row>
    <row r="597" spans="1:11" ht="13.5" customHeight="1" x14ac:dyDescent="0.25">
      <c r="A597" s="9"/>
      <c r="B597" s="9"/>
      <c r="C597" s="9"/>
      <c r="D597" s="9"/>
      <c r="E597" s="9"/>
      <c r="F597" s="9"/>
      <c r="G597" s="42"/>
      <c r="H597" s="43"/>
      <c r="I597" s="9"/>
      <c r="J597" s="9"/>
      <c r="K597" s="9"/>
    </row>
    <row r="598" spans="1:11" ht="13.5" customHeight="1" x14ac:dyDescent="0.25">
      <c r="A598" s="9"/>
      <c r="B598" s="9"/>
      <c r="C598" s="9"/>
      <c r="D598" s="9"/>
      <c r="E598" s="9"/>
      <c r="F598" s="9"/>
      <c r="G598" s="42"/>
      <c r="H598" s="43"/>
      <c r="I598" s="9"/>
      <c r="J598" s="9"/>
      <c r="K598" s="9"/>
    </row>
    <row r="599" spans="1:11" ht="13.5" customHeight="1" x14ac:dyDescent="0.25">
      <c r="A599" s="9"/>
      <c r="B599" s="9"/>
      <c r="C599" s="9"/>
      <c r="D599" s="9"/>
      <c r="E599" s="9"/>
      <c r="F599" s="9"/>
      <c r="G599" s="42"/>
      <c r="H599" s="43"/>
      <c r="I599" s="9"/>
      <c r="J599" s="9"/>
      <c r="K599" s="9"/>
    </row>
    <row r="600" spans="1:11" ht="13.5" customHeight="1" x14ac:dyDescent="0.25">
      <c r="A600" s="9"/>
      <c r="B600" s="9"/>
      <c r="C600" s="9"/>
      <c r="D600" s="9"/>
      <c r="E600" s="9"/>
      <c r="F600" s="9"/>
      <c r="G600" s="42"/>
      <c r="H600" s="43"/>
      <c r="I600" s="9"/>
      <c r="J600" s="9"/>
      <c r="K600" s="9"/>
    </row>
    <row r="601" spans="1:11" ht="13.5" customHeight="1" x14ac:dyDescent="0.25">
      <c r="A601" s="9"/>
      <c r="B601" s="9"/>
      <c r="C601" s="9"/>
      <c r="D601" s="9"/>
      <c r="E601" s="9"/>
      <c r="F601" s="9"/>
      <c r="G601" s="42"/>
      <c r="H601" s="43"/>
      <c r="I601" s="9"/>
      <c r="J601" s="9"/>
      <c r="K601" s="9"/>
    </row>
    <row r="602" spans="1:11" ht="13.5" customHeight="1" x14ac:dyDescent="0.25">
      <c r="A602" s="9"/>
      <c r="B602" s="9"/>
      <c r="C602" s="9"/>
      <c r="D602" s="9"/>
      <c r="E602" s="9"/>
      <c r="F602" s="9"/>
      <c r="G602" s="42"/>
      <c r="H602" s="43"/>
      <c r="I602" s="9"/>
      <c r="J602" s="9"/>
      <c r="K602" s="9"/>
    </row>
    <row r="603" spans="1:11" ht="13.5" customHeight="1" x14ac:dyDescent="0.25">
      <c r="A603" s="9"/>
      <c r="B603" s="9"/>
      <c r="C603" s="9"/>
      <c r="D603" s="9"/>
      <c r="E603" s="9"/>
      <c r="F603" s="9"/>
      <c r="G603" s="42"/>
      <c r="H603" s="43"/>
      <c r="I603" s="9"/>
      <c r="J603" s="9"/>
      <c r="K603" s="9"/>
    </row>
    <row r="604" spans="1:11" ht="13.5" customHeight="1" x14ac:dyDescent="0.25">
      <c r="A604" s="9"/>
      <c r="B604" s="9"/>
      <c r="C604" s="9"/>
      <c r="D604" s="9"/>
      <c r="E604" s="9"/>
      <c r="F604" s="9"/>
      <c r="G604" s="42"/>
      <c r="H604" s="43"/>
      <c r="I604" s="9"/>
      <c r="J604" s="9"/>
      <c r="K604" s="9"/>
    </row>
    <row r="605" spans="1:11" ht="13.5" customHeight="1" x14ac:dyDescent="0.25">
      <c r="A605" s="9"/>
      <c r="B605" s="9"/>
      <c r="C605" s="9"/>
      <c r="D605" s="9"/>
      <c r="E605" s="9"/>
      <c r="F605" s="9"/>
      <c r="G605" s="42"/>
      <c r="H605" s="43"/>
      <c r="I605" s="9"/>
      <c r="J605" s="9"/>
      <c r="K605" s="9"/>
    </row>
    <row r="606" spans="1:11" ht="13.5" customHeight="1" x14ac:dyDescent="0.25">
      <c r="A606" s="9"/>
      <c r="B606" s="9"/>
      <c r="C606" s="9"/>
      <c r="D606" s="9"/>
      <c r="E606" s="9"/>
      <c r="F606" s="9"/>
      <c r="G606" s="42"/>
      <c r="H606" s="43"/>
      <c r="I606" s="9"/>
      <c r="J606" s="9"/>
      <c r="K606" s="9"/>
    </row>
    <row r="607" spans="1:11" ht="13.5" customHeight="1" x14ac:dyDescent="0.25">
      <c r="A607" s="9"/>
      <c r="B607" s="9"/>
      <c r="C607" s="9"/>
      <c r="D607" s="9"/>
      <c r="E607" s="9"/>
      <c r="F607" s="9"/>
      <c r="G607" s="42"/>
      <c r="H607" s="43"/>
      <c r="I607" s="9"/>
      <c r="J607" s="9"/>
      <c r="K607" s="9"/>
    </row>
    <row r="608" spans="1:11" ht="13.5" customHeight="1" x14ac:dyDescent="0.25">
      <c r="A608" s="9"/>
      <c r="B608" s="9"/>
      <c r="C608" s="9"/>
      <c r="D608" s="9"/>
      <c r="E608" s="9"/>
      <c r="F608" s="9"/>
      <c r="G608" s="42"/>
      <c r="H608" s="43"/>
      <c r="I608" s="9"/>
      <c r="J608" s="9"/>
      <c r="K608" s="9"/>
    </row>
    <row r="609" spans="1:11" ht="13.5" customHeight="1" x14ac:dyDescent="0.25">
      <c r="A609" s="9"/>
      <c r="B609" s="9"/>
      <c r="C609" s="9"/>
      <c r="D609" s="9"/>
      <c r="E609" s="9"/>
      <c r="F609" s="9"/>
      <c r="G609" s="42"/>
      <c r="H609" s="43"/>
      <c r="I609" s="9"/>
      <c r="J609" s="9"/>
      <c r="K609" s="9"/>
    </row>
    <row r="610" spans="1:11" ht="13.5" customHeight="1" x14ac:dyDescent="0.25">
      <c r="A610" s="9"/>
      <c r="B610" s="9"/>
      <c r="C610" s="9"/>
      <c r="D610" s="9"/>
      <c r="E610" s="9"/>
      <c r="F610" s="9"/>
      <c r="G610" s="42"/>
      <c r="H610" s="43"/>
      <c r="I610" s="9"/>
      <c r="J610" s="9"/>
      <c r="K610" s="9"/>
    </row>
    <row r="611" spans="1:11" ht="13.5" customHeight="1" x14ac:dyDescent="0.25">
      <c r="A611" s="9"/>
      <c r="B611" s="9"/>
      <c r="C611" s="9"/>
      <c r="D611" s="9"/>
      <c r="E611" s="9"/>
      <c r="F611" s="9"/>
      <c r="G611" s="42"/>
      <c r="H611" s="43"/>
      <c r="I611" s="9"/>
      <c r="J611" s="9"/>
      <c r="K611" s="9"/>
    </row>
    <row r="612" spans="1:11" ht="13.5" customHeight="1" x14ac:dyDescent="0.25">
      <c r="A612" s="9"/>
      <c r="B612" s="9"/>
      <c r="C612" s="9"/>
      <c r="D612" s="9"/>
      <c r="E612" s="9"/>
      <c r="F612" s="9"/>
      <c r="G612" s="42"/>
      <c r="H612" s="43"/>
      <c r="I612" s="9"/>
      <c r="J612" s="9"/>
      <c r="K612" s="9"/>
    </row>
    <row r="613" spans="1:11" ht="13.5" customHeight="1" x14ac:dyDescent="0.25">
      <c r="A613" s="9"/>
      <c r="B613" s="9"/>
      <c r="C613" s="9"/>
      <c r="D613" s="9"/>
      <c r="E613" s="9"/>
      <c r="F613" s="9"/>
      <c r="G613" s="42"/>
      <c r="H613" s="43"/>
      <c r="I613" s="9"/>
      <c r="J613" s="9"/>
      <c r="K613" s="9"/>
    </row>
    <row r="614" spans="1:11" ht="13.5" customHeight="1" x14ac:dyDescent="0.25">
      <c r="A614" s="9"/>
      <c r="B614" s="9"/>
      <c r="C614" s="9"/>
      <c r="D614" s="9"/>
      <c r="E614" s="9"/>
      <c r="F614" s="9"/>
      <c r="G614" s="42"/>
      <c r="H614" s="43"/>
      <c r="I614" s="9"/>
      <c r="J614" s="9"/>
      <c r="K614" s="9"/>
    </row>
    <row r="615" spans="1:11" ht="13.5" customHeight="1" x14ac:dyDescent="0.25">
      <c r="A615" s="9"/>
      <c r="B615" s="9"/>
      <c r="C615" s="9"/>
      <c r="D615" s="9"/>
      <c r="E615" s="9"/>
      <c r="F615" s="9"/>
      <c r="G615" s="42"/>
      <c r="H615" s="43"/>
      <c r="I615" s="9"/>
      <c r="J615" s="9"/>
      <c r="K615" s="9"/>
    </row>
    <row r="616" spans="1:11" ht="13.5" customHeight="1" x14ac:dyDescent="0.25">
      <c r="A616" s="9"/>
      <c r="B616" s="9"/>
      <c r="C616" s="9"/>
      <c r="D616" s="9"/>
      <c r="E616" s="9"/>
      <c r="F616" s="9"/>
      <c r="G616" s="42"/>
      <c r="H616" s="43"/>
      <c r="I616" s="9"/>
      <c r="J616" s="9"/>
      <c r="K616" s="9"/>
    </row>
    <row r="617" spans="1:11" ht="13.5" customHeight="1" x14ac:dyDescent="0.25">
      <c r="A617" s="9"/>
      <c r="B617" s="9"/>
      <c r="C617" s="9"/>
      <c r="D617" s="9"/>
      <c r="E617" s="9"/>
      <c r="F617" s="9"/>
      <c r="G617" s="42"/>
      <c r="H617" s="43"/>
      <c r="I617" s="9"/>
      <c r="J617" s="9"/>
      <c r="K617" s="9"/>
    </row>
    <row r="618" spans="1:11" ht="13.5" customHeight="1" x14ac:dyDescent="0.25">
      <c r="A618" s="9"/>
      <c r="B618" s="9"/>
      <c r="C618" s="9"/>
      <c r="D618" s="9"/>
      <c r="E618" s="9"/>
      <c r="F618" s="9"/>
      <c r="G618" s="42"/>
      <c r="H618" s="43"/>
      <c r="I618" s="9"/>
      <c r="J618" s="9"/>
      <c r="K618" s="9"/>
    </row>
    <row r="619" spans="1:11" ht="13.5" customHeight="1" x14ac:dyDescent="0.25">
      <c r="A619" s="9"/>
      <c r="B619" s="9"/>
      <c r="C619" s="9"/>
      <c r="D619" s="9"/>
      <c r="E619" s="9"/>
      <c r="F619" s="9"/>
      <c r="G619" s="42"/>
      <c r="H619" s="43"/>
      <c r="I619" s="9"/>
      <c r="J619" s="9"/>
      <c r="K619" s="9"/>
    </row>
    <row r="620" spans="1:11" ht="13.5" customHeight="1" x14ac:dyDescent="0.25">
      <c r="A620" s="9"/>
      <c r="B620" s="9"/>
      <c r="C620" s="9"/>
      <c r="D620" s="9"/>
      <c r="E620" s="9"/>
      <c r="F620" s="9"/>
      <c r="G620" s="42"/>
      <c r="H620" s="43"/>
      <c r="I620" s="9"/>
      <c r="J620" s="9"/>
      <c r="K620" s="9"/>
    </row>
    <row r="621" spans="1:11" ht="13.5" customHeight="1" x14ac:dyDescent="0.25">
      <c r="A621" s="9"/>
      <c r="B621" s="9"/>
      <c r="C621" s="9"/>
      <c r="D621" s="9"/>
      <c r="E621" s="9"/>
      <c r="F621" s="9"/>
      <c r="G621" s="42"/>
      <c r="H621" s="43"/>
      <c r="I621" s="9"/>
      <c r="J621" s="9"/>
      <c r="K621" s="9"/>
    </row>
    <row r="622" spans="1:11" ht="13.5" customHeight="1" x14ac:dyDescent="0.25">
      <c r="A622" s="9"/>
      <c r="B622" s="9"/>
      <c r="C622" s="9"/>
      <c r="D622" s="9"/>
      <c r="E622" s="9"/>
      <c r="F622" s="9"/>
      <c r="G622" s="42"/>
      <c r="H622" s="43"/>
      <c r="I622" s="9"/>
      <c r="J622" s="9"/>
      <c r="K622" s="9"/>
    </row>
    <row r="623" spans="1:11" ht="13.5" customHeight="1" x14ac:dyDescent="0.25">
      <c r="A623" s="9"/>
      <c r="B623" s="9"/>
      <c r="C623" s="9"/>
      <c r="D623" s="9"/>
      <c r="E623" s="9"/>
      <c r="F623" s="9"/>
      <c r="G623" s="42"/>
      <c r="H623" s="43"/>
      <c r="I623" s="9"/>
      <c r="J623" s="9"/>
      <c r="K623" s="9"/>
    </row>
    <row r="624" spans="1:11" ht="13.5" customHeight="1" x14ac:dyDescent="0.25">
      <c r="A624" s="9"/>
      <c r="B624" s="9"/>
      <c r="C624" s="9"/>
      <c r="D624" s="9"/>
      <c r="E624" s="9"/>
      <c r="F624" s="9"/>
      <c r="G624" s="42"/>
      <c r="H624" s="43"/>
      <c r="I624" s="9"/>
      <c r="J624" s="9"/>
      <c r="K624" s="9"/>
    </row>
    <row r="625" spans="1:11" ht="13.5" customHeight="1" x14ac:dyDescent="0.25">
      <c r="A625" s="9"/>
      <c r="B625" s="9"/>
      <c r="C625" s="9"/>
      <c r="D625" s="9"/>
      <c r="E625" s="9"/>
      <c r="F625" s="9"/>
      <c r="G625" s="42"/>
      <c r="H625" s="43"/>
      <c r="I625" s="9"/>
      <c r="J625" s="9"/>
      <c r="K625" s="9"/>
    </row>
    <row r="626" spans="1:11" ht="13.5" customHeight="1" x14ac:dyDescent="0.25">
      <c r="A626" s="9"/>
      <c r="B626" s="9"/>
      <c r="C626" s="9"/>
      <c r="D626" s="9"/>
      <c r="E626" s="9"/>
      <c r="F626" s="9"/>
      <c r="G626" s="42"/>
      <c r="H626" s="43"/>
      <c r="I626" s="9"/>
      <c r="J626" s="9"/>
      <c r="K626" s="9"/>
    </row>
    <row r="627" spans="1:11" ht="13.5" customHeight="1" x14ac:dyDescent="0.25">
      <c r="A627" s="9"/>
      <c r="B627" s="9"/>
      <c r="C627" s="9"/>
      <c r="D627" s="9"/>
      <c r="E627" s="9"/>
      <c r="F627" s="9"/>
      <c r="G627" s="42"/>
      <c r="H627" s="43"/>
      <c r="I627" s="9"/>
      <c r="J627" s="9"/>
      <c r="K627" s="9"/>
    </row>
    <row r="628" spans="1:11" ht="13.5" customHeight="1" x14ac:dyDescent="0.25">
      <c r="A628" s="9"/>
      <c r="B628" s="9"/>
      <c r="C628" s="9"/>
      <c r="D628" s="9"/>
      <c r="E628" s="9"/>
      <c r="F628" s="9"/>
      <c r="G628" s="42"/>
      <c r="H628" s="43"/>
      <c r="I628" s="9"/>
      <c r="J628" s="9"/>
      <c r="K628" s="9"/>
    </row>
    <row r="629" spans="1:11" ht="13.5" customHeight="1" x14ac:dyDescent="0.25">
      <c r="A629" s="9"/>
      <c r="B629" s="9"/>
      <c r="C629" s="9"/>
      <c r="D629" s="9"/>
      <c r="E629" s="9"/>
      <c r="F629" s="9"/>
      <c r="G629" s="42"/>
      <c r="H629" s="43"/>
      <c r="I629" s="9"/>
      <c r="J629" s="9"/>
      <c r="K629" s="9"/>
    </row>
    <row r="630" spans="1:11" ht="13.5" customHeight="1" x14ac:dyDescent="0.25">
      <c r="A630" s="9"/>
      <c r="B630" s="9"/>
      <c r="C630" s="9"/>
      <c r="D630" s="9"/>
      <c r="E630" s="9"/>
      <c r="F630" s="9"/>
      <c r="G630" s="42"/>
      <c r="H630" s="43"/>
      <c r="I630" s="9"/>
      <c r="J630" s="9"/>
      <c r="K630" s="9"/>
    </row>
    <row r="631" spans="1:11" ht="13.5" customHeight="1" x14ac:dyDescent="0.25">
      <c r="A631" s="9"/>
      <c r="B631" s="9"/>
      <c r="C631" s="9"/>
      <c r="D631" s="9"/>
      <c r="E631" s="9"/>
      <c r="F631" s="9"/>
      <c r="G631" s="42"/>
      <c r="H631" s="43"/>
      <c r="I631" s="9"/>
      <c r="J631" s="9"/>
      <c r="K631" s="9"/>
    </row>
    <row r="632" spans="1:11" ht="13.5" customHeight="1" x14ac:dyDescent="0.25">
      <c r="A632" s="9"/>
      <c r="B632" s="9"/>
      <c r="C632" s="9"/>
      <c r="D632" s="9"/>
      <c r="E632" s="9"/>
      <c r="F632" s="9"/>
      <c r="G632" s="42"/>
      <c r="H632" s="43"/>
      <c r="I632" s="9"/>
      <c r="J632" s="9"/>
      <c r="K632" s="9"/>
    </row>
    <row r="633" spans="1:11" ht="13.5" customHeight="1" x14ac:dyDescent="0.25">
      <c r="A633" s="9"/>
      <c r="B633" s="9"/>
      <c r="C633" s="9"/>
      <c r="D633" s="9"/>
      <c r="E633" s="9"/>
      <c r="F633" s="9"/>
      <c r="G633" s="42"/>
      <c r="H633" s="43"/>
      <c r="I633" s="9"/>
      <c r="J633" s="9"/>
      <c r="K633" s="9"/>
    </row>
    <row r="634" spans="1:11" ht="13.5" customHeight="1" x14ac:dyDescent="0.25">
      <c r="A634" s="9"/>
      <c r="B634" s="9"/>
      <c r="C634" s="9"/>
      <c r="D634" s="9"/>
      <c r="E634" s="9"/>
      <c r="F634" s="9"/>
      <c r="G634" s="42"/>
      <c r="H634" s="43"/>
      <c r="I634" s="9"/>
      <c r="J634" s="9"/>
      <c r="K634" s="9"/>
    </row>
    <row r="635" spans="1:11" ht="13.5" customHeight="1" x14ac:dyDescent="0.25">
      <c r="A635" s="9"/>
      <c r="B635" s="9"/>
      <c r="C635" s="9"/>
      <c r="D635" s="9"/>
      <c r="E635" s="9"/>
      <c r="F635" s="9"/>
      <c r="G635" s="42"/>
      <c r="H635" s="43"/>
      <c r="I635" s="9"/>
      <c r="J635" s="9"/>
      <c r="K635" s="9"/>
    </row>
    <row r="636" spans="1:11" ht="13.5" customHeight="1" x14ac:dyDescent="0.25">
      <c r="A636" s="9"/>
      <c r="B636" s="9"/>
      <c r="C636" s="9"/>
      <c r="D636" s="9"/>
      <c r="E636" s="9"/>
      <c r="F636" s="9"/>
      <c r="G636" s="42"/>
      <c r="H636" s="43"/>
      <c r="I636" s="9"/>
      <c r="J636" s="9"/>
      <c r="K636" s="9"/>
    </row>
    <row r="637" spans="1:11" ht="13.5" customHeight="1" x14ac:dyDescent="0.25">
      <c r="A637" s="9"/>
      <c r="B637" s="9"/>
      <c r="C637" s="9"/>
      <c r="D637" s="9"/>
      <c r="E637" s="9"/>
      <c r="F637" s="9"/>
      <c r="G637" s="42"/>
      <c r="H637" s="43"/>
      <c r="I637" s="9"/>
      <c r="J637" s="9"/>
      <c r="K637" s="9"/>
    </row>
    <row r="638" spans="1:11" ht="13.5" customHeight="1" x14ac:dyDescent="0.25">
      <c r="A638" s="9"/>
      <c r="B638" s="9"/>
      <c r="C638" s="9"/>
      <c r="D638" s="9"/>
      <c r="E638" s="9"/>
      <c r="F638" s="9"/>
      <c r="G638" s="42"/>
      <c r="H638" s="43"/>
      <c r="I638" s="9"/>
      <c r="J638" s="9"/>
      <c r="K638" s="9"/>
    </row>
    <row r="639" spans="1:11" ht="13.5" customHeight="1" x14ac:dyDescent="0.25">
      <c r="A639" s="9"/>
      <c r="B639" s="9"/>
      <c r="C639" s="9"/>
      <c r="D639" s="9"/>
      <c r="E639" s="9"/>
      <c r="F639" s="9"/>
      <c r="G639" s="42"/>
      <c r="H639" s="43"/>
      <c r="I639" s="9"/>
      <c r="J639" s="9"/>
      <c r="K639" s="9"/>
    </row>
    <row r="640" spans="1:11" ht="13.5" customHeight="1" x14ac:dyDescent="0.25">
      <c r="A640" s="9"/>
      <c r="B640" s="9"/>
      <c r="C640" s="9"/>
      <c r="D640" s="9"/>
      <c r="E640" s="9"/>
      <c r="F640" s="9"/>
      <c r="G640" s="42"/>
      <c r="H640" s="43"/>
      <c r="I640" s="9"/>
      <c r="J640" s="9"/>
      <c r="K640" s="9"/>
    </row>
    <row r="641" spans="1:11" ht="13.5" customHeight="1" x14ac:dyDescent="0.25">
      <c r="A641" s="9"/>
      <c r="B641" s="9"/>
      <c r="C641" s="9"/>
      <c r="D641" s="9"/>
      <c r="E641" s="9"/>
      <c r="F641" s="9"/>
      <c r="G641" s="42"/>
      <c r="H641" s="43"/>
      <c r="I641" s="9"/>
      <c r="J641" s="9"/>
      <c r="K641" s="9"/>
    </row>
    <row r="642" spans="1:11" ht="13.5" customHeight="1" x14ac:dyDescent="0.25">
      <c r="A642" s="9"/>
      <c r="B642" s="9"/>
      <c r="C642" s="9"/>
      <c r="D642" s="9"/>
      <c r="E642" s="9"/>
      <c r="F642" s="9"/>
      <c r="G642" s="42"/>
      <c r="H642" s="43"/>
      <c r="I642" s="9"/>
      <c r="J642" s="9"/>
      <c r="K642" s="9"/>
    </row>
    <row r="643" spans="1:11" ht="13.5" customHeight="1" x14ac:dyDescent="0.25">
      <c r="A643" s="9"/>
      <c r="B643" s="9"/>
      <c r="C643" s="9"/>
      <c r="D643" s="9"/>
      <c r="E643" s="9"/>
      <c r="F643" s="9"/>
      <c r="G643" s="42"/>
      <c r="H643" s="43"/>
      <c r="I643" s="9"/>
      <c r="J643" s="9"/>
      <c r="K643" s="9"/>
    </row>
    <row r="644" spans="1:11" ht="13.5" customHeight="1" x14ac:dyDescent="0.25">
      <c r="A644" s="9"/>
      <c r="B644" s="9"/>
      <c r="C644" s="9"/>
      <c r="D644" s="9"/>
      <c r="E644" s="9"/>
      <c r="F644" s="9"/>
      <c r="G644" s="42"/>
      <c r="H644" s="43"/>
      <c r="I644" s="9"/>
      <c r="J644" s="9"/>
      <c r="K644" s="9"/>
    </row>
    <row r="645" spans="1:11" ht="13.5" customHeight="1" x14ac:dyDescent="0.25">
      <c r="A645" s="9"/>
      <c r="B645" s="9"/>
      <c r="C645" s="9"/>
      <c r="D645" s="9"/>
      <c r="E645" s="9"/>
      <c r="F645" s="9"/>
      <c r="G645" s="42"/>
      <c r="H645" s="43"/>
      <c r="I645" s="9"/>
      <c r="J645" s="9"/>
      <c r="K645" s="9"/>
    </row>
    <row r="646" spans="1:11" ht="13.5" customHeight="1" x14ac:dyDescent="0.25">
      <c r="A646" s="9"/>
      <c r="B646" s="9"/>
      <c r="C646" s="9"/>
      <c r="D646" s="9"/>
      <c r="E646" s="9"/>
      <c r="F646" s="9"/>
      <c r="G646" s="42"/>
      <c r="H646" s="43"/>
      <c r="I646" s="9"/>
      <c r="J646" s="9"/>
      <c r="K646" s="9"/>
    </row>
    <row r="647" spans="1:11" ht="13.5" customHeight="1" x14ac:dyDescent="0.25">
      <c r="A647" s="9"/>
      <c r="B647" s="9"/>
      <c r="C647" s="9"/>
      <c r="D647" s="9"/>
      <c r="E647" s="9"/>
      <c r="F647" s="9"/>
      <c r="G647" s="42"/>
      <c r="H647" s="43"/>
      <c r="I647" s="9"/>
      <c r="J647" s="9"/>
      <c r="K647" s="9"/>
    </row>
    <row r="648" spans="1:11" ht="13.5" customHeight="1" x14ac:dyDescent="0.25">
      <c r="A648" s="9"/>
      <c r="B648" s="9"/>
      <c r="C648" s="9"/>
      <c r="D648" s="9"/>
      <c r="E648" s="9"/>
      <c r="F648" s="9"/>
      <c r="G648" s="42"/>
      <c r="H648" s="43"/>
      <c r="I648" s="9"/>
      <c r="J648" s="9"/>
      <c r="K648" s="9"/>
    </row>
    <row r="649" spans="1:11" ht="13.5" customHeight="1" x14ac:dyDescent="0.25">
      <c r="A649" s="9"/>
      <c r="B649" s="9"/>
      <c r="C649" s="9"/>
      <c r="D649" s="9"/>
      <c r="E649" s="9"/>
      <c r="F649" s="9"/>
      <c r="G649" s="42"/>
      <c r="H649" s="43"/>
      <c r="I649" s="9"/>
      <c r="J649" s="9"/>
      <c r="K649" s="9"/>
    </row>
    <row r="650" spans="1:11" ht="13.5" customHeight="1" x14ac:dyDescent="0.25">
      <c r="A650" s="9"/>
      <c r="B650" s="9"/>
      <c r="C650" s="9"/>
      <c r="D650" s="9"/>
      <c r="E650" s="9"/>
      <c r="F650" s="9"/>
      <c r="G650" s="42"/>
      <c r="H650" s="43"/>
      <c r="I650" s="9"/>
      <c r="J650" s="9"/>
      <c r="K650" s="9"/>
    </row>
    <row r="651" spans="1:11" ht="13.5" customHeight="1" x14ac:dyDescent="0.25">
      <c r="A651" s="9"/>
      <c r="B651" s="9"/>
      <c r="C651" s="9"/>
      <c r="D651" s="9"/>
      <c r="E651" s="9"/>
      <c r="F651" s="9"/>
      <c r="G651" s="42"/>
      <c r="H651" s="43"/>
      <c r="I651" s="9"/>
      <c r="J651" s="9"/>
      <c r="K651" s="9"/>
    </row>
    <row r="652" spans="1:11" ht="13.5" customHeight="1" x14ac:dyDescent="0.25">
      <c r="A652" s="9"/>
      <c r="B652" s="9"/>
      <c r="C652" s="9"/>
      <c r="D652" s="9"/>
      <c r="E652" s="9"/>
      <c r="F652" s="9"/>
      <c r="G652" s="42"/>
      <c r="H652" s="43"/>
      <c r="I652" s="9"/>
      <c r="J652" s="9"/>
      <c r="K652" s="9"/>
    </row>
    <row r="653" spans="1:11" ht="13.5" customHeight="1" x14ac:dyDescent="0.25">
      <c r="A653" s="9"/>
      <c r="B653" s="9"/>
      <c r="C653" s="9"/>
      <c r="D653" s="9"/>
      <c r="E653" s="9"/>
      <c r="F653" s="9"/>
      <c r="G653" s="42"/>
      <c r="H653" s="43"/>
      <c r="I653" s="9"/>
      <c r="J653" s="9"/>
      <c r="K653" s="9"/>
    </row>
    <row r="654" spans="1:11" ht="13.5" customHeight="1" x14ac:dyDescent="0.25">
      <c r="A654" s="9"/>
      <c r="B654" s="9"/>
      <c r="C654" s="9"/>
      <c r="D654" s="9"/>
      <c r="E654" s="9"/>
      <c r="F654" s="9"/>
      <c r="G654" s="42"/>
      <c r="H654" s="43"/>
      <c r="I654" s="9"/>
      <c r="J654" s="9"/>
      <c r="K654" s="9"/>
    </row>
    <row r="655" spans="1:11" ht="13.5" customHeight="1" x14ac:dyDescent="0.25">
      <c r="A655" s="9"/>
      <c r="B655" s="9"/>
      <c r="C655" s="9"/>
      <c r="D655" s="9"/>
      <c r="E655" s="9"/>
      <c r="F655" s="9"/>
      <c r="G655" s="42"/>
      <c r="H655" s="43"/>
      <c r="I655" s="9"/>
      <c r="J655" s="9"/>
      <c r="K655" s="9"/>
    </row>
    <row r="656" spans="1:11" ht="13.5" customHeight="1" x14ac:dyDescent="0.25">
      <c r="A656" s="9"/>
      <c r="B656" s="9"/>
      <c r="C656" s="9"/>
      <c r="D656" s="9"/>
      <c r="E656" s="9"/>
      <c r="F656" s="9"/>
      <c r="G656" s="42"/>
      <c r="H656" s="43"/>
      <c r="I656" s="9"/>
      <c r="J656" s="9"/>
      <c r="K656" s="9"/>
    </row>
    <row r="657" spans="1:11" ht="13.5" customHeight="1" x14ac:dyDescent="0.25">
      <c r="A657" s="9"/>
      <c r="B657" s="9"/>
      <c r="C657" s="9"/>
      <c r="D657" s="9"/>
      <c r="E657" s="9"/>
      <c r="F657" s="9"/>
      <c r="G657" s="42"/>
      <c r="H657" s="43"/>
      <c r="I657" s="9"/>
      <c r="J657" s="9"/>
      <c r="K657" s="9"/>
    </row>
    <row r="658" spans="1:11" ht="13.5" customHeight="1" x14ac:dyDescent="0.25">
      <c r="A658" s="9"/>
      <c r="B658" s="9"/>
      <c r="C658" s="9"/>
      <c r="D658" s="9"/>
      <c r="E658" s="9"/>
      <c r="F658" s="9"/>
      <c r="G658" s="42"/>
      <c r="H658" s="43"/>
      <c r="I658" s="9"/>
      <c r="J658" s="9"/>
      <c r="K658" s="9"/>
    </row>
    <row r="659" spans="1:11" ht="13.5" customHeight="1" x14ac:dyDescent="0.25">
      <c r="A659" s="9"/>
      <c r="B659" s="9"/>
      <c r="C659" s="9"/>
      <c r="D659" s="9"/>
      <c r="E659" s="9"/>
      <c r="F659" s="9"/>
      <c r="G659" s="42"/>
      <c r="H659" s="43"/>
      <c r="I659" s="9"/>
      <c r="J659" s="9"/>
      <c r="K659" s="9"/>
    </row>
    <row r="660" spans="1:11" ht="13.5" customHeight="1" x14ac:dyDescent="0.25">
      <c r="A660" s="9"/>
      <c r="B660" s="9"/>
      <c r="C660" s="9"/>
      <c r="D660" s="9"/>
      <c r="E660" s="9"/>
      <c r="F660" s="9"/>
      <c r="G660" s="42"/>
      <c r="H660" s="43"/>
      <c r="I660" s="9"/>
      <c r="J660" s="9"/>
      <c r="K660" s="9"/>
    </row>
    <row r="661" spans="1:11" ht="13.5" customHeight="1" x14ac:dyDescent="0.25">
      <c r="A661" s="9"/>
      <c r="B661" s="9"/>
      <c r="C661" s="9"/>
      <c r="D661" s="9"/>
      <c r="E661" s="9"/>
      <c r="F661" s="9"/>
      <c r="G661" s="42"/>
      <c r="H661" s="43"/>
      <c r="I661" s="9"/>
      <c r="J661" s="9"/>
      <c r="K661" s="9"/>
    </row>
    <row r="662" spans="1:11" ht="13.5" customHeight="1" x14ac:dyDescent="0.25">
      <c r="A662" s="9"/>
      <c r="B662" s="9"/>
      <c r="C662" s="9"/>
      <c r="D662" s="9"/>
      <c r="E662" s="9"/>
      <c r="F662" s="9"/>
      <c r="G662" s="42"/>
      <c r="H662" s="43"/>
      <c r="I662" s="9"/>
      <c r="J662" s="9"/>
      <c r="K662" s="9"/>
    </row>
    <row r="663" spans="1:11" ht="13.5" customHeight="1" x14ac:dyDescent="0.25">
      <c r="A663" s="9"/>
      <c r="B663" s="9"/>
      <c r="C663" s="9"/>
      <c r="D663" s="9"/>
      <c r="E663" s="9"/>
      <c r="F663" s="9"/>
      <c r="G663" s="42"/>
      <c r="H663" s="43"/>
      <c r="I663" s="9"/>
      <c r="J663" s="9"/>
      <c r="K663" s="9"/>
    </row>
    <row r="664" spans="1:11" ht="13.5" customHeight="1" x14ac:dyDescent="0.25">
      <c r="A664" s="9"/>
      <c r="B664" s="9"/>
      <c r="C664" s="9"/>
      <c r="D664" s="9"/>
      <c r="E664" s="9"/>
      <c r="F664" s="9"/>
      <c r="G664" s="42"/>
      <c r="H664" s="43"/>
      <c r="I664" s="9"/>
      <c r="J664" s="9"/>
      <c r="K664" s="9"/>
    </row>
    <row r="665" spans="1:11" ht="13.5" customHeight="1" x14ac:dyDescent="0.25">
      <c r="A665" s="9"/>
      <c r="B665" s="9"/>
      <c r="C665" s="9"/>
      <c r="D665" s="9"/>
      <c r="E665" s="9"/>
      <c r="F665" s="9"/>
      <c r="G665" s="42"/>
      <c r="H665" s="43"/>
      <c r="I665" s="9"/>
      <c r="J665" s="9"/>
      <c r="K665" s="9"/>
    </row>
    <row r="666" spans="1:11" ht="13.5" customHeight="1" x14ac:dyDescent="0.25">
      <c r="A666" s="9"/>
      <c r="B666" s="9"/>
      <c r="C666" s="9"/>
      <c r="D666" s="9"/>
      <c r="E666" s="9"/>
      <c r="F666" s="9"/>
      <c r="G666" s="42"/>
      <c r="H666" s="43"/>
      <c r="I666" s="9"/>
      <c r="J666" s="9"/>
      <c r="K666" s="9"/>
    </row>
    <row r="667" spans="1:11" ht="13.5" customHeight="1" x14ac:dyDescent="0.25">
      <c r="A667" s="9"/>
      <c r="B667" s="9"/>
      <c r="C667" s="9"/>
      <c r="D667" s="9"/>
      <c r="E667" s="9"/>
      <c r="F667" s="9"/>
      <c r="G667" s="42"/>
      <c r="H667" s="43"/>
      <c r="I667" s="9"/>
      <c r="J667" s="9"/>
      <c r="K667" s="9"/>
    </row>
    <row r="668" spans="1:11" ht="13.5" customHeight="1" x14ac:dyDescent="0.25">
      <c r="A668" s="9"/>
      <c r="B668" s="9"/>
      <c r="C668" s="9"/>
      <c r="D668" s="9"/>
      <c r="E668" s="9"/>
      <c r="F668" s="9"/>
      <c r="G668" s="42"/>
      <c r="H668" s="43"/>
      <c r="I668" s="9"/>
      <c r="J668" s="9"/>
      <c r="K668" s="9"/>
    </row>
    <row r="669" spans="1:11" ht="13.5" customHeight="1" x14ac:dyDescent="0.25">
      <c r="A669" s="9"/>
      <c r="B669" s="9"/>
      <c r="C669" s="9"/>
      <c r="D669" s="9"/>
      <c r="E669" s="9"/>
      <c r="F669" s="9"/>
      <c r="G669" s="42"/>
      <c r="H669" s="43"/>
      <c r="I669" s="9"/>
      <c r="J669" s="9"/>
      <c r="K669" s="9"/>
    </row>
    <row r="670" spans="1:11" ht="13.5" customHeight="1" x14ac:dyDescent="0.25">
      <c r="A670" s="9"/>
      <c r="B670" s="9"/>
      <c r="C670" s="9"/>
      <c r="D670" s="9"/>
      <c r="E670" s="9"/>
      <c r="F670" s="9"/>
      <c r="G670" s="42"/>
      <c r="H670" s="43"/>
      <c r="I670" s="9"/>
      <c r="J670" s="9"/>
      <c r="K670" s="9"/>
    </row>
    <row r="671" spans="1:11" ht="13.5" customHeight="1" x14ac:dyDescent="0.25">
      <c r="A671" s="9"/>
      <c r="B671" s="9"/>
      <c r="C671" s="9"/>
      <c r="D671" s="9"/>
      <c r="E671" s="9"/>
      <c r="F671" s="9"/>
      <c r="G671" s="42"/>
      <c r="H671" s="43"/>
      <c r="I671" s="9"/>
      <c r="J671" s="9"/>
      <c r="K671" s="9"/>
    </row>
    <row r="672" spans="1:11" ht="13.5" customHeight="1" x14ac:dyDescent="0.25">
      <c r="A672" s="9"/>
      <c r="B672" s="9"/>
      <c r="C672" s="9"/>
      <c r="D672" s="9"/>
      <c r="E672" s="9"/>
      <c r="F672" s="9"/>
      <c r="G672" s="42"/>
      <c r="H672" s="43"/>
      <c r="I672" s="9"/>
      <c r="J672" s="9"/>
      <c r="K672" s="9"/>
    </row>
    <row r="673" spans="1:11" ht="13.5" customHeight="1" x14ac:dyDescent="0.25">
      <c r="A673" s="9"/>
      <c r="B673" s="9"/>
      <c r="C673" s="9"/>
      <c r="D673" s="9"/>
      <c r="E673" s="9"/>
      <c r="F673" s="9"/>
      <c r="G673" s="42"/>
      <c r="H673" s="43"/>
      <c r="I673" s="9"/>
      <c r="J673" s="9"/>
      <c r="K673" s="9"/>
    </row>
    <row r="674" spans="1:11" ht="13.5" customHeight="1" x14ac:dyDescent="0.25">
      <c r="A674" s="9"/>
      <c r="B674" s="9"/>
      <c r="C674" s="9"/>
      <c r="D674" s="9"/>
      <c r="E674" s="9"/>
      <c r="F674" s="9"/>
      <c r="G674" s="42"/>
      <c r="H674" s="43"/>
      <c r="I674" s="9"/>
      <c r="J674" s="9"/>
      <c r="K674" s="9"/>
    </row>
    <row r="675" spans="1:11" ht="13.5" customHeight="1" x14ac:dyDescent="0.25">
      <c r="A675" s="9"/>
      <c r="B675" s="9"/>
      <c r="C675" s="9"/>
      <c r="D675" s="9"/>
      <c r="E675" s="9"/>
      <c r="F675" s="9"/>
      <c r="G675" s="42"/>
      <c r="H675" s="43"/>
      <c r="I675" s="9"/>
      <c r="J675" s="9"/>
      <c r="K675" s="9"/>
    </row>
    <row r="676" spans="1:11" ht="13.5" customHeight="1" x14ac:dyDescent="0.25">
      <c r="A676" s="9"/>
      <c r="B676" s="9"/>
      <c r="C676" s="9"/>
      <c r="D676" s="9"/>
      <c r="E676" s="9"/>
      <c r="F676" s="9"/>
      <c r="G676" s="42"/>
      <c r="H676" s="43"/>
      <c r="I676" s="9"/>
      <c r="J676" s="9"/>
      <c r="K676" s="9"/>
    </row>
    <row r="677" spans="1:11" ht="13.5" customHeight="1" x14ac:dyDescent="0.25">
      <c r="A677" s="9"/>
      <c r="B677" s="9"/>
      <c r="C677" s="9"/>
      <c r="D677" s="9"/>
      <c r="E677" s="9"/>
      <c r="F677" s="9"/>
      <c r="G677" s="42"/>
      <c r="H677" s="43"/>
      <c r="I677" s="9"/>
      <c r="J677" s="9"/>
      <c r="K677" s="9"/>
    </row>
    <row r="678" spans="1:11" ht="13.5" customHeight="1" x14ac:dyDescent="0.25">
      <c r="A678" s="9"/>
      <c r="B678" s="9"/>
      <c r="C678" s="9"/>
      <c r="D678" s="9"/>
      <c r="E678" s="9"/>
      <c r="F678" s="9"/>
      <c r="G678" s="42"/>
      <c r="H678" s="43"/>
      <c r="I678" s="9"/>
      <c r="J678" s="9"/>
      <c r="K678" s="9"/>
    </row>
    <row r="679" spans="1:11" ht="13.5" customHeight="1" x14ac:dyDescent="0.25">
      <c r="A679" s="9"/>
      <c r="B679" s="9"/>
      <c r="C679" s="9"/>
      <c r="D679" s="9"/>
      <c r="E679" s="9"/>
      <c r="F679" s="9"/>
      <c r="G679" s="42"/>
      <c r="H679" s="43"/>
      <c r="I679" s="9"/>
      <c r="J679" s="9"/>
      <c r="K679" s="9"/>
    </row>
    <row r="680" spans="1:11" ht="13.5" customHeight="1" x14ac:dyDescent="0.25">
      <c r="A680" s="9"/>
      <c r="B680" s="9"/>
      <c r="C680" s="9"/>
      <c r="D680" s="9"/>
      <c r="E680" s="9"/>
      <c r="F680" s="9"/>
      <c r="G680" s="42"/>
      <c r="H680" s="43"/>
      <c r="I680" s="9"/>
      <c r="J680" s="9"/>
      <c r="K680" s="9"/>
    </row>
    <row r="681" spans="1:11" ht="13.5" customHeight="1" x14ac:dyDescent="0.25">
      <c r="A681" s="9"/>
      <c r="B681" s="9"/>
      <c r="C681" s="9"/>
      <c r="D681" s="9"/>
      <c r="E681" s="9"/>
      <c r="F681" s="9"/>
      <c r="G681" s="42"/>
      <c r="H681" s="43"/>
      <c r="I681" s="9"/>
      <c r="J681" s="9"/>
      <c r="K681" s="9"/>
    </row>
    <row r="682" spans="1:11" ht="13.5" customHeight="1" x14ac:dyDescent="0.25">
      <c r="A682" s="9"/>
      <c r="B682" s="9"/>
      <c r="C682" s="9"/>
      <c r="D682" s="9"/>
      <c r="E682" s="9"/>
      <c r="F682" s="9"/>
      <c r="G682" s="42"/>
      <c r="H682" s="43"/>
      <c r="I682" s="9"/>
      <c r="J682" s="9"/>
      <c r="K682" s="9"/>
    </row>
    <row r="683" spans="1:11" ht="13.5" customHeight="1" x14ac:dyDescent="0.25">
      <c r="A683" s="9"/>
      <c r="B683" s="9"/>
      <c r="C683" s="9"/>
      <c r="D683" s="9"/>
      <c r="E683" s="9"/>
      <c r="F683" s="9"/>
      <c r="G683" s="42"/>
      <c r="H683" s="43"/>
      <c r="I683" s="9"/>
      <c r="J683" s="9"/>
      <c r="K683" s="9"/>
    </row>
    <row r="684" spans="1:11" ht="13.5" customHeight="1" x14ac:dyDescent="0.25">
      <c r="A684" s="9"/>
      <c r="B684" s="9"/>
      <c r="C684" s="9"/>
      <c r="D684" s="9"/>
      <c r="E684" s="9"/>
      <c r="F684" s="9"/>
      <c r="G684" s="42"/>
      <c r="H684" s="43"/>
      <c r="I684" s="9"/>
      <c r="J684" s="9"/>
      <c r="K684" s="9"/>
    </row>
    <row r="685" spans="1:11" ht="13.5" customHeight="1" x14ac:dyDescent="0.25">
      <c r="A685" s="9"/>
      <c r="B685" s="9"/>
      <c r="C685" s="9"/>
      <c r="D685" s="9"/>
      <c r="E685" s="9"/>
      <c r="F685" s="9"/>
      <c r="G685" s="42"/>
      <c r="H685" s="43"/>
      <c r="I685" s="9"/>
      <c r="J685" s="9"/>
      <c r="K685" s="9"/>
    </row>
    <row r="686" spans="1:11" ht="13.5" customHeight="1" x14ac:dyDescent="0.25">
      <c r="A686" s="9"/>
      <c r="B686" s="9"/>
      <c r="C686" s="9"/>
      <c r="D686" s="9"/>
      <c r="E686" s="9"/>
      <c r="F686" s="9"/>
      <c r="G686" s="42"/>
      <c r="H686" s="43"/>
      <c r="I686" s="9"/>
      <c r="J686" s="9"/>
      <c r="K686" s="9"/>
    </row>
    <row r="687" spans="1:11" ht="13.5" customHeight="1" x14ac:dyDescent="0.25">
      <c r="A687" s="9"/>
      <c r="B687" s="9"/>
      <c r="C687" s="9"/>
      <c r="D687" s="9"/>
      <c r="E687" s="9"/>
      <c r="F687" s="9"/>
      <c r="G687" s="42"/>
      <c r="H687" s="43"/>
      <c r="I687" s="9"/>
      <c r="J687" s="9"/>
      <c r="K687" s="9"/>
    </row>
    <row r="688" spans="1:11" ht="13.5" customHeight="1" x14ac:dyDescent="0.25">
      <c r="A688" s="9"/>
      <c r="B688" s="9"/>
      <c r="C688" s="9"/>
      <c r="D688" s="9"/>
      <c r="E688" s="9"/>
      <c r="F688" s="9"/>
      <c r="G688" s="42"/>
      <c r="H688" s="43"/>
      <c r="I688" s="9"/>
      <c r="J688" s="9"/>
      <c r="K688" s="9"/>
    </row>
    <row r="689" spans="1:11" ht="13.5" customHeight="1" x14ac:dyDescent="0.25">
      <c r="A689" s="9"/>
      <c r="B689" s="9"/>
      <c r="C689" s="9"/>
      <c r="D689" s="9"/>
      <c r="E689" s="9"/>
      <c r="F689" s="9"/>
      <c r="G689" s="42"/>
      <c r="H689" s="43"/>
      <c r="I689" s="9"/>
      <c r="J689" s="9"/>
      <c r="K689" s="9"/>
    </row>
    <row r="690" spans="1:11" ht="13.5" customHeight="1" x14ac:dyDescent="0.25">
      <c r="A690" s="9"/>
      <c r="B690" s="9"/>
      <c r="C690" s="9"/>
      <c r="D690" s="9"/>
      <c r="E690" s="9"/>
      <c r="F690" s="9"/>
      <c r="G690" s="42"/>
      <c r="H690" s="43"/>
      <c r="I690" s="9"/>
      <c r="J690" s="9"/>
      <c r="K690" s="9"/>
    </row>
    <row r="691" spans="1:11" ht="13.5" customHeight="1" x14ac:dyDescent="0.25">
      <c r="A691" s="9"/>
      <c r="B691" s="9"/>
      <c r="C691" s="9"/>
      <c r="D691" s="9"/>
      <c r="E691" s="9"/>
      <c r="F691" s="9"/>
      <c r="G691" s="42"/>
      <c r="H691" s="43"/>
      <c r="I691" s="9"/>
      <c r="J691" s="9"/>
      <c r="K691" s="9"/>
    </row>
    <row r="692" spans="1:11" ht="13.5" customHeight="1" x14ac:dyDescent="0.25">
      <c r="A692" s="9"/>
      <c r="B692" s="9"/>
      <c r="C692" s="9"/>
      <c r="D692" s="9"/>
      <c r="E692" s="9"/>
      <c r="F692" s="9"/>
      <c r="G692" s="42"/>
      <c r="H692" s="43"/>
      <c r="I692" s="9"/>
      <c r="J692" s="9"/>
      <c r="K692" s="9"/>
    </row>
    <row r="693" spans="1:11" ht="13.5" customHeight="1" x14ac:dyDescent="0.25">
      <c r="A693" s="9"/>
      <c r="B693" s="9"/>
      <c r="C693" s="9"/>
      <c r="D693" s="9"/>
      <c r="E693" s="9"/>
      <c r="F693" s="9"/>
      <c r="G693" s="42"/>
      <c r="H693" s="43"/>
      <c r="I693" s="9"/>
      <c r="J693" s="9"/>
      <c r="K693" s="9"/>
    </row>
    <row r="694" spans="1:11" ht="13.5" customHeight="1" x14ac:dyDescent="0.25">
      <c r="A694" s="9"/>
      <c r="B694" s="9"/>
      <c r="C694" s="9"/>
      <c r="D694" s="9"/>
      <c r="E694" s="9"/>
      <c r="F694" s="9"/>
      <c r="G694" s="42"/>
      <c r="H694" s="43"/>
      <c r="I694" s="9"/>
      <c r="J694" s="9"/>
      <c r="K694" s="9"/>
    </row>
    <row r="695" spans="1:11" ht="13.5" customHeight="1" x14ac:dyDescent="0.25">
      <c r="A695" s="9"/>
      <c r="B695" s="9"/>
      <c r="C695" s="9"/>
      <c r="D695" s="9"/>
      <c r="E695" s="9"/>
      <c r="F695" s="9"/>
      <c r="G695" s="42"/>
      <c r="H695" s="43"/>
      <c r="I695" s="9"/>
      <c r="J695" s="9"/>
      <c r="K695" s="9"/>
    </row>
    <row r="696" spans="1:11" ht="13.5" customHeight="1" x14ac:dyDescent="0.25">
      <c r="A696" s="9"/>
      <c r="B696" s="9"/>
      <c r="C696" s="9"/>
      <c r="D696" s="9"/>
      <c r="E696" s="9"/>
      <c r="F696" s="9"/>
      <c r="G696" s="42"/>
      <c r="H696" s="43"/>
      <c r="I696" s="9"/>
      <c r="J696" s="9"/>
      <c r="K696" s="9"/>
    </row>
    <row r="697" spans="1:11" ht="13.5" customHeight="1" x14ac:dyDescent="0.25">
      <c r="A697" s="9"/>
      <c r="B697" s="9"/>
      <c r="C697" s="9"/>
      <c r="D697" s="9"/>
      <c r="E697" s="9"/>
      <c r="F697" s="9"/>
      <c r="G697" s="42"/>
      <c r="H697" s="43"/>
      <c r="I697" s="9"/>
      <c r="J697" s="9"/>
      <c r="K697" s="9"/>
    </row>
    <row r="698" spans="1:11" ht="13.5" customHeight="1" x14ac:dyDescent="0.25">
      <c r="A698" s="9"/>
      <c r="B698" s="9"/>
      <c r="C698" s="9"/>
      <c r="D698" s="9"/>
      <c r="E698" s="9"/>
      <c r="F698" s="9"/>
      <c r="G698" s="42"/>
      <c r="H698" s="43"/>
      <c r="I698" s="9"/>
      <c r="J698" s="9"/>
      <c r="K698" s="9"/>
    </row>
    <row r="699" spans="1:11" ht="13.5" customHeight="1" x14ac:dyDescent="0.25">
      <c r="A699" s="9"/>
      <c r="B699" s="9"/>
      <c r="C699" s="9"/>
      <c r="D699" s="9"/>
      <c r="E699" s="9"/>
      <c r="F699" s="9"/>
      <c r="G699" s="42"/>
      <c r="H699" s="43"/>
      <c r="I699" s="9"/>
      <c r="J699" s="9"/>
      <c r="K699" s="9"/>
    </row>
    <row r="700" spans="1:11" ht="13.5" customHeight="1" x14ac:dyDescent="0.25">
      <c r="A700" s="9"/>
      <c r="B700" s="9"/>
      <c r="C700" s="9"/>
      <c r="D700" s="9"/>
      <c r="E700" s="9"/>
      <c r="F700" s="9"/>
      <c r="G700" s="42"/>
      <c r="H700" s="43"/>
      <c r="I700" s="9"/>
      <c r="J700" s="9"/>
      <c r="K700" s="9"/>
    </row>
    <row r="701" spans="1:11" ht="13.5" customHeight="1" x14ac:dyDescent="0.25">
      <c r="A701" s="9"/>
      <c r="B701" s="9"/>
      <c r="C701" s="9"/>
      <c r="D701" s="9"/>
      <c r="E701" s="9"/>
      <c r="F701" s="9"/>
      <c r="G701" s="42"/>
      <c r="H701" s="43"/>
      <c r="I701" s="9"/>
      <c r="J701" s="9"/>
      <c r="K701" s="9"/>
    </row>
    <row r="702" spans="1:11" ht="13.5" customHeight="1" x14ac:dyDescent="0.25">
      <c r="A702" s="9"/>
      <c r="B702" s="9"/>
      <c r="C702" s="9"/>
      <c r="D702" s="9"/>
      <c r="E702" s="9"/>
      <c r="F702" s="9"/>
      <c r="G702" s="42"/>
      <c r="H702" s="43"/>
      <c r="I702" s="9"/>
      <c r="J702" s="9"/>
      <c r="K702" s="9"/>
    </row>
    <row r="703" spans="1:11" ht="13.5" customHeight="1" x14ac:dyDescent="0.25">
      <c r="A703" s="9"/>
      <c r="B703" s="9"/>
      <c r="C703" s="9"/>
      <c r="D703" s="9"/>
      <c r="E703" s="9"/>
      <c r="F703" s="9"/>
      <c r="G703" s="42"/>
      <c r="H703" s="43"/>
      <c r="I703" s="9"/>
      <c r="J703" s="9"/>
      <c r="K703" s="9"/>
    </row>
    <row r="704" spans="1:11" ht="13.5" customHeight="1" x14ac:dyDescent="0.25">
      <c r="A704" s="9"/>
      <c r="B704" s="9"/>
      <c r="C704" s="9"/>
      <c r="D704" s="9"/>
      <c r="E704" s="9"/>
      <c r="F704" s="9"/>
      <c r="G704" s="42"/>
      <c r="H704" s="43"/>
      <c r="I704" s="9"/>
      <c r="J704" s="9"/>
      <c r="K704" s="9"/>
    </row>
    <row r="705" spans="1:11" ht="13.5" customHeight="1" x14ac:dyDescent="0.25">
      <c r="A705" s="9"/>
      <c r="B705" s="9"/>
      <c r="C705" s="9"/>
      <c r="D705" s="9"/>
      <c r="E705" s="9"/>
      <c r="F705" s="9"/>
      <c r="G705" s="42"/>
      <c r="H705" s="43"/>
      <c r="I705" s="9"/>
      <c r="J705" s="9"/>
      <c r="K705" s="9"/>
    </row>
    <row r="706" spans="1:11" ht="13.5" customHeight="1" x14ac:dyDescent="0.25">
      <c r="A706" s="9"/>
      <c r="B706" s="9"/>
      <c r="C706" s="9"/>
      <c r="D706" s="9"/>
      <c r="E706" s="9"/>
      <c r="F706" s="9"/>
      <c r="G706" s="42"/>
      <c r="H706" s="43"/>
      <c r="I706" s="9"/>
      <c r="J706" s="9"/>
      <c r="K706" s="9"/>
    </row>
    <row r="707" spans="1:11" ht="13.5" customHeight="1" x14ac:dyDescent="0.25">
      <c r="A707" s="9"/>
      <c r="B707" s="9"/>
      <c r="C707" s="9"/>
      <c r="D707" s="9"/>
      <c r="E707" s="9"/>
      <c r="F707" s="9"/>
      <c r="G707" s="42"/>
      <c r="H707" s="43"/>
      <c r="I707" s="9"/>
      <c r="J707" s="9"/>
      <c r="K707" s="9"/>
    </row>
    <row r="708" spans="1:11" ht="13.5" customHeight="1" x14ac:dyDescent="0.25">
      <c r="A708" s="9"/>
      <c r="B708" s="9"/>
      <c r="C708" s="9"/>
      <c r="D708" s="9"/>
      <c r="E708" s="9"/>
      <c r="F708" s="9"/>
      <c r="G708" s="42"/>
      <c r="H708" s="43"/>
      <c r="I708" s="9"/>
      <c r="J708" s="9"/>
      <c r="K708" s="9"/>
    </row>
    <row r="709" spans="1:11" ht="13.5" customHeight="1" x14ac:dyDescent="0.25">
      <c r="A709" s="9"/>
      <c r="B709" s="9"/>
      <c r="C709" s="9"/>
      <c r="D709" s="9"/>
      <c r="E709" s="9"/>
      <c r="F709" s="9"/>
      <c r="G709" s="42"/>
      <c r="H709" s="43"/>
      <c r="I709" s="9"/>
      <c r="J709" s="9"/>
      <c r="K709" s="9"/>
    </row>
    <row r="710" spans="1:11" ht="13.5" customHeight="1" x14ac:dyDescent="0.25">
      <c r="A710" s="9"/>
      <c r="B710" s="9"/>
      <c r="C710" s="9"/>
      <c r="D710" s="9"/>
      <c r="E710" s="9"/>
      <c r="F710" s="9"/>
      <c r="G710" s="42"/>
      <c r="H710" s="43"/>
      <c r="I710" s="9"/>
      <c r="J710" s="9"/>
      <c r="K710" s="9"/>
    </row>
    <row r="711" spans="1:11" ht="13.5" customHeight="1" x14ac:dyDescent="0.25">
      <c r="A711" s="9"/>
      <c r="B711" s="9"/>
      <c r="C711" s="9"/>
      <c r="D711" s="9"/>
      <c r="E711" s="9"/>
      <c r="F711" s="9"/>
      <c r="G711" s="42"/>
      <c r="H711" s="43"/>
      <c r="I711" s="9"/>
      <c r="J711" s="9"/>
      <c r="K711" s="9"/>
    </row>
    <row r="712" spans="1:11" ht="13.5" customHeight="1" x14ac:dyDescent="0.25">
      <c r="A712" s="9"/>
      <c r="B712" s="9"/>
      <c r="C712" s="9"/>
      <c r="D712" s="9"/>
      <c r="E712" s="9"/>
      <c r="F712" s="9"/>
      <c r="G712" s="42"/>
      <c r="H712" s="43"/>
      <c r="I712" s="9"/>
      <c r="J712" s="9"/>
      <c r="K712" s="9"/>
    </row>
    <row r="713" spans="1:11" ht="13.5" customHeight="1" x14ac:dyDescent="0.25">
      <c r="A713" s="9"/>
      <c r="B713" s="9"/>
      <c r="C713" s="9"/>
      <c r="D713" s="9"/>
      <c r="E713" s="9"/>
      <c r="F713" s="9"/>
      <c r="G713" s="42"/>
      <c r="H713" s="43"/>
      <c r="I713" s="9"/>
      <c r="J713" s="9"/>
      <c r="K713" s="9"/>
    </row>
    <row r="714" spans="1:11" ht="13.5" customHeight="1" x14ac:dyDescent="0.25">
      <c r="A714" s="9"/>
      <c r="B714" s="9"/>
      <c r="C714" s="9"/>
      <c r="D714" s="9"/>
      <c r="E714" s="9"/>
      <c r="F714" s="9"/>
      <c r="G714" s="42"/>
      <c r="H714" s="43"/>
      <c r="I714" s="9"/>
      <c r="J714" s="9"/>
      <c r="K714" s="9"/>
    </row>
    <row r="715" spans="1:11" ht="13.5" customHeight="1" x14ac:dyDescent="0.25">
      <c r="A715" s="9"/>
      <c r="B715" s="9"/>
      <c r="C715" s="9"/>
      <c r="D715" s="9"/>
      <c r="E715" s="9"/>
      <c r="F715" s="9"/>
      <c r="G715" s="42"/>
      <c r="H715" s="43"/>
      <c r="I715" s="9"/>
      <c r="J715" s="9"/>
      <c r="K715" s="9"/>
    </row>
    <row r="716" spans="1:11" ht="13.5" customHeight="1" x14ac:dyDescent="0.25">
      <c r="A716" s="9"/>
      <c r="B716" s="9"/>
      <c r="C716" s="9"/>
      <c r="D716" s="9"/>
      <c r="E716" s="9"/>
      <c r="F716" s="9"/>
      <c r="G716" s="42"/>
      <c r="H716" s="43"/>
      <c r="I716" s="9"/>
      <c r="J716" s="9"/>
      <c r="K716" s="9"/>
    </row>
    <row r="717" spans="1:11" ht="13.5" customHeight="1" x14ac:dyDescent="0.25">
      <c r="A717" s="9"/>
      <c r="B717" s="9"/>
      <c r="C717" s="9"/>
      <c r="D717" s="9"/>
      <c r="E717" s="9"/>
      <c r="F717" s="9"/>
      <c r="G717" s="42"/>
      <c r="H717" s="43"/>
      <c r="I717" s="9"/>
      <c r="J717" s="9"/>
      <c r="K717" s="9"/>
    </row>
    <row r="718" spans="1:11" ht="13.5" customHeight="1" x14ac:dyDescent="0.25">
      <c r="A718" s="9"/>
      <c r="B718" s="9"/>
      <c r="C718" s="9"/>
      <c r="D718" s="9"/>
      <c r="E718" s="9"/>
      <c r="F718" s="9"/>
      <c r="G718" s="42"/>
      <c r="H718" s="43"/>
      <c r="I718" s="9"/>
      <c r="J718" s="9"/>
      <c r="K718" s="9"/>
    </row>
    <row r="719" spans="1:11" ht="13.5" customHeight="1" x14ac:dyDescent="0.25">
      <c r="A719" s="9"/>
      <c r="B719" s="9"/>
      <c r="C719" s="9"/>
      <c r="D719" s="9"/>
      <c r="E719" s="9"/>
      <c r="F719" s="9"/>
      <c r="G719" s="42"/>
      <c r="H719" s="43"/>
      <c r="I719" s="9"/>
      <c r="J719" s="9"/>
      <c r="K719" s="9"/>
    </row>
    <row r="720" spans="1:11" ht="13.5" customHeight="1" x14ac:dyDescent="0.25">
      <c r="A720" s="9"/>
      <c r="B720" s="9"/>
      <c r="C720" s="9"/>
      <c r="D720" s="9"/>
      <c r="E720" s="9"/>
      <c r="F720" s="9"/>
      <c r="G720" s="42"/>
      <c r="H720" s="43"/>
      <c r="I720" s="9"/>
      <c r="J720" s="9"/>
      <c r="K720" s="9"/>
    </row>
    <row r="721" spans="1:11" ht="13.5" customHeight="1" x14ac:dyDescent="0.25">
      <c r="A721" s="9"/>
      <c r="B721" s="9"/>
      <c r="C721" s="9"/>
      <c r="D721" s="9"/>
      <c r="E721" s="9"/>
      <c r="F721" s="9"/>
      <c r="G721" s="42"/>
      <c r="H721" s="43"/>
      <c r="I721" s="9"/>
      <c r="J721" s="9"/>
      <c r="K721" s="9"/>
    </row>
    <row r="722" spans="1:11" ht="13.5" customHeight="1" x14ac:dyDescent="0.25">
      <c r="A722" s="9"/>
      <c r="B722" s="9"/>
      <c r="C722" s="9"/>
      <c r="D722" s="9"/>
      <c r="E722" s="9"/>
      <c r="F722" s="9"/>
      <c r="G722" s="42"/>
      <c r="H722" s="43"/>
      <c r="I722" s="9"/>
      <c r="J722" s="9"/>
      <c r="K722" s="9"/>
    </row>
    <row r="723" spans="1:11" ht="13.5" customHeight="1" x14ac:dyDescent="0.25">
      <c r="A723" s="9"/>
      <c r="B723" s="9"/>
      <c r="C723" s="9"/>
      <c r="D723" s="9"/>
      <c r="E723" s="9"/>
      <c r="F723" s="9"/>
      <c r="G723" s="42"/>
      <c r="H723" s="43"/>
      <c r="I723" s="9"/>
      <c r="J723" s="9"/>
      <c r="K723" s="9"/>
    </row>
    <row r="724" spans="1:11" ht="13.5" customHeight="1" x14ac:dyDescent="0.25">
      <c r="A724" s="9"/>
      <c r="B724" s="9"/>
      <c r="C724" s="9"/>
      <c r="D724" s="9"/>
      <c r="E724" s="9"/>
      <c r="F724" s="9"/>
      <c r="G724" s="42"/>
      <c r="H724" s="43"/>
      <c r="I724" s="9"/>
      <c r="J724" s="9"/>
      <c r="K724" s="9"/>
    </row>
    <row r="725" spans="1:11" ht="13.5" customHeight="1" x14ac:dyDescent="0.25">
      <c r="A725" s="9"/>
      <c r="B725" s="9"/>
      <c r="C725" s="9"/>
      <c r="D725" s="9"/>
      <c r="E725" s="9"/>
      <c r="F725" s="9"/>
      <c r="G725" s="42"/>
      <c r="H725" s="43"/>
      <c r="I725" s="9"/>
      <c r="J725" s="9"/>
      <c r="K725" s="9"/>
    </row>
    <row r="726" spans="1:11" ht="13.5" customHeight="1" x14ac:dyDescent="0.25">
      <c r="A726" s="9"/>
      <c r="B726" s="9"/>
      <c r="C726" s="9"/>
      <c r="D726" s="9"/>
      <c r="E726" s="9"/>
      <c r="F726" s="9"/>
      <c r="G726" s="42"/>
      <c r="H726" s="43"/>
      <c r="I726" s="9"/>
      <c r="J726" s="9"/>
      <c r="K726" s="9"/>
    </row>
    <row r="727" spans="1:11" ht="13.5" customHeight="1" x14ac:dyDescent="0.25">
      <c r="A727" s="9"/>
      <c r="B727" s="9"/>
      <c r="C727" s="9"/>
      <c r="D727" s="9"/>
      <c r="E727" s="9"/>
      <c r="F727" s="9"/>
      <c r="G727" s="42"/>
      <c r="H727" s="43"/>
      <c r="I727" s="9"/>
      <c r="J727" s="9"/>
      <c r="K727" s="9"/>
    </row>
    <row r="728" spans="1:11" ht="13.5" customHeight="1" x14ac:dyDescent="0.25">
      <c r="A728" s="9"/>
      <c r="B728" s="9"/>
      <c r="C728" s="9"/>
      <c r="D728" s="9"/>
      <c r="E728" s="9"/>
      <c r="F728" s="9"/>
      <c r="G728" s="42"/>
      <c r="H728" s="43"/>
      <c r="I728" s="9"/>
      <c r="J728" s="9"/>
      <c r="K728" s="9"/>
    </row>
    <row r="729" spans="1:11" ht="13.5" customHeight="1" x14ac:dyDescent="0.25">
      <c r="A729" s="9"/>
      <c r="B729" s="9"/>
      <c r="C729" s="9"/>
      <c r="D729" s="9"/>
      <c r="E729" s="9"/>
      <c r="F729" s="9"/>
      <c r="G729" s="42"/>
      <c r="H729" s="43"/>
      <c r="I729" s="9"/>
      <c r="J729" s="9"/>
      <c r="K729" s="9"/>
    </row>
    <row r="730" spans="1:11" ht="13.5" customHeight="1" x14ac:dyDescent="0.25">
      <c r="A730" s="9"/>
      <c r="B730" s="9"/>
      <c r="C730" s="9"/>
      <c r="D730" s="9"/>
      <c r="E730" s="9"/>
      <c r="F730" s="9"/>
      <c r="G730" s="42"/>
      <c r="H730" s="43"/>
      <c r="I730" s="9"/>
      <c r="J730" s="9"/>
      <c r="K730" s="9"/>
    </row>
    <row r="731" spans="1:11" ht="13.5" customHeight="1" x14ac:dyDescent="0.25">
      <c r="A731" s="9"/>
      <c r="B731" s="9"/>
      <c r="C731" s="9"/>
      <c r="D731" s="9"/>
      <c r="E731" s="9"/>
      <c r="F731" s="9"/>
      <c r="G731" s="42"/>
      <c r="H731" s="43"/>
      <c r="I731" s="9"/>
      <c r="J731" s="9"/>
      <c r="K731" s="9"/>
    </row>
    <row r="732" spans="1:11" ht="13.5" customHeight="1" x14ac:dyDescent="0.25">
      <c r="A732" s="9"/>
      <c r="B732" s="9"/>
      <c r="C732" s="9"/>
      <c r="D732" s="9"/>
      <c r="E732" s="9"/>
      <c r="F732" s="9"/>
      <c r="G732" s="42"/>
      <c r="H732" s="43"/>
      <c r="I732" s="9"/>
      <c r="J732" s="9"/>
      <c r="K732" s="9"/>
    </row>
    <row r="733" spans="1:11" ht="13.5" customHeight="1" x14ac:dyDescent="0.25">
      <c r="A733" s="9"/>
      <c r="B733" s="9"/>
      <c r="C733" s="9"/>
      <c r="D733" s="9"/>
      <c r="E733" s="9"/>
      <c r="F733" s="9"/>
      <c r="G733" s="42"/>
      <c r="H733" s="43"/>
      <c r="I733" s="9"/>
      <c r="J733" s="9"/>
      <c r="K733" s="9"/>
    </row>
    <row r="734" spans="1:11" ht="13.5" customHeight="1" x14ac:dyDescent="0.25">
      <c r="A734" s="9"/>
      <c r="B734" s="9"/>
      <c r="C734" s="9"/>
      <c r="D734" s="9"/>
      <c r="E734" s="9"/>
      <c r="F734" s="9"/>
      <c r="G734" s="42"/>
      <c r="H734" s="43"/>
      <c r="I734" s="9"/>
      <c r="J734" s="9"/>
      <c r="K734" s="9"/>
    </row>
    <row r="735" spans="1:11" ht="13.5" customHeight="1" x14ac:dyDescent="0.25">
      <c r="A735" s="9"/>
      <c r="B735" s="9"/>
      <c r="C735" s="9"/>
      <c r="D735" s="9"/>
      <c r="E735" s="9"/>
      <c r="F735" s="9"/>
      <c r="G735" s="42"/>
      <c r="H735" s="43"/>
      <c r="I735" s="9"/>
      <c r="J735" s="9"/>
      <c r="K735" s="9"/>
    </row>
    <row r="736" spans="1:11" ht="13.5" customHeight="1" x14ac:dyDescent="0.25">
      <c r="A736" s="9"/>
      <c r="B736" s="9"/>
      <c r="C736" s="9"/>
      <c r="D736" s="9"/>
      <c r="E736" s="9"/>
      <c r="F736" s="9"/>
      <c r="G736" s="42"/>
      <c r="H736" s="43"/>
      <c r="I736" s="9"/>
      <c r="J736" s="9"/>
      <c r="K736" s="9"/>
    </row>
    <row r="737" spans="1:11" ht="13.5" customHeight="1" x14ac:dyDescent="0.25">
      <c r="A737" s="9"/>
      <c r="B737" s="9"/>
      <c r="C737" s="9"/>
      <c r="D737" s="9"/>
      <c r="E737" s="9"/>
      <c r="F737" s="9"/>
      <c r="G737" s="42"/>
      <c r="H737" s="43"/>
      <c r="I737" s="9"/>
      <c r="J737" s="9"/>
      <c r="K737" s="9"/>
    </row>
    <row r="738" spans="1:11" ht="13.5" customHeight="1" x14ac:dyDescent="0.25">
      <c r="A738" s="9"/>
      <c r="B738" s="9"/>
      <c r="C738" s="9"/>
      <c r="D738" s="9"/>
      <c r="E738" s="9"/>
      <c r="F738" s="9"/>
      <c r="G738" s="42"/>
      <c r="H738" s="43"/>
      <c r="I738" s="9"/>
      <c r="J738" s="9"/>
      <c r="K738" s="9"/>
    </row>
    <row r="739" spans="1:11" ht="13.5" customHeight="1" x14ac:dyDescent="0.25">
      <c r="A739" s="9"/>
      <c r="B739" s="9"/>
      <c r="C739" s="9"/>
      <c r="D739" s="9"/>
      <c r="E739" s="9"/>
      <c r="F739" s="9"/>
      <c r="G739" s="42"/>
      <c r="H739" s="43"/>
      <c r="I739" s="9"/>
      <c r="J739" s="9"/>
      <c r="K739" s="9"/>
    </row>
    <row r="740" spans="1:11" ht="13.5" customHeight="1" x14ac:dyDescent="0.25">
      <c r="A740" s="9"/>
      <c r="B740" s="9"/>
      <c r="C740" s="9"/>
      <c r="D740" s="9"/>
      <c r="E740" s="9"/>
      <c r="F740" s="9"/>
      <c r="G740" s="42"/>
      <c r="H740" s="43"/>
      <c r="I740" s="9"/>
      <c r="J740" s="9"/>
      <c r="K740" s="9"/>
    </row>
    <row r="741" spans="1:11" ht="13.5" customHeight="1" x14ac:dyDescent="0.25">
      <c r="A741" s="9"/>
      <c r="B741" s="9"/>
      <c r="C741" s="9"/>
      <c r="D741" s="9"/>
      <c r="E741" s="9"/>
      <c r="F741" s="9"/>
      <c r="G741" s="42"/>
      <c r="H741" s="43"/>
      <c r="I741" s="9"/>
      <c r="J741" s="9"/>
      <c r="K741" s="9"/>
    </row>
    <row r="742" spans="1:11" ht="13.5" customHeight="1" x14ac:dyDescent="0.25">
      <c r="A742" s="9"/>
      <c r="B742" s="9"/>
      <c r="C742" s="9"/>
      <c r="D742" s="9"/>
      <c r="E742" s="9"/>
      <c r="F742" s="9"/>
      <c r="G742" s="42"/>
      <c r="H742" s="43"/>
      <c r="I742" s="9"/>
      <c r="J742" s="9"/>
      <c r="K742" s="9"/>
    </row>
    <row r="743" spans="1:11" ht="13.5" customHeight="1" x14ac:dyDescent="0.25">
      <c r="A743" s="9"/>
      <c r="B743" s="9"/>
      <c r="C743" s="9"/>
      <c r="D743" s="9"/>
      <c r="E743" s="9"/>
      <c r="F743" s="9"/>
      <c r="G743" s="42"/>
      <c r="H743" s="43"/>
      <c r="I743" s="9"/>
      <c r="J743" s="9"/>
      <c r="K743" s="9"/>
    </row>
    <row r="744" spans="1:11" ht="13.5" customHeight="1" x14ac:dyDescent="0.25">
      <c r="A744" s="9"/>
      <c r="B744" s="9"/>
      <c r="C744" s="9"/>
      <c r="D744" s="9"/>
      <c r="E744" s="9"/>
      <c r="F744" s="9"/>
      <c r="G744" s="42"/>
      <c r="H744" s="43"/>
      <c r="I744" s="9"/>
      <c r="J744" s="9"/>
      <c r="K744" s="9"/>
    </row>
    <row r="745" spans="1:11" ht="13.5" customHeight="1" x14ac:dyDescent="0.25">
      <c r="A745" s="9"/>
      <c r="B745" s="9"/>
      <c r="C745" s="9"/>
      <c r="D745" s="9"/>
      <c r="E745" s="9"/>
      <c r="F745" s="9"/>
      <c r="G745" s="42"/>
      <c r="H745" s="43"/>
      <c r="I745" s="9"/>
      <c r="J745" s="9"/>
      <c r="K745" s="9"/>
    </row>
    <row r="746" spans="1:11" ht="13.5" customHeight="1" x14ac:dyDescent="0.25">
      <c r="A746" s="9"/>
      <c r="B746" s="9"/>
      <c r="C746" s="9"/>
      <c r="D746" s="9"/>
      <c r="E746" s="9"/>
      <c r="F746" s="9"/>
      <c r="G746" s="42"/>
      <c r="H746" s="43"/>
      <c r="I746" s="9"/>
      <c r="J746" s="9"/>
      <c r="K746" s="9"/>
    </row>
    <row r="747" spans="1:11" ht="13.5" customHeight="1" x14ac:dyDescent="0.25">
      <c r="A747" s="9"/>
      <c r="B747" s="9"/>
      <c r="C747" s="9"/>
      <c r="D747" s="9"/>
      <c r="E747" s="9"/>
      <c r="F747" s="9"/>
      <c r="G747" s="42"/>
      <c r="H747" s="43"/>
      <c r="I747" s="9"/>
      <c r="J747" s="9"/>
      <c r="K747" s="9"/>
    </row>
    <row r="748" spans="1:11" ht="13.5" customHeight="1" x14ac:dyDescent="0.25">
      <c r="A748" s="9"/>
      <c r="B748" s="9"/>
      <c r="C748" s="9"/>
      <c r="D748" s="9"/>
      <c r="E748" s="9"/>
      <c r="F748" s="9"/>
      <c r="G748" s="42"/>
      <c r="H748" s="43"/>
      <c r="I748" s="9"/>
      <c r="J748" s="9"/>
      <c r="K748" s="9"/>
    </row>
  </sheetData>
  <mergeCells count="3">
    <mergeCell ref="A2:H2"/>
    <mergeCell ref="A6:H6"/>
    <mergeCell ref="A14:H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14"/>
  <sheetViews>
    <sheetView workbookViewId="0">
      <pane ySplit="1" topLeftCell="A215" activePane="bottomLeft" state="frozen"/>
      <selection pane="bottomLeft" activeCell="A109" sqref="A109:A196"/>
    </sheetView>
  </sheetViews>
  <sheetFormatPr defaultColWidth="14.42578125" defaultRowHeight="15" customHeight="1" outlineLevelRow="1" outlineLevelCol="1" x14ac:dyDescent="0.25"/>
  <cols>
    <col min="1" max="1" width="6.28515625" customWidth="1"/>
    <col min="2" max="2" width="20.28515625" customWidth="1"/>
    <col min="3" max="3" width="13.42578125" customWidth="1"/>
    <col min="4" max="4" width="12" customWidth="1"/>
    <col min="5" max="5" width="14.42578125" customWidth="1"/>
    <col min="6" max="6" width="10.28515625" customWidth="1" outlineLevel="1"/>
    <col min="7" max="7" width="9.7109375" customWidth="1" outlineLevel="1"/>
    <col min="8" max="8" width="13.28515625" customWidth="1" outlineLevel="1"/>
    <col min="9" max="9" width="8.7109375" customWidth="1"/>
    <col min="10" max="10" width="8" customWidth="1"/>
    <col min="11" max="11" width="7.7109375" customWidth="1"/>
    <col min="12" max="12" width="12.85546875" customWidth="1"/>
    <col min="13" max="13" width="12.5703125" customWidth="1"/>
    <col min="14" max="14" width="9.85546875" customWidth="1"/>
    <col min="15" max="15" width="11.42578125" customWidth="1"/>
    <col min="16" max="16" width="11.5703125" hidden="1" customWidth="1" outlineLevel="1"/>
    <col min="17" max="17" width="12.7109375" customWidth="1" collapsed="1"/>
    <col min="18" max="18" width="14.5703125" customWidth="1"/>
    <col min="19" max="19" width="13" hidden="1" customWidth="1" outlineLevel="1"/>
    <col min="20" max="20" width="13.140625" hidden="1" customWidth="1" outlineLevel="1"/>
    <col min="21" max="21" width="9.7109375" customWidth="1" collapsed="1"/>
    <col min="22" max="22" width="8.7109375" customWidth="1"/>
    <col min="23" max="25" width="10.7109375" customWidth="1"/>
    <col min="26" max="27" width="8.7109375" customWidth="1"/>
  </cols>
  <sheetData>
    <row r="1" spans="1:27" ht="13.5" customHeight="1" x14ac:dyDescent="0.25">
      <c r="A1" s="94" t="s">
        <v>34</v>
      </c>
      <c r="B1" s="95" t="s">
        <v>22</v>
      </c>
      <c r="C1" s="47" t="s">
        <v>35</v>
      </c>
      <c r="D1" s="47" t="s">
        <v>24</v>
      </c>
      <c r="E1" s="47" t="s">
        <v>25</v>
      </c>
      <c r="F1" s="47" t="s">
        <v>36</v>
      </c>
      <c r="G1" s="96" t="s">
        <v>37</v>
      </c>
      <c r="H1" s="47" t="s">
        <v>38</v>
      </c>
      <c r="I1" s="97" t="s">
        <v>26</v>
      </c>
      <c r="J1" s="98" t="s">
        <v>27</v>
      </c>
      <c r="K1" s="47" t="s">
        <v>39</v>
      </c>
      <c r="L1" s="47" t="s">
        <v>40</v>
      </c>
      <c r="M1" s="47" t="s">
        <v>41</v>
      </c>
      <c r="N1" s="47" t="s">
        <v>42</v>
      </c>
      <c r="O1" s="48" t="s">
        <v>43</v>
      </c>
      <c r="P1" s="47" t="s">
        <v>44</v>
      </c>
      <c r="Q1" s="49" t="s">
        <v>45</v>
      </c>
      <c r="R1" s="99" t="s">
        <v>46</v>
      </c>
      <c r="S1" s="47" t="s">
        <v>47</v>
      </c>
      <c r="T1" s="47" t="s">
        <v>48</v>
      </c>
      <c r="U1" s="100" t="s">
        <v>49</v>
      </c>
      <c r="V1" s="45"/>
      <c r="W1" s="46"/>
      <c r="X1" s="46"/>
      <c r="Y1" s="46"/>
      <c r="Z1" s="4"/>
      <c r="AA1" s="4"/>
    </row>
    <row r="2" spans="1:27" ht="13.5" customHeight="1" x14ac:dyDescent="0.25">
      <c r="A2" s="370" t="s">
        <v>50</v>
      </c>
      <c r="B2" s="101" t="s">
        <v>51</v>
      </c>
      <c r="C2" s="101"/>
      <c r="D2" s="101"/>
      <c r="E2" s="101"/>
      <c r="F2" s="101"/>
      <c r="G2" s="101"/>
      <c r="H2" s="101"/>
      <c r="I2" s="102"/>
      <c r="J2" s="103"/>
      <c r="K2" s="101"/>
      <c r="L2" s="101"/>
      <c r="M2" s="101"/>
      <c r="N2" s="104"/>
      <c r="O2" s="105"/>
      <c r="P2" s="101"/>
      <c r="Q2" s="106"/>
      <c r="R2" s="107"/>
      <c r="S2" s="101"/>
      <c r="T2" s="101"/>
      <c r="U2" s="108"/>
      <c r="V2" s="16"/>
      <c r="W2" s="16"/>
      <c r="X2" s="16"/>
      <c r="Y2" s="16"/>
      <c r="Z2" s="16"/>
      <c r="AA2" s="16"/>
    </row>
    <row r="3" spans="1:27" ht="14.25" customHeight="1" outlineLevel="1" x14ac:dyDescent="0.25">
      <c r="A3" s="371"/>
      <c r="B3" s="109"/>
      <c r="C3" s="110">
        <v>2.7E-2</v>
      </c>
      <c r="D3" s="111">
        <v>0.14000000000000001</v>
      </c>
      <c r="E3" s="56">
        <v>4.2</v>
      </c>
      <c r="F3" s="112">
        <f t="shared" ref="F3:F28" si="0">C3*D3*E3</f>
        <v>1.5876000000000001E-2</v>
      </c>
      <c r="G3" s="112">
        <f t="shared" ref="G3:G28" si="1">D3*E3</f>
        <v>0.58800000000000008</v>
      </c>
      <c r="H3" s="113">
        <v>401.52</v>
      </c>
      <c r="I3" s="114">
        <f t="shared" ref="I3:I4" si="2">ROUND(H3*1.1667,0)</f>
        <v>468</v>
      </c>
      <c r="J3" s="115">
        <f t="shared" ref="J3:J10" si="3">ROUND((I3*0.992)*1.21,0)*(C3*D3*E3)</f>
        <v>8.9223120000000016</v>
      </c>
      <c r="K3" s="116">
        <f t="shared" ref="K3:K28" si="4">J3/(D3*E3)</f>
        <v>15.174000000000001</v>
      </c>
      <c r="L3" s="117">
        <f t="shared" ref="L3:L18" si="5">T3+R3-O3</f>
        <v>181</v>
      </c>
      <c r="M3" s="118">
        <f t="shared" ref="M3:M28" si="6">L3*F3</f>
        <v>2.8735560000000002</v>
      </c>
      <c r="N3" s="119">
        <f t="shared" ref="N3:N28" si="7">L3*G3</f>
        <v>106.42800000000001</v>
      </c>
      <c r="O3" s="120"/>
      <c r="P3" s="121" t="str">
        <f t="shared" ref="P3:P28" si="8">IF(O3="","",(O3*F3))</f>
        <v/>
      </c>
      <c r="Q3" s="122"/>
      <c r="R3" s="123"/>
      <c r="S3" s="56">
        <f t="shared" ref="S3:S28" si="9">R3*F3</f>
        <v>0</v>
      </c>
      <c r="T3" s="124">
        <v>181</v>
      </c>
      <c r="U3" s="125">
        <f t="shared" ref="U3:U28" si="10">J3*L3</f>
        <v>1614.9384720000003</v>
      </c>
      <c r="V3" s="9" t="str">
        <f t="shared" ref="V3:V126" si="11">IF(O3="","",Q3-(O3*(H3*F3)))</f>
        <v/>
      </c>
      <c r="W3" s="9" t="str">
        <f t="shared" ref="W3:W197" si="12">IF(O3="","",(P3*H3))</f>
        <v/>
      </c>
      <c r="X3" s="9"/>
      <c r="Y3" s="9"/>
      <c r="Z3" s="9"/>
      <c r="AA3" s="9"/>
    </row>
    <row r="4" spans="1:27" ht="14.25" customHeight="1" outlineLevel="1" x14ac:dyDescent="0.25">
      <c r="A4" s="371"/>
      <c r="B4" s="109"/>
      <c r="C4" s="110">
        <v>2.7E-2</v>
      </c>
      <c r="D4" s="55">
        <v>0.14000000000000001</v>
      </c>
      <c r="E4" s="56">
        <v>4.8</v>
      </c>
      <c r="F4" s="112">
        <f t="shared" si="0"/>
        <v>1.8144E-2</v>
      </c>
      <c r="G4" s="112">
        <f t="shared" si="1"/>
        <v>0.67200000000000004</v>
      </c>
      <c r="H4" s="113">
        <v>401.52</v>
      </c>
      <c r="I4" s="114">
        <f t="shared" si="2"/>
        <v>468</v>
      </c>
      <c r="J4" s="115">
        <f t="shared" si="3"/>
        <v>10.196928</v>
      </c>
      <c r="K4" s="116">
        <f t="shared" si="4"/>
        <v>15.173999999999999</v>
      </c>
      <c r="L4" s="117">
        <f t="shared" si="5"/>
        <v>226</v>
      </c>
      <c r="M4" s="118">
        <f t="shared" si="6"/>
        <v>4.1005440000000002</v>
      </c>
      <c r="N4" s="119">
        <f t="shared" si="7"/>
        <v>151.87200000000001</v>
      </c>
      <c r="O4" s="126"/>
      <c r="P4" s="121" t="str">
        <f t="shared" si="8"/>
        <v/>
      </c>
      <c r="Q4" s="122"/>
      <c r="R4" s="123"/>
      <c r="S4" s="56">
        <f t="shared" si="9"/>
        <v>0</v>
      </c>
      <c r="T4" s="124">
        <v>226</v>
      </c>
      <c r="U4" s="125">
        <f t="shared" si="10"/>
        <v>2304.5057280000001</v>
      </c>
      <c r="V4" s="9" t="str">
        <f t="shared" si="11"/>
        <v/>
      </c>
      <c r="W4" s="9" t="str">
        <f t="shared" si="12"/>
        <v/>
      </c>
      <c r="X4" s="9"/>
      <c r="Y4" s="9"/>
      <c r="Z4" s="9"/>
      <c r="AA4" s="9"/>
    </row>
    <row r="5" spans="1:27" ht="14.25" customHeight="1" outlineLevel="1" x14ac:dyDescent="0.25">
      <c r="A5" s="371"/>
      <c r="B5" s="109"/>
      <c r="C5" s="110">
        <v>2.8000000000000001E-2</v>
      </c>
      <c r="D5" s="55">
        <v>9.5000000000000001E-2</v>
      </c>
      <c r="E5" s="56">
        <v>3</v>
      </c>
      <c r="F5" s="127">
        <f t="shared" si="0"/>
        <v>7.980000000000001E-3</v>
      </c>
      <c r="G5" s="127">
        <f t="shared" si="1"/>
        <v>0.28500000000000003</v>
      </c>
      <c r="H5" s="113">
        <v>404.93</v>
      </c>
      <c r="I5" s="114">
        <f>ROUND(H5*1.12,0)</f>
        <v>454</v>
      </c>
      <c r="J5" s="115">
        <f t="shared" si="3"/>
        <v>4.3491000000000009</v>
      </c>
      <c r="K5" s="128">
        <f t="shared" si="4"/>
        <v>15.260000000000002</v>
      </c>
      <c r="L5" s="117">
        <f t="shared" si="5"/>
        <v>599</v>
      </c>
      <c r="M5" s="118">
        <f t="shared" si="6"/>
        <v>4.7800200000000004</v>
      </c>
      <c r="N5" s="129">
        <f t="shared" si="7"/>
        <v>170.71500000000003</v>
      </c>
      <c r="O5" s="126"/>
      <c r="P5" s="121" t="str">
        <f t="shared" si="8"/>
        <v/>
      </c>
      <c r="Q5" s="130"/>
      <c r="R5" s="123"/>
      <c r="S5" s="56">
        <f t="shared" si="9"/>
        <v>0</v>
      </c>
      <c r="T5" s="124">
        <v>599</v>
      </c>
      <c r="U5" s="125">
        <f t="shared" si="10"/>
        <v>2605.1109000000006</v>
      </c>
      <c r="V5" s="9" t="str">
        <f t="shared" si="11"/>
        <v/>
      </c>
      <c r="W5" s="9" t="str">
        <f t="shared" si="12"/>
        <v/>
      </c>
      <c r="X5" s="9"/>
      <c r="Y5" s="9"/>
      <c r="Z5" s="9"/>
      <c r="AA5" s="9"/>
    </row>
    <row r="6" spans="1:27" ht="14.25" customHeight="1" outlineLevel="1" x14ac:dyDescent="0.25">
      <c r="A6" s="371"/>
      <c r="B6" s="109"/>
      <c r="C6" s="110">
        <v>2.8000000000000001E-2</v>
      </c>
      <c r="D6" s="55">
        <v>0.115</v>
      </c>
      <c r="E6" s="56">
        <v>3</v>
      </c>
      <c r="F6" s="112">
        <f t="shared" si="0"/>
        <v>9.6600000000000002E-3</v>
      </c>
      <c r="G6" s="112">
        <f t="shared" si="1"/>
        <v>0.34500000000000003</v>
      </c>
      <c r="H6" s="113">
        <v>402.09</v>
      </c>
      <c r="I6" s="114">
        <f>ROUND(H6*1.13,0)</f>
        <v>454</v>
      </c>
      <c r="J6" s="115">
        <f t="shared" si="3"/>
        <v>5.2647000000000004</v>
      </c>
      <c r="K6" s="116">
        <f t="shared" si="4"/>
        <v>15.26</v>
      </c>
      <c r="L6" s="117">
        <f t="shared" si="5"/>
        <v>52</v>
      </c>
      <c r="M6" s="118">
        <f t="shared" si="6"/>
        <v>0.50231999999999999</v>
      </c>
      <c r="N6" s="119">
        <f t="shared" si="7"/>
        <v>17.940000000000001</v>
      </c>
      <c r="O6" s="126"/>
      <c r="P6" s="121" t="str">
        <f t="shared" si="8"/>
        <v/>
      </c>
      <c r="Q6" s="122"/>
      <c r="R6" s="123"/>
      <c r="S6" s="56">
        <f t="shared" si="9"/>
        <v>0</v>
      </c>
      <c r="T6" s="124">
        <v>52</v>
      </c>
      <c r="U6" s="125">
        <f t="shared" si="10"/>
        <v>273.76440000000002</v>
      </c>
      <c r="V6" s="9" t="str">
        <f t="shared" si="11"/>
        <v/>
      </c>
      <c r="W6" s="9" t="str">
        <f t="shared" si="12"/>
        <v/>
      </c>
      <c r="X6" s="9"/>
      <c r="Y6" s="9"/>
      <c r="Z6" s="9"/>
      <c r="AA6" s="9"/>
    </row>
    <row r="7" spans="1:27" ht="14.25" customHeight="1" outlineLevel="1" x14ac:dyDescent="0.25">
      <c r="A7" s="371"/>
      <c r="B7" s="109" t="s">
        <v>52</v>
      </c>
      <c r="C7" s="110">
        <v>2.8000000000000001E-2</v>
      </c>
      <c r="D7" s="55">
        <v>0.12</v>
      </c>
      <c r="E7" s="56">
        <v>4.5</v>
      </c>
      <c r="F7" s="127">
        <f t="shared" si="0"/>
        <v>1.5120000000000001E-2</v>
      </c>
      <c r="G7" s="127">
        <f t="shared" si="1"/>
        <v>0.54</v>
      </c>
      <c r="H7" s="113">
        <f>395+(50/1.709)</f>
        <v>424.25687536571093</v>
      </c>
      <c r="I7" s="114">
        <f>ROUND(H7*1.067,0)</f>
        <v>453</v>
      </c>
      <c r="J7" s="115">
        <f t="shared" si="3"/>
        <v>8.2252800000000015</v>
      </c>
      <c r="K7" s="128">
        <f t="shared" si="4"/>
        <v>15.232000000000001</v>
      </c>
      <c r="L7" s="117">
        <f t="shared" si="5"/>
        <v>329</v>
      </c>
      <c r="M7" s="118">
        <f t="shared" si="6"/>
        <v>4.9744800000000007</v>
      </c>
      <c r="N7" s="129">
        <f t="shared" si="7"/>
        <v>177.66000000000003</v>
      </c>
      <c r="O7" s="126"/>
      <c r="P7" s="121" t="str">
        <f t="shared" si="8"/>
        <v/>
      </c>
      <c r="Q7" s="130"/>
      <c r="R7" s="123"/>
      <c r="S7" s="56">
        <f t="shared" si="9"/>
        <v>0</v>
      </c>
      <c r="T7" s="124">
        <v>329</v>
      </c>
      <c r="U7" s="125">
        <f t="shared" si="10"/>
        <v>2706.1171200000003</v>
      </c>
      <c r="V7" s="9" t="str">
        <f t="shared" si="11"/>
        <v/>
      </c>
      <c r="W7" s="9" t="str">
        <f t="shared" si="12"/>
        <v/>
      </c>
      <c r="X7" s="9"/>
      <c r="Y7" s="9"/>
      <c r="Z7" s="9"/>
      <c r="AA7" s="9"/>
    </row>
    <row r="8" spans="1:27" ht="13.5" customHeight="1" outlineLevel="1" x14ac:dyDescent="0.25">
      <c r="A8" s="371"/>
      <c r="B8" s="75"/>
      <c r="C8" s="131">
        <v>2.8000000000000001E-2</v>
      </c>
      <c r="D8" s="111">
        <v>0.12</v>
      </c>
      <c r="E8" s="132">
        <v>4.8</v>
      </c>
      <c r="F8" s="133">
        <f t="shared" si="0"/>
        <v>1.6128E-2</v>
      </c>
      <c r="G8" s="133">
        <f t="shared" si="1"/>
        <v>0.57599999999999996</v>
      </c>
      <c r="H8" s="113">
        <v>400</v>
      </c>
      <c r="I8" s="114">
        <f>ROUND(H8*1.1667,0)</f>
        <v>467</v>
      </c>
      <c r="J8" s="115">
        <f t="shared" si="3"/>
        <v>9.0478079999999999</v>
      </c>
      <c r="K8" s="116">
        <f t="shared" si="4"/>
        <v>15.708</v>
      </c>
      <c r="L8" s="117">
        <f t="shared" si="5"/>
        <v>54</v>
      </c>
      <c r="M8" s="118">
        <f t="shared" si="6"/>
        <v>0.87091200000000002</v>
      </c>
      <c r="N8" s="134">
        <f t="shared" si="7"/>
        <v>31.103999999999999</v>
      </c>
      <c r="O8" s="135"/>
      <c r="P8" s="121" t="str">
        <f t="shared" si="8"/>
        <v/>
      </c>
      <c r="Q8" s="136"/>
      <c r="R8" s="137"/>
      <c r="S8" s="56">
        <f t="shared" si="9"/>
        <v>0</v>
      </c>
      <c r="T8" s="124">
        <v>54</v>
      </c>
      <c r="U8" s="125">
        <f t="shared" si="10"/>
        <v>488.58163200000001</v>
      </c>
      <c r="V8" s="9" t="str">
        <f t="shared" si="11"/>
        <v/>
      </c>
      <c r="W8" s="9" t="str">
        <f t="shared" si="12"/>
        <v/>
      </c>
      <c r="X8" s="9"/>
      <c r="Y8" s="9"/>
      <c r="Z8" s="9"/>
      <c r="AA8" s="9"/>
    </row>
    <row r="9" spans="1:27" ht="13.5" customHeight="1" outlineLevel="1" x14ac:dyDescent="0.25">
      <c r="A9" s="371"/>
      <c r="B9" s="138" t="s">
        <v>53</v>
      </c>
      <c r="C9" s="110">
        <v>2.8000000000000001E-2</v>
      </c>
      <c r="D9" s="55">
        <v>0.14499999999999999</v>
      </c>
      <c r="E9" s="56">
        <v>2.4</v>
      </c>
      <c r="F9" s="112">
        <f t="shared" si="0"/>
        <v>9.7439999999999975E-3</v>
      </c>
      <c r="G9" s="112">
        <f t="shared" si="1"/>
        <v>0.34799999999999998</v>
      </c>
      <c r="H9" s="113">
        <v>745.69</v>
      </c>
      <c r="I9" s="114">
        <f t="shared" ref="I9:I10" si="13">ROUND(H9*1.058,0)</f>
        <v>789</v>
      </c>
      <c r="J9" s="115">
        <f t="shared" si="3"/>
        <v>9.227567999999998</v>
      </c>
      <c r="K9" s="116">
        <f t="shared" si="4"/>
        <v>26.515999999999995</v>
      </c>
      <c r="L9" s="117">
        <f t="shared" si="5"/>
        <v>1057</v>
      </c>
      <c r="M9" s="118">
        <f t="shared" si="6"/>
        <v>10.299407999999998</v>
      </c>
      <c r="N9" s="119">
        <f t="shared" si="7"/>
        <v>367.83599999999996</v>
      </c>
      <c r="O9" s="126"/>
      <c r="P9" s="121" t="str">
        <f t="shared" si="8"/>
        <v/>
      </c>
      <c r="Q9" s="122"/>
      <c r="R9" s="123"/>
      <c r="S9" s="56">
        <f t="shared" si="9"/>
        <v>0</v>
      </c>
      <c r="T9" s="124">
        <v>1057</v>
      </c>
      <c r="U9" s="125">
        <f t="shared" si="10"/>
        <v>9753.539375999997</v>
      </c>
      <c r="V9" s="9" t="str">
        <f t="shared" si="11"/>
        <v/>
      </c>
      <c r="W9" s="9" t="str">
        <f t="shared" si="12"/>
        <v/>
      </c>
      <c r="X9" s="9"/>
      <c r="Y9" s="9"/>
      <c r="Z9" s="9"/>
      <c r="AA9" s="9"/>
    </row>
    <row r="10" spans="1:27" ht="13.5" customHeight="1" outlineLevel="1" x14ac:dyDescent="0.25">
      <c r="A10" s="371"/>
      <c r="B10" s="138" t="s">
        <v>53</v>
      </c>
      <c r="C10" s="110">
        <v>2.8000000000000001E-2</v>
      </c>
      <c r="D10" s="139">
        <v>0.14499999999999999</v>
      </c>
      <c r="E10" s="140">
        <v>3</v>
      </c>
      <c r="F10" s="112">
        <f t="shared" si="0"/>
        <v>1.2179999999999998E-2</v>
      </c>
      <c r="G10" s="112">
        <f t="shared" si="1"/>
        <v>0.43499999999999994</v>
      </c>
      <c r="H10" s="113">
        <v>745.69</v>
      </c>
      <c r="I10" s="114">
        <f t="shared" si="13"/>
        <v>789</v>
      </c>
      <c r="J10" s="115">
        <f t="shared" si="3"/>
        <v>11.534459999999997</v>
      </c>
      <c r="K10" s="116">
        <f t="shared" si="4"/>
        <v>26.515999999999998</v>
      </c>
      <c r="L10" s="117">
        <f t="shared" si="5"/>
        <v>766</v>
      </c>
      <c r="M10" s="118">
        <f t="shared" si="6"/>
        <v>9.3298799999999993</v>
      </c>
      <c r="N10" s="119">
        <f t="shared" si="7"/>
        <v>333.21</v>
      </c>
      <c r="O10" s="141"/>
      <c r="P10" s="121" t="str">
        <f t="shared" si="8"/>
        <v/>
      </c>
      <c r="Q10" s="122"/>
      <c r="R10" s="142"/>
      <c r="S10" s="56">
        <f t="shared" si="9"/>
        <v>0</v>
      </c>
      <c r="T10" s="124">
        <v>766</v>
      </c>
      <c r="U10" s="125">
        <f t="shared" si="10"/>
        <v>8835.3963599999988</v>
      </c>
      <c r="V10" s="9" t="str">
        <f t="shared" si="11"/>
        <v/>
      </c>
      <c r="W10" s="9" t="str">
        <f t="shared" si="12"/>
        <v/>
      </c>
      <c r="X10" s="9"/>
      <c r="Y10" s="9"/>
      <c r="Z10" s="9"/>
      <c r="AA10" s="9"/>
    </row>
    <row r="11" spans="1:27" ht="13.5" customHeight="1" outlineLevel="1" x14ac:dyDescent="0.25">
      <c r="A11" s="371"/>
      <c r="B11" s="143" t="s">
        <v>54</v>
      </c>
      <c r="C11" s="110">
        <v>2.8000000000000001E-2</v>
      </c>
      <c r="D11" s="55">
        <v>0.14499999999999999</v>
      </c>
      <c r="E11" s="56">
        <v>3</v>
      </c>
      <c r="F11" s="112">
        <f t="shared" si="0"/>
        <v>1.2179999999999998E-2</v>
      </c>
      <c r="G11" s="112">
        <f t="shared" si="1"/>
        <v>0.43499999999999994</v>
      </c>
      <c r="H11" s="113">
        <v>399.29</v>
      </c>
      <c r="I11" s="114">
        <f t="shared" ref="I11:I12" si="14">ROUND(H11*1.025,0)</f>
        <v>409</v>
      </c>
      <c r="J11" s="115">
        <f>ROUND((I11*0.74)*1.21,0)*(C11*D11*E11)</f>
        <v>4.4578799999999994</v>
      </c>
      <c r="K11" s="116">
        <f t="shared" si="4"/>
        <v>10.247999999999999</v>
      </c>
      <c r="L11" s="117">
        <f t="shared" si="5"/>
        <v>52</v>
      </c>
      <c r="M11" s="118">
        <f t="shared" si="6"/>
        <v>0.63335999999999992</v>
      </c>
      <c r="N11" s="119">
        <f t="shared" si="7"/>
        <v>22.619999999999997</v>
      </c>
      <c r="O11" s="120"/>
      <c r="P11" s="121" t="str">
        <f t="shared" si="8"/>
        <v/>
      </c>
      <c r="Q11" s="122"/>
      <c r="R11" s="123"/>
      <c r="S11" s="56">
        <f t="shared" si="9"/>
        <v>0</v>
      </c>
      <c r="T11" s="124">
        <v>52</v>
      </c>
      <c r="U11" s="125">
        <f t="shared" si="10"/>
        <v>231.80975999999998</v>
      </c>
      <c r="V11" s="9" t="str">
        <f t="shared" si="11"/>
        <v/>
      </c>
      <c r="W11" s="9" t="str">
        <f t="shared" si="12"/>
        <v/>
      </c>
      <c r="X11" s="9"/>
      <c r="Y11" s="9"/>
      <c r="Z11" s="9"/>
      <c r="AA11" s="9"/>
    </row>
    <row r="12" spans="1:27" ht="13.5" customHeight="1" outlineLevel="1" x14ac:dyDescent="0.25">
      <c r="A12" s="371"/>
      <c r="B12" s="143" t="s">
        <v>54</v>
      </c>
      <c r="C12" s="110">
        <v>2.8000000000000001E-2</v>
      </c>
      <c r="D12" s="55">
        <v>0.14499999999999999</v>
      </c>
      <c r="E12" s="56">
        <v>3.6</v>
      </c>
      <c r="F12" s="112">
        <f t="shared" si="0"/>
        <v>1.4615999999999999E-2</v>
      </c>
      <c r="G12" s="112">
        <f t="shared" si="1"/>
        <v>0.52200000000000002</v>
      </c>
      <c r="H12" s="113">
        <v>399.29</v>
      </c>
      <c r="I12" s="114">
        <f t="shared" si="14"/>
        <v>409</v>
      </c>
      <c r="J12" s="115">
        <f>ROUND((I12*0.83)*1.21,0)*(C12*D12*E12)</f>
        <v>6.0071759999999994</v>
      </c>
      <c r="K12" s="116">
        <f t="shared" si="4"/>
        <v>11.507999999999999</v>
      </c>
      <c r="L12" s="117">
        <f t="shared" si="5"/>
        <v>40</v>
      </c>
      <c r="M12" s="118">
        <f t="shared" si="6"/>
        <v>0.58463999999999994</v>
      </c>
      <c r="N12" s="119">
        <f t="shared" si="7"/>
        <v>20.880000000000003</v>
      </c>
      <c r="O12" s="120"/>
      <c r="P12" s="121" t="str">
        <f t="shared" si="8"/>
        <v/>
      </c>
      <c r="Q12" s="122"/>
      <c r="R12" s="123"/>
      <c r="S12" s="56">
        <f t="shared" si="9"/>
        <v>0</v>
      </c>
      <c r="T12" s="124">
        <v>40</v>
      </c>
      <c r="U12" s="125">
        <f t="shared" si="10"/>
        <v>240.28703999999999</v>
      </c>
      <c r="V12" s="9" t="str">
        <f t="shared" si="11"/>
        <v/>
      </c>
      <c r="W12" s="9" t="str">
        <f t="shared" si="12"/>
        <v/>
      </c>
      <c r="X12" s="9"/>
      <c r="Y12" s="9"/>
      <c r="Z12" s="9"/>
      <c r="AA12" s="9"/>
    </row>
    <row r="13" spans="1:27" ht="13.5" customHeight="1" outlineLevel="1" x14ac:dyDescent="0.25">
      <c r="A13" s="371"/>
      <c r="B13" s="109"/>
      <c r="C13" s="110">
        <v>2.8000000000000001E-2</v>
      </c>
      <c r="D13" s="55">
        <v>0.14499999999999999</v>
      </c>
      <c r="E13" s="56">
        <v>6</v>
      </c>
      <c r="F13" s="127">
        <f t="shared" si="0"/>
        <v>2.4359999999999996E-2</v>
      </c>
      <c r="G13" s="127">
        <f t="shared" si="1"/>
        <v>0.86999999999999988</v>
      </c>
      <c r="H13" s="113">
        <v>399.29</v>
      </c>
      <c r="I13" s="114">
        <f>ROUND(H13*1.1357,0)</f>
        <v>453</v>
      </c>
      <c r="J13" s="115">
        <f>ROUND((I13*0.992)*1.21,0)*(C13*D13*E13)</f>
        <v>13.251839999999998</v>
      </c>
      <c r="K13" s="128">
        <f t="shared" si="4"/>
        <v>15.231999999999999</v>
      </c>
      <c r="L13" s="117">
        <f t="shared" si="5"/>
        <v>43</v>
      </c>
      <c r="M13" s="118">
        <f t="shared" si="6"/>
        <v>1.0474799999999997</v>
      </c>
      <c r="N13" s="129">
        <f t="shared" si="7"/>
        <v>37.409999999999997</v>
      </c>
      <c r="O13" s="144"/>
      <c r="P13" s="121" t="str">
        <f t="shared" si="8"/>
        <v/>
      </c>
      <c r="Q13" s="130"/>
      <c r="R13" s="123"/>
      <c r="S13" s="56">
        <f t="shared" si="9"/>
        <v>0</v>
      </c>
      <c r="T13" s="124">
        <v>43</v>
      </c>
      <c r="U13" s="125">
        <f t="shared" si="10"/>
        <v>569.82911999999988</v>
      </c>
      <c r="V13" s="9" t="str">
        <f t="shared" si="11"/>
        <v/>
      </c>
      <c r="W13" s="9" t="str">
        <f t="shared" si="12"/>
        <v/>
      </c>
      <c r="X13" s="9"/>
      <c r="Y13" s="9"/>
      <c r="Z13" s="9"/>
      <c r="AA13" s="9"/>
    </row>
    <row r="14" spans="1:27" ht="13.5" customHeight="1" outlineLevel="1" x14ac:dyDescent="0.25">
      <c r="A14" s="371"/>
      <c r="B14" s="143" t="s">
        <v>54</v>
      </c>
      <c r="C14" s="110">
        <v>2.8000000000000001E-2</v>
      </c>
      <c r="D14" s="55">
        <v>0.14499999999999999</v>
      </c>
      <c r="E14" s="56">
        <v>6</v>
      </c>
      <c r="F14" s="112">
        <f t="shared" si="0"/>
        <v>2.4359999999999996E-2</v>
      </c>
      <c r="G14" s="112">
        <f t="shared" si="1"/>
        <v>0.86999999999999988</v>
      </c>
      <c r="H14" s="113">
        <v>399.29</v>
      </c>
      <c r="I14" s="114">
        <f>ROUND(H14*1.025,0)</f>
        <v>409</v>
      </c>
      <c r="J14" s="115">
        <f>ROUND((I14*0.83)*1.21,0)*(C14*D14*E14)</f>
        <v>10.011959999999998</v>
      </c>
      <c r="K14" s="116">
        <f t="shared" si="4"/>
        <v>11.507999999999999</v>
      </c>
      <c r="L14" s="117">
        <f t="shared" si="5"/>
        <v>72</v>
      </c>
      <c r="M14" s="118">
        <f t="shared" si="6"/>
        <v>1.7539199999999997</v>
      </c>
      <c r="N14" s="119">
        <f t="shared" si="7"/>
        <v>62.639999999999993</v>
      </c>
      <c r="O14" s="145"/>
      <c r="P14" s="121" t="str">
        <f t="shared" si="8"/>
        <v/>
      </c>
      <c r="Q14" s="122"/>
      <c r="R14" s="123"/>
      <c r="S14" s="56">
        <f t="shared" si="9"/>
        <v>0</v>
      </c>
      <c r="T14" s="124">
        <v>72</v>
      </c>
      <c r="U14" s="125">
        <f t="shared" si="10"/>
        <v>720.86111999999991</v>
      </c>
      <c r="V14" s="9" t="str">
        <f t="shared" si="11"/>
        <v/>
      </c>
      <c r="W14" s="9" t="str">
        <f t="shared" si="12"/>
        <v/>
      </c>
      <c r="X14" s="9"/>
      <c r="Y14" s="9"/>
      <c r="Z14" s="9"/>
      <c r="AA14" s="9"/>
    </row>
    <row r="15" spans="1:27" ht="13.5" customHeight="1" outlineLevel="1" x14ac:dyDescent="0.25">
      <c r="A15" s="371"/>
      <c r="B15" s="143" t="s">
        <v>55</v>
      </c>
      <c r="C15" s="110">
        <v>0.03</v>
      </c>
      <c r="D15" s="55">
        <v>0.1</v>
      </c>
      <c r="E15" s="56">
        <v>3</v>
      </c>
      <c r="F15" s="112">
        <f t="shared" si="0"/>
        <v>9.0000000000000011E-3</v>
      </c>
      <c r="G15" s="112">
        <f t="shared" si="1"/>
        <v>0.30000000000000004</v>
      </c>
      <c r="H15" s="113">
        <v>400.75</v>
      </c>
      <c r="I15" s="114">
        <f>ROUND(H15*1.09,0)</f>
        <v>437</v>
      </c>
      <c r="J15" s="115">
        <f>ROUND((I15*0.91)*1.21,0)*(C15*D15*E15)</f>
        <v>4.3290000000000006</v>
      </c>
      <c r="K15" s="116">
        <f t="shared" si="4"/>
        <v>14.43</v>
      </c>
      <c r="L15" s="117">
        <f t="shared" si="5"/>
        <v>184</v>
      </c>
      <c r="M15" s="118">
        <f t="shared" si="6"/>
        <v>1.6560000000000001</v>
      </c>
      <c r="N15" s="119">
        <f t="shared" si="7"/>
        <v>55.20000000000001</v>
      </c>
      <c r="O15" s="145"/>
      <c r="P15" s="121" t="str">
        <f t="shared" si="8"/>
        <v/>
      </c>
      <c r="Q15" s="122"/>
      <c r="R15" s="123"/>
      <c r="S15" s="56">
        <f t="shared" si="9"/>
        <v>0</v>
      </c>
      <c r="T15" s="124">
        <v>184</v>
      </c>
      <c r="U15" s="125">
        <f t="shared" si="10"/>
        <v>796.53600000000006</v>
      </c>
      <c r="V15" s="9" t="str">
        <f t="shared" si="11"/>
        <v/>
      </c>
      <c r="W15" s="9" t="str">
        <f t="shared" si="12"/>
        <v/>
      </c>
      <c r="X15" s="9"/>
      <c r="Y15" s="9"/>
      <c r="Z15" s="9"/>
      <c r="AA15" s="9"/>
    </row>
    <row r="16" spans="1:27" ht="13.5" customHeight="1" outlineLevel="1" x14ac:dyDescent="0.25">
      <c r="A16" s="371"/>
      <c r="B16" s="143" t="s">
        <v>54</v>
      </c>
      <c r="C16" s="110">
        <v>0.03</v>
      </c>
      <c r="D16" s="55">
        <v>0.1</v>
      </c>
      <c r="E16" s="56">
        <v>6</v>
      </c>
      <c r="F16" s="112">
        <f t="shared" si="0"/>
        <v>1.8000000000000002E-2</v>
      </c>
      <c r="G16" s="112">
        <f t="shared" si="1"/>
        <v>0.60000000000000009</v>
      </c>
      <c r="H16" s="113">
        <v>400.75</v>
      </c>
      <c r="I16" s="114">
        <f t="shared" ref="I16:I19" si="15">ROUND(H16*1.025,0)</f>
        <v>411</v>
      </c>
      <c r="J16" s="115">
        <f t="shared" ref="J16:J19" si="16">ROUND((I16*0.83)*1.21,0)*(C16*D16*E16)</f>
        <v>7.4340000000000011</v>
      </c>
      <c r="K16" s="116">
        <f t="shared" si="4"/>
        <v>12.39</v>
      </c>
      <c r="L16" s="117">
        <f t="shared" si="5"/>
        <v>45</v>
      </c>
      <c r="M16" s="118">
        <f t="shared" si="6"/>
        <v>0.81</v>
      </c>
      <c r="N16" s="119">
        <f t="shared" si="7"/>
        <v>27.000000000000004</v>
      </c>
      <c r="O16" s="145"/>
      <c r="P16" s="121" t="str">
        <f t="shared" si="8"/>
        <v/>
      </c>
      <c r="Q16" s="122"/>
      <c r="R16" s="123"/>
      <c r="S16" s="56">
        <f t="shared" si="9"/>
        <v>0</v>
      </c>
      <c r="T16" s="124">
        <v>45</v>
      </c>
      <c r="U16" s="125">
        <f t="shared" si="10"/>
        <v>334.53000000000003</v>
      </c>
      <c r="V16" s="9" t="str">
        <f t="shared" si="11"/>
        <v/>
      </c>
      <c r="W16" s="9" t="str">
        <f t="shared" si="12"/>
        <v/>
      </c>
      <c r="X16" s="9"/>
      <c r="Y16" s="9"/>
      <c r="Z16" s="9"/>
      <c r="AA16" s="9"/>
    </row>
    <row r="17" spans="1:27" ht="13.5" customHeight="1" outlineLevel="1" x14ac:dyDescent="0.25">
      <c r="A17" s="371"/>
      <c r="B17" s="143" t="s">
        <v>54</v>
      </c>
      <c r="C17" s="110">
        <v>0.03</v>
      </c>
      <c r="D17" s="55">
        <v>0.12</v>
      </c>
      <c r="E17" s="56">
        <v>3.6</v>
      </c>
      <c r="F17" s="112">
        <f t="shared" si="0"/>
        <v>1.2959999999999999E-2</v>
      </c>
      <c r="G17" s="112">
        <f t="shared" si="1"/>
        <v>0.432</v>
      </c>
      <c r="H17" s="113">
        <v>398.18</v>
      </c>
      <c r="I17" s="114">
        <f t="shared" si="15"/>
        <v>408</v>
      </c>
      <c r="J17" s="115">
        <f t="shared" si="16"/>
        <v>5.3136000000000001</v>
      </c>
      <c r="K17" s="116">
        <f t="shared" si="4"/>
        <v>12.3</v>
      </c>
      <c r="L17" s="117">
        <f t="shared" si="5"/>
        <v>102</v>
      </c>
      <c r="M17" s="118">
        <f t="shared" si="6"/>
        <v>1.32192</v>
      </c>
      <c r="N17" s="119">
        <f t="shared" si="7"/>
        <v>44.064</v>
      </c>
      <c r="O17" s="145"/>
      <c r="P17" s="121" t="str">
        <f t="shared" si="8"/>
        <v/>
      </c>
      <c r="Q17" s="122"/>
      <c r="R17" s="123"/>
      <c r="S17" s="56">
        <f t="shared" si="9"/>
        <v>0</v>
      </c>
      <c r="T17" s="124">
        <v>102</v>
      </c>
      <c r="U17" s="125">
        <f t="shared" si="10"/>
        <v>541.98720000000003</v>
      </c>
      <c r="V17" s="9" t="str">
        <f t="shared" si="11"/>
        <v/>
      </c>
      <c r="W17" s="9" t="str">
        <f t="shared" si="12"/>
        <v/>
      </c>
      <c r="X17" s="9"/>
      <c r="Y17" s="9"/>
      <c r="Z17" s="9"/>
      <c r="AA17" s="9"/>
    </row>
    <row r="18" spans="1:27" ht="13.5" customHeight="1" outlineLevel="1" x14ac:dyDescent="0.25">
      <c r="A18" s="371"/>
      <c r="B18" s="143" t="s">
        <v>54</v>
      </c>
      <c r="C18" s="110">
        <v>0.03</v>
      </c>
      <c r="D18" s="55">
        <v>0.12</v>
      </c>
      <c r="E18" s="56">
        <v>4.8</v>
      </c>
      <c r="F18" s="112">
        <f t="shared" si="0"/>
        <v>1.728E-2</v>
      </c>
      <c r="G18" s="112">
        <f t="shared" si="1"/>
        <v>0.57599999999999996</v>
      </c>
      <c r="H18" s="113">
        <v>396.34</v>
      </c>
      <c r="I18" s="114">
        <f t="shared" si="15"/>
        <v>406</v>
      </c>
      <c r="J18" s="115">
        <f t="shared" si="16"/>
        <v>7.0502400000000005</v>
      </c>
      <c r="K18" s="116">
        <f t="shared" si="4"/>
        <v>12.240000000000002</v>
      </c>
      <c r="L18" s="117">
        <f t="shared" si="5"/>
        <v>62</v>
      </c>
      <c r="M18" s="118">
        <f t="shared" si="6"/>
        <v>1.0713600000000001</v>
      </c>
      <c r="N18" s="119">
        <f t="shared" si="7"/>
        <v>35.711999999999996</v>
      </c>
      <c r="O18" s="145"/>
      <c r="P18" s="121" t="str">
        <f t="shared" si="8"/>
        <v/>
      </c>
      <c r="Q18" s="122"/>
      <c r="R18" s="123"/>
      <c r="S18" s="56">
        <f t="shared" si="9"/>
        <v>0</v>
      </c>
      <c r="T18" s="124">
        <v>62</v>
      </c>
      <c r="U18" s="125">
        <f t="shared" si="10"/>
        <v>437.11488000000003</v>
      </c>
      <c r="V18" s="9" t="str">
        <f t="shared" si="11"/>
        <v/>
      </c>
      <c r="W18" s="9" t="str">
        <f t="shared" si="12"/>
        <v/>
      </c>
      <c r="X18" s="9"/>
      <c r="Y18" s="9"/>
      <c r="Z18" s="9"/>
      <c r="AA18" s="9"/>
    </row>
    <row r="19" spans="1:27" ht="13.5" customHeight="1" outlineLevel="1" x14ac:dyDescent="0.25">
      <c r="A19" s="371"/>
      <c r="B19" s="143" t="s">
        <v>54</v>
      </c>
      <c r="C19" s="110">
        <v>0.03</v>
      </c>
      <c r="D19" s="55">
        <v>0.14000000000000001</v>
      </c>
      <c r="E19" s="56">
        <v>3.6</v>
      </c>
      <c r="F19" s="112">
        <f t="shared" si="0"/>
        <v>1.5120000000000003E-2</v>
      </c>
      <c r="G19" s="112">
        <f t="shared" si="1"/>
        <v>0.50400000000000011</v>
      </c>
      <c r="H19" s="113">
        <v>396.34</v>
      </c>
      <c r="I19" s="114">
        <f t="shared" si="15"/>
        <v>406</v>
      </c>
      <c r="J19" s="115">
        <f t="shared" si="16"/>
        <v>6.1689600000000011</v>
      </c>
      <c r="K19" s="116">
        <f t="shared" si="4"/>
        <v>12.24</v>
      </c>
      <c r="L19" s="117">
        <v>110</v>
      </c>
      <c r="M19" s="118">
        <f t="shared" si="6"/>
        <v>1.6632000000000005</v>
      </c>
      <c r="N19" s="119">
        <f t="shared" si="7"/>
        <v>55.440000000000012</v>
      </c>
      <c r="O19" s="144"/>
      <c r="P19" s="121" t="str">
        <f t="shared" si="8"/>
        <v/>
      </c>
      <c r="Q19" s="122"/>
      <c r="R19" s="123"/>
      <c r="S19" s="56">
        <f t="shared" si="9"/>
        <v>0</v>
      </c>
      <c r="T19" s="124">
        <v>146</v>
      </c>
      <c r="U19" s="125">
        <f t="shared" si="10"/>
        <v>678.58560000000011</v>
      </c>
      <c r="V19" s="9" t="str">
        <f t="shared" si="11"/>
        <v/>
      </c>
      <c r="W19" s="9" t="str">
        <f t="shared" si="12"/>
        <v/>
      </c>
      <c r="X19" s="9"/>
      <c r="Y19" s="9"/>
      <c r="Z19" s="9"/>
      <c r="AA19" s="9"/>
    </row>
    <row r="20" spans="1:27" ht="13.5" customHeight="1" outlineLevel="1" x14ac:dyDescent="0.25">
      <c r="A20" s="371"/>
      <c r="B20" s="109"/>
      <c r="C20" s="110">
        <v>0.03</v>
      </c>
      <c r="D20" s="55">
        <v>0.14499999999999999</v>
      </c>
      <c r="E20" s="56">
        <v>3.6</v>
      </c>
      <c r="F20" s="112">
        <f t="shared" si="0"/>
        <v>1.566E-2</v>
      </c>
      <c r="G20" s="112">
        <f t="shared" si="1"/>
        <v>0.52200000000000002</v>
      </c>
      <c r="H20" s="113">
        <v>395.96</v>
      </c>
      <c r="I20" s="114">
        <f>ROUND(H20*1.1667,0)</f>
        <v>462</v>
      </c>
      <c r="J20" s="115">
        <f>ROUND((I20*0.992)*1.21,0)*(C20*D20*E20)</f>
        <v>8.6913</v>
      </c>
      <c r="K20" s="116">
        <f t="shared" si="4"/>
        <v>16.649999999999999</v>
      </c>
      <c r="L20" s="117">
        <f t="shared" ref="L20:L28" si="17">T20+R20-O20</f>
        <v>10</v>
      </c>
      <c r="M20" s="118">
        <f t="shared" si="6"/>
        <v>0.15660000000000002</v>
      </c>
      <c r="N20" s="146">
        <f t="shared" si="7"/>
        <v>5.2200000000000006</v>
      </c>
      <c r="O20" s="126"/>
      <c r="P20" s="121" t="str">
        <f t="shared" si="8"/>
        <v/>
      </c>
      <c r="Q20" s="122"/>
      <c r="R20" s="123"/>
      <c r="S20" s="56">
        <f t="shared" si="9"/>
        <v>0</v>
      </c>
      <c r="T20" s="124">
        <v>10</v>
      </c>
      <c r="U20" s="125">
        <f t="shared" si="10"/>
        <v>86.912999999999997</v>
      </c>
      <c r="V20" s="9" t="str">
        <f t="shared" si="11"/>
        <v/>
      </c>
      <c r="W20" s="9" t="str">
        <f t="shared" si="12"/>
        <v/>
      </c>
      <c r="X20" s="9"/>
      <c r="Y20" s="9"/>
      <c r="Z20" s="9"/>
      <c r="AA20" s="9"/>
    </row>
    <row r="21" spans="1:27" ht="13.5" customHeight="1" outlineLevel="1" x14ac:dyDescent="0.25">
      <c r="A21" s="371"/>
      <c r="B21" s="143" t="s">
        <v>54</v>
      </c>
      <c r="C21" s="110">
        <v>0.03</v>
      </c>
      <c r="D21" s="55">
        <v>0.14499999999999999</v>
      </c>
      <c r="E21" s="56">
        <v>3.6</v>
      </c>
      <c r="F21" s="112">
        <f t="shared" si="0"/>
        <v>1.566E-2</v>
      </c>
      <c r="G21" s="112">
        <f t="shared" si="1"/>
        <v>0.52200000000000002</v>
      </c>
      <c r="H21" s="113">
        <v>395.96</v>
      </c>
      <c r="I21" s="114">
        <f>ROUND(H21*1.025,0)</f>
        <v>406</v>
      </c>
      <c r="J21" s="115">
        <f>ROUND((I21*0.83)*1.21,0)*(C21*D21*E21)</f>
        <v>6.3892800000000003</v>
      </c>
      <c r="K21" s="116">
        <f t="shared" si="4"/>
        <v>12.24</v>
      </c>
      <c r="L21" s="117">
        <f t="shared" si="17"/>
        <v>97</v>
      </c>
      <c r="M21" s="118">
        <f t="shared" si="6"/>
        <v>1.51902</v>
      </c>
      <c r="N21" s="119">
        <f t="shared" si="7"/>
        <v>50.634</v>
      </c>
      <c r="O21" s="144"/>
      <c r="P21" s="121" t="str">
        <f t="shared" si="8"/>
        <v/>
      </c>
      <c r="Q21" s="122"/>
      <c r="R21" s="123"/>
      <c r="S21" s="56">
        <f t="shared" si="9"/>
        <v>0</v>
      </c>
      <c r="T21" s="124">
        <v>97</v>
      </c>
      <c r="U21" s="125">
        <f t="shared" si="10"/>
        <v>619.76016000000004</v>
      </c>
      <c r="V21" s="9" t="str">
        <f t="shared" si="11"/>
        <v/>
      </c>
      <c r="W21" s="9" t="str">
        <f t="shared" si="12"/>
        <v/>
      </c>
      <c r="X21" s="9"/>
      <c r="Y21" s="9"/>
      <c r="Z21" s="9"/>
      <c r="AA21" s="9"/>
    </row>
    <row r="22" spans="1:27" ht="13.5" customHeight="1" outlineLevel="1" x14ac:dyDescent="0.25">
      <c r="A22" s="371"/>
      <c r="B22" s="109"/>
      <c r="C22" s="110">
        <v>0.03</v>
      </c>
      <c r="D22" s="55">
        <v>0.14499999999999999</v>
      </c>
      <c r="E22" s="56">
        <v>4.8</v>
      </c>
      <c r="F22" s="112">
        <f t="shared" si="0"/>
        <v>2.0879999999999999E-2</v>
      </c>
      <c r="G22" s="112">
        <f t="shared" si="1"/>
        <v>0.69599999999999995</v>
      </c>
      <c r="H22" s="113">
        <v>395.96</v>
      </c>
      <c r="I22" s="114">
        <f>ROUND(H22*1.1667,0)</f>
        <v>462</v>
      </c>
      <c r="J22" s="115">
        <f>ROUND((I22*0.992)*1.21,0)*(C22*D22*E22)</f>
        <v>11.5884</v>
      </c>
      <c r="K22" s="116">
        <f t="shared" si="4"/>
        <v>16.650000000000002</v>
      </c>
      <c r="L22" s="117">
        <f t="shared" si="17"/>
        <v>44</v>
      </c>
      <c r="M22" s="118">
        <f t="shared" si="6"/>
        <v>0.91871999999999998</v>
      </c>
      <c r="N22" s="119">
        <f t="shared" si="7"/>
        <v>30.623999999999999</v>
      </c>
      <c r="O22" s="144"/>
      <c r="P22" s="121" t="str">
        <f t="shared" si="8"/>
        <v/>
      </c>
      <c r="Q22" s="122"/>
      <c r="R22" s="123"/>
      <c r="S22" s="56">
        <f t="shared" si="9"/>
        <v>0</v>
      </c>
      <c r="T22" s="124">
        <v>44</v>
      </c>
      <c r="U22" s="125">
        <f t="shared" si="10"/>
        <v>509.88959999999997</v>
      </c>
      <c r="V22" s="9" t="str">
        <f t="shared" si="11"/>
        <v/>
      </c>
      <c r="W22" s="9" t="str">
        <f t="shared" si="12"/>
        <v/>
      </c>
      <c r="X22" s="9"/>
      <c r="Y22" s="9"/>
      <c r="Z22" s="9"/>
      <c r="AA22" s="9"/>
    </row>
    <row r="23" spans="1:27" ht="13.5" customHeight="1" outlineLevel="1" x14ac:dyDescent="0.25">
      <c r="A23" s="371"/>
      <c r="B23" s="143" t="s">
        <v>54</v>
      </c>
      <c r="C23" s="110">
        <v>0.03</v>
      </c>
      <c r="D23" s="55">
        <v>0.14499999999999999</v>
      </c>
      <c r="E23" s="56">
        <v>4.8</v>
      </c>
      <c r="F23" s="112">
        <f t="shared" si="0"/>
        <v>2.0879999999999999E-2</v>
      </c>
      <c r="G23" s="112">
        <f t="shared" si="1"/>
        <v>0.69599999999999995</v>
      </c>
      <c r="H23" s="113">
        <v>395.96</v>
      </c>
      <c r="I23" s="114">
        <f>ROUND(H23*1.025,0)</f>
        <v>406</v>
      </c>
      <c r="J23" s="115">
        <f>ROUND((I23*0.83)*1.21,0)*(C23*D23*E23)</f>
        <v>8.5190400000000004</v>
      </c>
      <c r="K23" s="116">
        <f t="shared" si="4"/>
        <v>12.240000000000002</v>
      </c>
      <c r="L23" s="117">
        <f t="shared" si="17"/>
        <v>221</v>
      </c>
      <c r="M23" s="118">
        <f t="shared" si="6"/>
        <v>4.6144799999999995</v>
      </c>
      <c r="N23" s="119">
        <f t="shared" si="7"/>
        <v>153.816</v>
      </c>
      <c r="O23" s="144"/>
      <c r="P23" s="121" t="str">
        <f t="shared" si="8"/>
        <v/>
      </c>
      <c r="Q23" s="122"/>
      <c r="R23" s="123"/>
      <c r="S23" s="56">
        <f t="shared" si="9"/>
        <v>0</v>
      </c>
      <c r="T23" s="124">
        <v>221</v>
      </c>
      <c r="U23" s="125">
        <f t="shared" si="10"/>
        <v>1882.70784</v>
      </c>
      <c r="V23" s="9" t="str">
        <f t="shared" si="11"/>
        <v/>
      </c>
      <c r="W23" s="9" t="str">
        <f t="shared" si="12"/>
        <v/>
      </c>
      <c r="X23" s="9"/>
      <c r="Y23" s="9"/>
      <c r="Z23" s="9"/>
      <c r="AA23" s="9"/>
    </row>
    <row r="24" spans="1:27" ht="13.5" customHeight="1" outlineLevel="1" x14ac:dyDescent="0.25">
      <c r="A24" s="371"/>
      <c r="B24" s="109"/>
      <c r="C24" s="110">
        <v>0.03</v>
      </c>
      <c r="D24" s="55">
        <v>0.14499999999999999</v>
      </c>
      <c r="E24" s="56">
        <v>5.0999999999999996</v>
      </c>
      <c r="F24" s="112">
        <f t="shared" si="0"/>
        <v>2.2184999999999996E-2</v>
      </c>
      <c r="G24" s="112">
        <f t="shared" si="1"/>
        <v>0.73949999999999994</v>
      </c>
      <c r="H24" s="113">
        <v>395.96</v>
      </c>
      <c r="I24" s="114">
        <f>ROUND(H24*1.1667,0)</f>
        <v>462</v>
      </c>
      <c r="J24" s="115">
        <f>ROUND((I24*0.992)*1.21,0)*(C24*D24*E24)</f>
        <v>12.312674999999999</v>
      </c>
      <c r="K24" s="116">
        <f t="shared" si="4"/>
        <v>16.649999999999999</v>
      </c>
      <c r="L24" s="117">
        <f t="shared" si="17"/>
        <v>224</v>
      </c>
      <c r="M24" s="118">
        <f t="shared" si="6"/>
        <v>4.9694399999999987</v>
      </c>
      <c r="N24" s="119">
        <f t="shared" si="7"/>
        <v>165.648</v>
      </c>
      <c r="O24" s="126"/>
      <c r="P24" s="121" t="str">
        <f t="shared" si="8"/>
        <v/>
      </c>
      <c r="Q24" s="122"/>
      <c r="R24" s="123"/>
      <c r="S24" s="56">
        <f t="shared" si="9"/>
        <v>0</v>
      </c>
      <c r="T24" s="124">
        <v>224</v>
      </c>
      <c r="U24" s="125">
        <f t="shared" si="10"/>
        <v>2758.0391999999997</v>
      </c>
      <c r="V24" s="9" t="str">
        <f t="shared" si="11"/>
        <v/>
      </c>
      <c r="W24" s="9" t="str">
        <f t="shared" si="12"/>
        <v/>
      </c>
      <c r="X24" s="9"/>
      <c r="Y24" s="9"/>
      <c r="Z24" s="9"/>
      <c r="AA24" s="9"/>
    </row>
    <row r="25" spans="1:27" ht="13.5" customHeight="1" outlineLevel="1" x14ac:dyDescent="0.25">
      <c r="A25" s="371"/>
      <c r="B25" s="138" t="s">
        <v>55</v>
      </c>
      <c r="C25" s="110">
        <v>4.4999999999999998E-2</v>
      </c>
      <c r="D25" s="139">
        <v>0.12</v>
      </c>
      <c r="E25" s="140">
        <v>3</v>
      </c>
      <c r="F25" s="112">
        <f t="shared" si="0"/>
        <v>1.6199999999999999E-2</v>
      </c>
      <c r="G25" s="112">
        <f t="shared" si="1"/>
        <v>0.36</v>
      </c>
      <c r="H25" s="113">
        <v>382.56</v>
      </c>
      <c r="I25" s="114">
        <f>ROUND(H25*1.09,0)</f>
        <v>417</v>
      </c>
      <c r="J25" s="115">
        <f>ROUND((I25*0.91)*1.21,0)*(C25*D25*E25)</f>
        <v>7.4357999999999995</v>
      </c>
      <c r="K25" s="116">
        <f t="shared" si="4"/>
        <v>20.655000000000001</v>
      </c>
      <c r="L25" s="117">
        <f t="shared" si="17"/>
        <v>805</v>
      </c>
      <c r="M25" s="118">
        <f t="shared" si="6"/>
        <v>13.040999999999999</v>
      </c>
      <c r="N25" s="119">
        <f t="shared" si="7"/>
        <v>289.8</v>
      </c>
      <c r="O25" s="147"/>
      <c r="P25" s="121" t="str">
        <f t="shared" si="8"/>
        <v/>
      </c>
      <c r="Q25" s="122"/>
      <c r="R25" s="142"/>
      <c r="S25" s="56">
        <f t="shared" si="9"/>
        <v>0</v>
      </c>
      <c r="T25" s="124">
        <v>805</v>
      </c>
      <c r="U25" s="125">
        <f t="shared" si="10"/>
        <v>5985.8189999999995</v>
      </c>
      <c r="V25" s="9" t="str">
        <f t="shared" si="11"/>
        <v/>
      </c>
      <c r="W25" s="9" t="str">
        <f t="shared" si="12"/>
        <v/>
      </c>
      <c r="X25" s="9"/>
      <c r="Y25" s="9"/>
      <c r="Z25" s="9"/>
      <c r="AA25" s="9"/>
    </row>
    <row r="26" spans="1:27" ht="13.5" customHeight="1" outlineLevel="1" x14ac:dyDescent="0.25">
      <c r="A26" s="371"/>
      <c r="B26" s="109"/>
      <c r="C26" s="110">
        <v>4.4999999999999998E-2</v>
      </c>
      <c r="D26" s="55">
        <v>0.14499999999999999</v>
      </c>
      <c r="E26" s="56">
        <v>6</v>
      </c>
      <c r="F26" s="112">
        <f t="shared" si="0"/>
        <v>3.9149999999999997E-2</v>
      </c>
      <c r="G26" s="112">
        <f t="shared" si="1"/>
        <v>0.86999999999999988</v>
      </c>
      <c r="H26" s="113">
        <v>380.44</v>
      </c>
      <c r="I26" s="114">
        <f>ROUND(H26*1.1667,0)</f>
        <v>444</v>
      </c>
      <c r="J26" s="115">
        <f>ROUND((I26*0.992)*1.21,0)*(C26*D26*E26)</f>
        <v>20.866949999999999</v>
      </c>
      <c r="K26" s="116">
        <f t="shared" si="4"/>
        <v>23.985000000000003</v>
      </c>
      <c r="L26" s="117">
        <f t="shared" si="17"/>
        <v>23</v>
      </c>
      <c r="M26" s="118">
        <f t="shared" si="6"/>
        <v>0.90044999999999997</v>
      </c>
      <c r="N26" s="119">
        <f t="shared" si="7"/>
        <v>20.009999999999998</v>
      </c>
      <c r="O26" s="126"/>
      <c r="P26" s="121" t="str">
        <f t="shared" si="8"/>
        <v/>
      </c>
      <c r="Q26" s="122"/>
      <c r="R26" s="123"/>
      <c r="S26" s="56">
        <f t="shared" si="9"/>
        <v>0</v>
      </c>
      <c r="T26" s="124">
        <v>23</v>
      </c>
      <c r="U26" s="125">
        <f t="shared" si="10"/>
        <v>479.93984999999998</v>
      </c>
      <c r="V26" s="9" t="str">
        <f t="shared" si="11"/>
        <v/>
      </c>
      <c r="W26" s="9" t="str">
        <f t="shared" si="12"/>
        <v/>
      </c>
      <c r="X26" s="9"/>
      <c r="Y26" s="9"/>
      <c r="Z26" s="9"/>
      <c r="AA26" s="9"/>
    </row>
    <row r="27" spans="1:27" ht="13.5" customHeight="1" outlineLevel="1" x14ac:dyDescent="0.25">
      <c r="A27" s="371"/>
      <c r="B27" s="143" t="s">
        <v>54</v>
      </c>
      <c r="C27" s="110">
        <v>4.4999999999999998E-2</v>
      </c>
      <c r="D27" s="55">
        <v>0.14499999999999999</v>
      </c>
      <c r="E27" s="56">
        <v>6</v>
      </c>
      <c r="F27" s="112">
        <f t="shared" si="0"/>
        <v>3.9149999999999997E-2</v>
      </c>
      <c r="G27" s="112">
        <f t="shared" si="1"/>
        <v>0.86999999999999988</v>
      </c>
      <c r="H27" s="113">
        <v>380.44</v>
      </c>
      <c r="I27" s="114">
        <f t="shared" ref="I27:I28" si="18">ROUND(H27*1.025,0)</f>
        <v>390</v>
      </c>
      <c r="J27" s="115">
        <f t="shared" ref="J27:J28" si="19">ROUND((I27*0.83)*1.21,0)*(C27*D27*E27)</f>
        <v>15.346799999999998</v>
      </c>
      <c r="K27" s="116">
        <f t="shared" si="4"/>
        <v>17.64</v>
      </c>
      <c r="L27" s="117">
        <f t="shared" si="17"/>
        <v>138</v>
      </c>
      <c r="M27" s="118">
        <f t="shared" si="6"/>
        <v>5.4026999999999994</v>
      </c>
      <c r="N27" s="119">
        <f t="shared" si="7"/>
        <v>120.05999999999999</v>
      </c>
      <c r="O27" s="144"/>
      <c r="P27" s="121" t="str">
        <f t="shared" si="8"/>
        <v/>
      </c>
      <c r="Q27" s="122"/>
      <c r="R27" s="123"/>
      <c r="S27" s="56">
        <f t="shared" si="9"/>
        <v>0</v>
      </c>
      <c r="T27" s="124">
        <v>138</v>
      </c>
      <c r="U27" s="125">
        <f t="shared" si="10"/>
        <v>2117.8583999999996</v>
      </c>
      <c r="V27" s="9" t="str">
        <f t="shared" si="11"/>
        <v/>
      </c>
      <c r="W27" s="9" t="str">
        <f t="shared" si="12"/>
        <v/>
      </c>
      <c r="X27" s="9"/>
      <c r="Y27" s="9"/>
      <c r="Z27" s="9"/>
      <c r="AA27" s="9"/>
    </row>
    <row r="28" spans="1:27" ht="13.5" customHeight="1" outlineLevel="1" x14ac:dyDescent="0.25">
      <c r="A28" s="371"/>
      <c r="B28" s="143" t="s">
        <v>54</v>
      </c>
      <c r="C28" s="110">
        <v>4.4999999999999998E-2</v>
      </c>
      <c r="D28" s="55">
        <v>0.19500000000000001</v>
      </c>
      <c r="E28" s="56">
        <v>6</v>
      </c>
      <c r="F28" s="112">
        <f t="shared" si="0"/>
        <v>5.2650000000000002E-2</v>
      </c>
      <c r="G28" s="112">
        <f t="shared" si="1"/>
        <v>1.17</v>
      </c>
      <c r="H28" s="113">
        <v>377.82</v>
      </c>
      <c r="I28" s="114">
        <f t="shared" si="18"/>
        <v>387</v>
      </c>
      <c r="J28" s="115">
        <f t="shared" si="19"/>
        <v>20.48085</v>
      </c>
      <c r="K28" s="116">
        <f t="shared" si="4"/>
        <v>17.505000000000003</v>
      </c>
      <c r="L28" s="117">
        <f t="shared" si="17"/>
        <v>11</v>
      </c>
      <c r="M28" s="118">
        <f t="shared" si="6"/>
        <v>0.57915000000000005</v>
      </c>
      <c r="N28" s="119">
        <f t="shared" si="7"/>
        <v>12.87</v>
      </c>
      <c r="O28" s="144"/>
      <c r="P28" s="121" t="str">
        <f t="shared" si="8"/>
        <v/>
      </c>
      <c r="Q28" s="122"/>
      <c r="R28" s="123"/>
      <c r="S28" s="56">
        <f t="shared" si="9"/>
        <v>0</v>
      </c>
      <c r="T28" s="124">
        <v>11</v>
      </c>
      <c r="U28" s="125">
        <f t="shared" si="10"/>
        <v>225.28935000000001</v>
      </c>
      <c r="V28" s="9" t="str">
        <f t="shared" si="11"/>
        <v/>
      </c>
      <c r="W28" s="9" t="str">
        <f t="shared" si="12"/>
        <v/>
      </c>
      <c r="X28" s="9"/>
      <c r="Y28" s="9"/>
      <c r="Z28" s="9"/>
      <c r="AA28" s="9"/>
    </row>
    <row r="29" spans="1:27" ht="13.5" customHeight="1" x14ac:dyDescent="0.25">
      <c r="A29" s="371"/>
      <c r="B29" s="148" t="s">
        <v>56</v>
      </c>
      <c r="C29" s="149"/>
      <c r="D29" s="150"/>
      <c r="E29" s="149"/>
      <c r="F29" s="151"/>
      <c r="G29" s="151"/>
      <c r="H29" s="152">
        <f t="shared" ref="H29:I29" si="20">AVERAGE(H3:H28)</f>
        <v>423.70295674483498</v>
      </c>
      <c r="I29" s="153">
        <f t="shared" si="20"/>
        <v>458.69230769230768</v>
      </c>
      <c r="J29" s="154"/>
      <c r="K29" s="152">
        <f>AVERAGE(K3:K28)</f>
        <v>15.813499999999998</v>
      </c>
      <c r="L29" s="155"/>
      <c r="M29" s="156">
        <f>SUM(M3:M28)</f>
        <v>80.374560000000002</v>
      </c>
      <c r="N29" s="152"/>
      <c r="O29" s="157"/>
      <c r="P29" s="158">
        <f t="shared" ref="P29:Q29" si="21">SUM(P3:P28)</f>
        <v>0</v>
      </c>
      <c r="Q29" s="159">
        <f t="shared" si="21"/>
        <v>0</v>
      </c>
      <c r="R29" s="160"/>
      <c r="S29" s="161">
        <f>SUM(S3:S28)</f>
        <v>0</v>
      </c>
      <c r="T29" s="162"/>
      <c r="U29" s="163">
        <f>SUM(U3:U28)</f>
        <v>47799.711108000003</v>
      </c>
      <c r="V29" s="9" t="str">
        <f t="shared" si="11"/>
        <v/>
      </c>
      <c r="W29" s="9" t="str">
        <f t="shared" si="12"/>
        <v/>
      </c>
      <c r="X29" s="9"/>
      <c r="Y29" s="9"/>
      <c r="Z29" s="9"/>
      <c r="AA29" s="9"/>
    </row>
    <row r="30" spans="1:27" ht="13.5" customHeight="1" x14ac:dyDescent="0.25">
      <c r="A30" s="371"/>
      <c r="B30" s="164" t="s">
        <v>57</v>
      </c>
      <c r="C30" s="165"/>
      <c r="D30" s="165"/>
      <c r="E30" s="164"/>
      <c r="F30" s="166"/>
      <c r="G30" s="166"/>
      <c r="H30" s="167"/>
      <c r="I30" s="167"/>
      <c r="J30" s="168"/>
      <c r="K30" s="164"/>
      <c r="L30" s="164"/>
      <c r="M30" s="164"/>
      <c r="N30" s="169"/>
      <c r="O30" s="170"/>
      <c r="P30" s="171"/>
      <c r="Q30" s="172"/>
      <c r="R30" s="173"/>
      <c r="S30" s="164"/>
      <c r="T30" s="164"/>
      <c r="U30" s="174"/>
      <c r="V30" s="9" t="str">
        <f t="shared" si="11"/>
        <v/>
      </c>
      <c r="W30" s="9" t="str">
        <f t="shared" si="12"/>
        <v/>
      </c>
      <c r="X30" s="9"/>
      <c r="Y30" s="9"/>
      <c r="Z30" s="9"/>
      <c r="AA30" s="9"/>
    </row>
    <row r="31" spans="1:27" ht="13.5" customHeight="1" outlineLevel="1" x14ac:dyDescent="0.25">
      <c r="A31" s="371"/>
      <c r="B31" s="53"/>
      <c r="C31" s="175">
        <v>0.01</v>
      </c>
      <c r="D31" s="176">
        <v>0.15</v>
      </c>
      <c r="E31" s="121">
        <v>4.8</v>
      </c>
      <c r="F31" s="112">
        <f t="shared" ref="F31:F57" si="22">C31*D31*E31</f>
        <v>7.1999999999999998E-3</v>
      </c>
      <c r="G31" s="112">
        <f t="shared" ref="G31:G57" si="23">D31*E31</f>
        <v>0.72</v>
      </c>
      <c r="H31" s="177">
        <v>488.69</v>
      </c>
      <c r="I31" s="114">
        <f>ROUND(H31*1.104,0)</f>
        <v>540</v>
      </c>
      <c r="J31" s="115">
        <f t="shared" ref="J31:J57" si="24">ROUND((I31*0.992)*1.21,0)*(C31*D31*E31)</f>
        <v>4.6655999999999995</v>
      </c>
      <c r="K31" s="116">
        <f t="shared" ref="K31:K57" si="25">J31/(D31*E31)</f>
        <v>6.4799999999999995</v>
      </c>
      <c r="L31" s="117">
        <f t="shared" ref="L31:L57" si="26">T31+R31-O31</f>
        <v>151</v>
      </c>
      <c r="M31" s="178">
        <f t="shared" ref="M31:M57" si="27">L31*F31</f>
        <v>1.0871999999999999</v>
      </c>
      <c r="N31" s="119">
        <f t="shared" ref="N31:N57" si="28">L31*G31</f>
        <v>108.72</v>
      </c>
      <c r="O31" s="179">
        <v>15</v>
      </c>
      <c r="P31" s="121">
        <f t="shared" ref="P31:P35" si="29">IF(O31="","",(O31*F31))</f>
        <v>0.108</v>
      </c>
      <c r="Q31" s="122">
        <v>84.76</v>
      </c>
      <c r="R31" s="180"/>
      <c r="S31" s="121">
        <f t="shared" ref="S31:S57" si="30">R31*F31</f>
        <v>0</v>
      </c>
      <c r="T31" s="181">
        <v>166</v>
      </c>
      <c r="U31" s="125">
        <f t="shared" ref="U31:U57" si="31">J31*L31</f>
        <v>704.50559999999996</v>
      </c>
      <c r="V31" s="9">
        <f t="shared" si="11"/>
        <v>31.981480000000012</v>
      </c>
      <c r="W31" s="9">
        <f t="shared" si="12"/>
        <v>52.77852</v>
      </c>
      <c r="X31" s="9"/>
      <c r="Y31" s="9"/>
      <c r="Z31" s="9"/>
      <c r="AA31" s="9"/>
    </row>
    <row r="32" spans="1:27" ht="13.5" customHeight="1" outlineLevel="1" x14ac:dyDescent="0.25">
      <c r="A32" s="371"/>
      <c r="B32" s="53"/>
      <c r="C32" s="175">
        <v>0.01</v>
      </c>
      <c r="D32" s="176">
        <v>0.15</v>
      </c>
      <c r="E32" s="121">
        <v>5.0999999999999996</v>
      </c>
      <c r="F32" s="112">
        <f t="shared" si="22"/>
        <v>7.6499999999999997E-3</v>
      </c>
      <c r="G32" s="112">
        <f t="shared" si="23"/>
        <v>0.7649999999999999</v>
      </c>
      <c r="H32" s="177">
        <v>488.69</v>
      </c>
      <c r="I32" s="114">
        <f>ROUND(H32*1.089,0)</f>
        <v>532</v>
      </c>
      <c r="J32" s="115">
        <f t="shared" si="24"/>
        <v>4.88835</v>
      </c>
      <c r="K32" s="116">
        <f t="shared" si="25"/>
        <v>6.3900000000000006</v>
      </c>
      <c r="L32" s="117">
        <f t="shared" si="26"/>
        <v>22</v>
      </c>
      <c r="M32" s="178">
        <f t="shared" si="27"/>
        <v>0.16830000000000001</v>
      </c>
      <c r="N32" s="119">
        <f t="shared" si="28"/>
        <v>16.829999999999998</v>
      </c>
      <c r="O32" s="182">
        <v>2</v>
      </c>
      <c r="P32" s="121">
        <f t="shared" si="29"/>
        <v>1.5299999999999999E-2</v>
      </c>
      <c r="Q32" s="122">
        <v>10</v>
      </c>
      <c r="R32" s="180"/>
      <c r="S32" s="121">
        <f t="shared" si="30"/>
        <v>0</v>
      </c>
      <c r="T32" s="181">
        <v>24</v>
      </c>
      <c r="U32" s="125">
        <f t="shared" si="31"/>
        <v>107.5437</v>
      </c>
      <c r="V32" s="9">
        <f t="shared" si="11"/>
        <v>2.5230430000000004</v>
      </c>
      <c r="W32" s="9">
        <f t="shared" si="12"/>
        <v>7.4769569999999996</v>
      </c>
      <c r="X32" s="9"/>
      <c r="Y32" s="9"/>
      <c r="Z32" s="9"/>
      <c r="AA32" s="9"/>
    </row>
    <row r="33" spans="1:27" ht="13.5" customHeight="1" outlineLevel="1" x14ac:dyDescent="0.25">
      <c r="A33" s="371"/>
      <c r="B33" s="53"/>
      <c r="C33" s="54">
        <v>1.2E-2</v>
      </c>
      <c r="D33" s="55">
        <v>0.12</v>
      </c>
      <c r="E33" s="183">
        <v>4.5</v>
      </c>
      <c r="F33" s="112">
        <f t="shared" si="22"/>
        <v>6.4799999999999996E-3</v>
      </c>
      <c r="G33" s="112">
        <f t="shared" si="23"/>
        <v>0.54</v>
      </c>
      <c r="H33" s="177">
        <v>615</v>
      </c>
      <c r="I33" s="114">
        <f t="shared" ref="I33:I39" si="32">ROUND(H33*1.1667,0)</f>
        <v>718</v>
      </c>
      <c r="J33" s="115">
        <f t="shared" si="24"/>
        <v>5.5857599999999996</v>
      </c>
      <c r="K33" s="116">
        <f t="shared" si="25"/>
        <v>10.343999999999999</v>
      </c>
      <c r="L33" s="117">
        <f t="shared" si="26"/>
        <v>616</v>
      </c>
      <c r="M33" s="178">
        <f t="shared" si="27"/>
        <v>3.9916799999999997</v>
      </c>
      <c r="N33" s="119">
        <f t="shared" si="28"/>
        <v>332.64000000000004</v>
      </c>
      <c r="O33" s="179"/>
      <c r="P33" s="121" t="str">
        <f t="shared" si="29"/>
        <v/>
      </c>
      <c r="Q33" s="122"/>
      <c r="R33" s="180"/>
      <c r="S33" s="121">
        <f t="shared" si="30"/>
        <v>0</v>
      </c>
      <c r="T33" s="181">
        <v>616</v>
      </c>
      <c r="U33" s="125">
        <f t="shared" si="31"/>
        <v>3440.8281599999996</v>
      </c>
      <c r="V33" s="9" t="str">
        <f t="shared" si="11"/>
        <v/>
      </c>
      <c r="W33" s="9" t="str">
        <f t="shared" si="12"/>
        <v/>
      </c>
      <c r="X33" s="9"/>
      <c r="Y33" s="9"/>
      <c r="Z33" s="9"/>
      <c r="AA33" s="9"/>
    </row>
    <row r="34" spans="1:27" ht="13.5" customHeight="1" outlineLevel="1" x14ac:dyDescent="0.25">
      <c r="A34" s="371"/>
      <c r="B34" s="53"/>
      <c r="C34" s="54">
        <v>1.4E-2</v>
      </c>
      <c r="D34" s="55">
        <v>0.09</v>
      </c>
      <c r="E34" s="183">
        <v>2.4</v>
      </c>
      <c r="F34" s="112">
        <f t="shared" si="22"/>
        <v>3.0240000000000002E-3</v>
      </c>
      <c r="G34" s="112">
        <f t="shared" si="23"/>
        <v>0.216</v>
      </c>
      <c r="H34" s="177">
        <v>456.57</v>
      </c>
      <c r="I34" s="114">
        <f t="shared" si="32"/>
        <v>533</v>
      </c>
      <c r="J34" s="115">
        <f t="shared" si="24"/>
        <v>1.9353600000000002</v>
      </c>
      <c r="K34" s="116">
        <f t="shared" si="25"/>
        <v>8.9600000000000009</v>
      </c>
      <c r="L34" s="117">
        <f t="shared" si="26"/>
        <v>99</v>
      </c>
      <c r="M34" s="178">
        <f t="shared" si="27"/>
        <v>0.29937600000000003</v>
      </c>
      <c r="N34" s="119">
        <f t="shared" si="28"/>
        <v>21.384</v>
      </c>
      <c r="O34" s="179"/>
      <c r="P34" s="121" t="str">
        <f t="shared" si="29"/>
        <v/>
      </c>
      <c r="Q34" s="122"/>
      <c r="R34" s="180"/>
      <c r="S34" s="121">
        <f t="shared" si="30"/>
        <v>0</v>
      </c>
      <c r="T34" s="181">
        <v>99</v>
      </c>
      <c r="U34" s="125">
        <f t="shared" si="31"/>
        <v>191.60064000000003</v>
      </c>
      <c r="V34" s="9" t="str">
        <f t="shared" si="11"/>
        <v/>
      </c>
      <c r="W34" s="9" t="str">
        <f t="shared" si="12"/>
        <v/>
      </c>
      <c r="X34" s="9"/>
      <c r="Y34" s="9"/>
      <c r="Z34" s="9"/>
      <c r="AA34" s="9"/>
    </row>
    <row r="35" spans="1:27" ht="13.5" customHeight="1" outlineLevel="1" x14ac:dyDescent="0.25">
      <c r="A35" s="371"/>
      <c r="B35" s="53" t="s">
        <v>58</v>
      </c>
      <c r="C35" s="54">
        <v>1.4E-2</v>
      </c>
      <c r="D35" s="55">
        <v>0.121</v>
      </c>
      <c r="E35" s="183">
        <v>4.8</v>
      </c>
      <c r="F35" s="112">
        <f t="shared" si="22"/>
        <v>8.1311999999999999E-3</v>
      </c>
      <c r="G35" s="112">
        <f t="shared" si="23"/>
        <v>0.58079999999999998</v>
      </c>
      <c r="H35" s="177">
        <v>445</v>
      </c>
      <c r="I35" s="114">
        <f t="shared" si="32"/>
        <v>519</v>
      </c>
      <c r="J35" s="115">
        <f t="shared" si="24"/>
        <v>5.0657376000000003</v>
      </c>
      <c r="K35" s="116">
        <f t="shared" si="25"/>
        <v>8.7220000000000013</v>
      </c>
      <c r="L35" s="117">
        <f t="shared" si="26"/>
        <v>58</v>
      </c>
      <c r="M35" s="178">
        <f t="shared" si="27"/>
        <v>0.47160960000000002</v>
      </c>
      <c r="N35" s="119">
        <f t="shared" si="28"/>
        <v>33.686399999999999</v>
      </c>
      <c r="O35" s="179">
        <v>110</v>
      </c>
      <c r="P35" s="121">
        <f t="shared" si="29"/>
        <v>0.894432</v>
      </c>
      <c r="Q35" s="122">
        <v>557</v>
      </c>
      <c r="R35" s="180"/>
      <c r="S35" s="121">
        <f t="shared" si="30"/>
        <v>0</v>
      </c>
      <c r="T35" s="181">
        <v>168</v>
      </c>
      <c r="U35" s="125">
        <f t="shared" si="31"/>
        <v>293.81278080000004</v>
      </c>
      <c r="V35" s="9">
        <f t="shared" si="11"/>
        <v>158.97776000000005</v>
      </c>
      <c r="W35" s="9">
        <f t="shared" si="12"/>
        <v>398.02224000000001</v>
      </c>
      <c r="X35" s="9"/>
      <c r="Y35" s="9"/>
      <c r="Z35" s="9"/>
      <c r="AA35" s="9"/>
    </row>
    <row r="36" spans="1:27" ht="13.5" customHeight="1" outlineLevel="1" x14ac:dyDescent="0.25">
      <c r="A36" s="371"/>
      <c r="B36" s="53" t="s">
        <v>59</v>
      </c>
      <c r="C36" s="54">
        <v>1.4E-2</v>
      </c>
      <c r="D36" s="55">
        <v>0.121</v>
      </c>
      <c r="E36" s="183">
        <v>4.8</v>
      </c>
      <c r="F36" s="112">
        <f t="shared" si="22"/>
        <v>8.1311999999999999E-3</v>
      </c>
      <c r="G36" s="112">
        <f t="shared" si="23"/>
        <v>0.58079999999999998</v>
      </c>
      <c r="H36" s="177">
        <v>445</v>
      </c>
      <c r="I36" s="114">
        <f t="shared" si="32"/>
        <v>519</v>
      </c>
      <c r="J36" s="115">
        <f t="shared" si="24"/>
        <v>5.0657376000000003</v>
      </c>
      <c r="K36" s="116">
        <f t="shared" si="25"/>
        <v>8.7220000000000013</v>
      </c>
      <c r="L36" s="117">
        <f t="shared" si="26"/>
        <v>257</v>
      </c>
      <c r="M36" s="178">
        <f t="shared" si="27"/>
        <v>2.0897183999999998</v>
      </c>
      <c r="N36" s="119">
        <f t="shared" si="28"/>
        <v>149.26560000000001</v>
      </c>
      <c r="O36" s="179"/>
      <c r="P36" s="121"/>
      <c r="Q36" s="122"/>
      <c r="R36" s="180"/>
      <c r="S36" s="121">
        <f t="shared" si="30"/>
        <v>0</v>
      </c>
      <c r="T36" s="181">
        <v>257</v>
      </c>
      <c r="U36" s="125">
        <f t="shared" si="31"/>
        <v>1301.8945632</v>
      </c>
      <c r="V36" s="9" t="str">
        <f t="shared" si="11"/>
        <v/>
      </c>
      <c r="W36" s="9" t="str">
        <f t="shared" si="12"/>
        <v/>
      </c>
      <c r="X36" s="9"/>
      <c r="Y36" s="9"/>
      <c r="Z36" s="9"/>
      <c r="AA36" s="9"/>
    </row>
    <row r="37" spans="1:27" ht="13.5" customHeight="1" outlineLevel="1" x14ac:dyDescent="0.25">
      <c r="A37" s="371"/>
      <c r="B37" s="53"/>
      <c r="C37" s="184">
        <v>1.7999999999999999E-2</v>
      </c>
      <c r="D37" s="55">
        <v>0.12</v>
      </c>
      <c r="E37" s="56">
        <v>4.5</v>
      </c>
      <c r="F37" s="112">
        <f t="shared" si="22"/>
        <v>9.7199999999999977E-3</v>
      </c>
      <c r="G37" s="112">
        <f t="shared" si="23"/>
        <v>0.54</v>
      </c>
      <c r="H37" s="177">
        <v>450</v>
      </c>
      <c r="I37" s="114">
        <f t="shared" si="32"/>
        <v>525</v>
      </c>
      <c r="J37" s="115">
        <f t="shared" si="24"/>
        <v>6.1235999999999988</v>
      </c>
      <c r="K37" s="116">
        <f t="shared" si="25"/>
        <v>11.339999999999996</v>
      </c>
      <c r="L37" s="117">
        <f t="shared" si="26"/>
        <v>59</v>
      </c>
      <c r="M37" s="178">
        <f t="shared" si="27"/>
        <v>0.57347999999999988</v>
      </c>
      <c r="N37" s="119">
        <f t="shared" si="28"/>
        <v>31.860000000000003</v>
      </c>
      <c r="O37" s="179"/>
      <c r="P37" s="121" t="str">
        <f t="shared" ref="P37:P57" si="33">IF(O37="","",(O37*F37))</f>
        <v/>
      </c>
      <c r="Q37" s="122"/>
      <c r="R37" s="180"/>
      <c r="S37" s="121">
        <f t="shared" si="30"/>
        <v>0</v>
      </c>
      <c r="T37" s="181">
        <v>59</v>
      </c>
      <c r="U37" s="125">
        <f t="shared" si="31"/>
        <v>361.29239999999993</v>
      </c>
      <c r="V37" s="9" t="str">
        <f t="shared" si="11"/>
        <v/>
      </c>
      <c r="W37" s="9" t="str">
        <f t="shared" si="12"/>
        <v/>
      </c>
      <c r="X37" s="9"/>
      <c r="Y37" s="9"/>
      <c r="Z37" s="9"/>
      <c r="AA37" s="9"/>
    </row>
    <row r="38" spans="1:27" ht="13.5" customHeight="1" outlineLevel="1" x14ac:dyDescent="0.25">
      <c r="A38" s="371"/>
      <c r="B38" s="53"/>
      <c r="C38" s="54">
        <v>1.7999999999999999E-2</v>
      </c>
      <c r="D38" s="55">
        <v>0.121</v>
      </c>
      <c r="E38" s="56">
        <v>3.9</v>
      </c>
      <c r="F38" s="112">
        <f t="shared" si="22"/>
        <v>8.4941999999999986E-3</v>
      </c>
      <c r="G38" s="112">
        <f t="shared" si="23"/>
        <v>0.47189999999999999</v>
      </c>
      <c r="H38" s="177">
        <v>477.5</v>
      </c>
      <c r="I38" s="114">
        <f t="shared" si="32"/>
        <v>557</v>
      </c>
      <c r="J38" s="115">
        <f t="shared" si="24"/>
        <v>5.6826197999999994</v>
      </c>
      <c r="K38" s="116">
        <f t="shared" si="25"/>
        <v>12.042</v>
      </c>
      <c r="L38" s="117">
        <f t="shared" si="26"/>
        <v>148</v>
      </c>
      <c r="M38" s="178">
        <f t="shared" si="27"/>
        <v>1.2571415999999997</v>
      </c>
      <c r="N38" s="119">
        <f t="shared" si="28"/>
        <v>69.841200000000001</v>
      </c>
      <c r="O38" s="182"/>
      <c r="P38" s="121" t="str">
        <f t="shared" si="33"/>
        <v/>
      </c>
      <c r="Q38" s="122"/>
      <c r="R38" s="180"/>
      <c r="S38" s="121">
        <f t="shared" si="30"/>
        <v>0</v>
      </c>
      <c r="T38" s="181">
        <v>148</v>
      </c>
      <c r="U38" s="125">
        <f t="shared" si="31"/>
        <v>841.02773039999988</v>
      </c>
      <c r="V38" s="9" t="str">
        <f t="shared" si="11"/>
        <v/>
      </c>
      <c r="W38" s="9" t="str">
        <f t="shared" si="12"/>
        <v/>
      </c>
      <c r="X38" s="9"/>
      <c r="Y38" s="9"/>
      <c r="Z38" s="9"/>
      <c r="AA38" s="9"/>
    </row>
    <row r="39" spans="1:27" ht="13.5" customHeight="1" outlineLevel="1" x14ac:dyDescent="0.25">
      <c r="A39" s="371"/>
      <c r="B39" s="53"/>
      <c r="C39" s="175">
        <v>1.7999999999999999E-2</v>
      </c>
      <c r="D39" s="176">
        <v>0.14499999999999999</v>
      </c>
      <c r="E39" s="121">
        <v>3</v>
      </c>
      <c r="F39" s="112">
        <f t="shared" si="22"/>
        <v>7.8299999999999984E-3</v>
      </c>
      <c r="G39" s="112">
        <f t="shared" si="23"/>
        <v>0.43499999999999994</v>
      </c>
      <c r="H39" s="177">
        <v>340</v>
      </c>
      <c r="I39" s="114">
        <f t="shared" si="32"/>
        <v>397</v>
      </c>
      <c r="J39" s="115">
        <f t="shared" si="24"/>
        <v>3.7349099999999993</v>
      </c>
      <c r="K39" s="116">
        <f t="shared" si="25"/>
        <v>8.5860000000000003</v>
      </c>
      <c r="L39" s="117">
        <f t="shared" si="26"/>
        <v>0</v>
      </c>
      <c r="M39" s="178">
        <f t="shared" si="27"/>
        <v>0</v>
      </c>
      <c r="N39" s="146">
        <f t="shared" si="28"/>
        <v>0</v>
      </c>
      <c r="O39" s="179"/>
      <c r="P39" s="121" t="str">
        <f t="shared" si="33"/>
        <v/>
      </c>
      <c r="Q39" s="122"/>
      <c r="R39" s="180"/>
      <c r="S39" s="121">
        <f t="shared" si="30"/>
        <v>0</v>
      </c>
      <c r="T39" s="181">
        <v>0</v>
      </c>
      <c r="U39" s="125">
        <f t="shared" si="31"/>
        <v>0</v>
      </c>
      <c r="V39" s="9" t="str">
        <f t="shared" si="11"/>
        <v/>
      </c>
      <c r="W39" s="9" t="str">
        <f t="shared" si="12"/>
        <v/>
      </c>
      <c r="X39" s="185"/>
      <c r="Y39" s="9"/>
      <c r="Z39" s="9"/>
      <c r="AA39" s="9"/>
    </row>
    <row r="40" spans="1:27" ht="13.5" customHeight="1" outlineLevel="1" x14ac:dyDescent="0.25">
      <c r="A40" s="371"/>
      <c r="B40" s="53" t="s">
        <v>60</v>
      </c>
      <c r="C40" s="54">
        <v>1.7999999999999999E-2</v>
      </c>
      <c r="D40" s="55">
        <v>0.14499999999999999</v>
      </c>
      <c r="E40" s="56">
        <v>6</v>
      </c>
      <c r="F40" s="112">
        <f t="shared" si="22"/>
        <v>1.5659999999999997E-2</v>
      </c>
      <c r="G40" s="112">
        <f t="shared" si="23"/>
        <v>0.86999999999999988</v>
      </c>
      <c r="H40" s="177">
        <v>427.02</v>
      </c>
      <c r="I40" s="114">
        <f t="shared" ref="I40:I41" si="34">ROUND(H40*1.063,0)</f>
        <v>454</v>
      </c>
      <c r="J40" s="115">
        <f t="shared" si="24"/>
        <v>8.5346999999999991</v>
      </c>
      <c r="K40" s="116">
        <f t="shared" si="25"/>
        <v>9.81</v>
      </c>
      <c r="L40" s="117">
        <f t="shared" si="26"/>
        <v>618</v>
      </c>
      <c r="M40" s="178">
        <f t="shared" si="27"/>
        <v>9.6778799999999983</v>
      </c>
      <c r="N40" s="119">
        <f t="shared" si="28"/>
        <v>537.66</v>
      </c>
      <c r="O40" s="182"/>
      <c r="P40" s="121" t="str">
        <f t="shared" si="33"/>
        <v/>
      </c>
      <c r="Q40" s="122"/>
      <c r="R40" s="180"/>
      <c r="S40" s="121">
        <f t="shared" si="30"/>
        <v>0</v>
      </c>
      <c r="T40" s="181">
        <v>618</v>
      </c>
      <c r="U40" s="125">
        <f t="shared" si="31"/>
        <v>5274.4445999999998</v>
      </c>
      <c r="V40" s="9" t="str">
        <f t="shared" si="11"/>
        <v/>
      </c>
      <c r="W40" s="9" t="str">
        <f t="shared" si="12"/>
        <v/>
      </c>
      <c r="X40" s="9"/>
      <c r="Y40" s="9"/>
      <c r="Z40" s="9"/>
      <c r="AA40" s="9"/>
    </row>
    <row r="41" spans="1:27" ht="13.5" customHeight="1" outlineLevel="1" x14ac:dyDescent="0.25">
      <c r="A41" s="371"/>
      <c r="B41" s="53" t="s">
        <v>30</v>
      </c>
      <c r="C41" s="54">
        <v>1.7999999999999999E-2</v>
      </c>
      <c r="D41" s="55">
        <v>0.14499999999999999</v>
      </c>
      <c r="E41" s="56">
        <v>6</v>
      </c>
      <c r="F41" s="112">
        <f t="shared" si="22"/>
        <v>1.5659999999999997E-2</v>
      </c>
      <c r="G41" s="112">
        <f t="shared" si="23"/>
        <v>0.86999999999999988</v>
      </c>
      <c r="H41" s="177">
        <v>427.02</v>
      </c>
      <c r="I41" s="114">
        <f t="shared" si="34"/>
        <v>454</v>
      </c>
      <c r="J41" s="115">
        <f t="shared" si="24"/>
        <v>8.5346999999999991</v>
      </c>
      <c r="K41" s="116">
        <f t="shared" si="25"/>
        <v>9.81</v>
      </c>
      <c r="L41" s="117">
        <f t="shared" si="26"/>
        <v>36</v>
      </c>
      <c r="M41" s="178">
        <f t="shared" si="27"/>
        <v>0.56375999999999993</v>
      </c>
      <c r="N41" s="119">
        <f t="shared" si="28"/>
        <v>31.319999999999997</v>
      </c>
      <c r="O41" s="182">
        <v>24</v>
      </c>
      <c r="P41" s="121">
        <f t="shared" si="33"/>
        <v>0.37583999999999995</v>
      </c>
      <c r="Q41" s="122">
        <v>170.63</v>
      </c>
      <c r="R41" s="180"/>
      <c r="S41" s="121">
        <f t="shared" si="30"/>
        <v>0</v>
      </c>
      <c r="T41" s="181">
        <v>60</v>
      </c>
      <c r="U41" s="125">
        <f t="shared" si="31"/>
        <v>307.24919999999997</v>
      </c>
      <c r="V41" s="9">
        <f t="shared" si="11"/>
        <v>10.138803200000041</v>
      </c>
      <c r="W41" s="9">
        <f t="shared" si="12"/>
        <v>160.49119679999998</v>
      </c>
      <c r="X41" s="9"/>
      <c r="Y41" s="9"/>
      <c r="Z41" s="9"/>
      <c r="AA41" s="9"/>
    </row>
    <row r="42" spans="1:27" ht="13.5" customHeight="1" outlineLevel="1" x14ac:dyDescent="0.25">
      <c r="A42" s="371"/>
      <c r="B42" s="53"/>
      <c r="C42" s="175">
        <v>1.9E-2</v>
      </c>
      <c r="D42" s="176">
        <v>0.14599999999999999</v>
      </c>
      <c r="E42" s="121">
        <v>4.8</v>
      </c>
      <c r="F42" s="112">
        <f t="shared" si="22"/>
        <v>1.3315199999999998E-2</v>
      </c>
      <c r="G42" s="112">
        <f t="shared" si="23"/>
        <v>0.70079999999999998</v>
      </c>
      <c r="H42" s="177">
        <v>415</v>
      </c>
      <c r="I42" s="114">
        <f>ROUND(H42*1.1667,0)</f>
        <v>484</v>
      </c>
      <c r="J42" s="115">
        <f t="shared" si="24"/>
        <v>7.7361311999999982</v>
      </c>
      <c r="K42" s="116">
        <f t="shared" si="25"/>
        <v>11.038999999999998</v>
      </c>
      <c r="L42" s="117">
        <f t="shared" si="26"/>
        <v>210</v>
      </c>
      <c r="M42" s="178">
        <f t="shared" si="27"/>
        <v>2.7961919999999996</v>
      </c>
      <c r="N42" s="119">
        <f t="shared" si="28"/>
        <v>147.16800000000001</v>
      </c>
      <c r="O42" s="179"/>
      <c r="P42" s="121" t="str">
        <f t="shared" si="33"/>
        <v/>
      </c>
      <c r="Q42" s="122"/>
      <c r="R42" s="180"/>
      <c r="S42" s="121">
        <f t="shared" si="30"/>
        <v>0</v>
      </c>
      <c r="T42" s="181">
        <v>210</v>
      </c>
      <c r="U42" s="125">
        <f t="shared" si="31"/>
        <v>1624.5875519999997</v>
      </c>
      <c r="V42" s="9" t="str">
        <f t="shared" si="11"/>
        <v/>
      </c>
      <c r="W42" s="9" t="str">
        <f t="shared" si="12"/>
        <v/>
      </c>
      <c r="X42" s="9"/>
      <c r="Y42" s="9"/>
      <c r="Z42" s="9"/>
      <c r="AA42" s="9"/>
    </row>
    <row r="43" spans="1:27" ht="13.5" customHeight="1" outlineLevel="1" x14ac:dyDescent="0.25">
      <c r="A43" s="371"/>
      <c r="B43" s="53"/>
      <c r="C43" s="54">
        <v>0.02</v>
      </c>
      <c r="D43" s="55">
        <v>9.5000000000000001E-2</v>
      </c>
      <c r="E43" s="56">
        <v>4.8</v>
      </c>
      <c r="F43" s="112">
        <f t="shared" si="22"/>
        <v>9.1199999999999996E-3</v>
      </c>
      <c r="G43" s="112">
        <f t="shared" si="23"/>
        <v>0.45599999999999996</v>
      </c>
      <c r="H43" s="177">
        <v>425.18</v>
      </c>
      <c r="I43" s="114">
        <f>ROUND(H43*1.05,0)</f>
        <v>446</v>
      </c>
      <c r="J43" s="115">
        <f t="shared" si="24"/>
        <v>4.8792</v>
      </c>
      <c r="K43" s="116">
        <f t="shared" si="25"/>
        <v>10.700000000000001</v>
      </c>
      <c r="L43" s="117">
        <f t="shared" si="26"/>
        <v>120</v>
      </c>
      <c r="M43" s="178">
        <f t="shared" si="27"/>
        <v>1.0944</v>
      </c>
      <c r="N43" s="119">
        <f t="shared" si="28"/>
        <v>54.72</v>
      </c>
      <c r="O43" s="182"/>
      <c r="P43" s="121" t="str">
        <f t="shared" si="33"/>
        <v/>
      </c>
      <c r="Q43" s="122"/>
      <c r="R43" s="180"/>
      <c r="S43" s="121">
        <f t="shared" si="30"/>
        <v>0</v>
      </c>
      <c r="T43" s="181">
        <v>120</v>
      </c>
      <c r="U43" s="125">
        <f t="shared" si="31"/>
        <v>585.50400000000002</v>
      </c>
      <c r="V43" s="9" t="str">
        <f t="shared" si="11"/>
        <v/>
      </c>
      <c r="W43" s="9" t="str">
        <f t="shared" si="12"/>
        <v/>
      </c>
      <c r="X43" s="9"/>
      <c r="Y43" s="9"/>
      <c r="Z43" s="9"/>
      <c r="AA43" s="9"/>
    </row>
    <row r="44" spans="1:27" ht="13.5" customHeight="1" outlineLevel="1" x14ac:dyDescent="0.25">
      <c r="A44" s="371"/>
      <c r="B44" s="53"/>
      <c r="C44" s="54">
        <v>0.02</v>
      </c>
      <c r="D44" s="55">
        <v>9.5000000000000001E-2</v>
      </c>
      <c r="E44" s="56">
        <v>6</v>
      </c>
      <c r="F44" s="112">
        <f t="shared" si="22"/>
        <v>1.14E-2</v>
      </c>
      <c r="G44" s="112">
        <f t="shared" si="23"/>
        <v>0.57000000000000006</v>
      </c>
      <c r="H44" s="177">
        <v>425.18</v>
      </c>
      <c r="I44" s="114">
        <f>ROUND(H44*1.07,0)</f>
        <v>455</v>
      </c>
      <c r="J44" s="115">
        <f t="shared" si="24"/>
        <v>6.2244000000000002</v>
      </c>
      <c r="K44" s="116">
        <f t="shared" si="25"/>
        <v>10.92</v>
      </c>
      <c r="L44" s="117">
        <f t="shared" si="26"/>
        <v>26</v>
      </c>
      <c r="M44" s="178">
        <f t="shared" si="27"/>
        <v>0.2964</v>
      </c>
      <c r="N44" s="146">
        <f t="shared" si="28"/>
        <v>14.820000000000002</v>
      </c>
      <c r="O44" s="179"/>
      <c r="P44" s="121" t="str">
        <f t="shared" si="33"/>
        <v/>
      </c>
      <c r="Q44" s="122"/>
      <c r="R44" s="180"/>
      <c r="S44" s="121">
        <f t="shared" si="30"/>
        <v>0</v>
      </c>
      <c r="T44" s="181">
        <v>26</v>
      </c>
      <c r="U44" s="125">
        <f t="shared" si="31"/>
        <v>161.83440000000002</v>
      </c>
      <c r="V44" s="9" t="str">
        <f t="shared" si="11"/>
        <v/>
      </c>
      <c r="W44" s="9" t="str">
        <f t="shared" si="12"/>
        <v/>
      </c>
      <c r="X44" s="9"/>
      <c r="Y44" s="9"/>
      <c r="Z44" s="9"/>
      <c r="AA44" s="9"/>
    </row>
    <row r="45" spans="1:27" ht="13.5" customHeight="1" outlineLevel="1" x14ac:dyDescent="0.25">
      <c r="A45" s="371"/>
      <c r="B45" s="53"/>
      <c r="C45" s="54">
        <v>0.02</v>
      </c>
      <c r="D45" s="55">
        <v>0.1</v>
      </c>
      <c r="E45" s="56">
        <v>4</v>
      </c>
      <c r="F45" s="112">
        <f t="shared" si="22"/>
        <v>8.0000000000000002E-3</v>
      </c>
      <c r="G45" s="112">
        <f t="shared" si="23"/>
        <v>0.4</v>
      </c>
      <c r="H45" s="177">
        <v>424.32</v>
      </c>
      <c r="I45" s="114">
        <f>ROUND(H45*1.1667,0)</f>
        <v>495</v>
      </c>
      <c r="J45" s="115">
        <f t="shared" si="24"/>
        <v>4.7519999999999998</v>
      </c>
      <c r="K45" s="116">
        <f t="shared" si="25"/>
        <v>11.879999999999999</v>
      </c>
      <c r="L45" s="117">
        <f t="shared" si="26"/>
        <v>162</v>
      </c>
      <c r="M45" s="178">
        <f t="shared" si="27"/>
        <v>1.296</v>
      </c>
      <c r="N45" s="119">
        <f t="shared" si="28"/>
        <v>64.8</v>
      </c>
      <c r="O45" s="182"/>
      <c r="P45" s="121" t="str">
        <f t="shared" si="33"/>
        <v/>
      </c>
      <c r="Q45" s="122"/>
      <c r="R45" s="180"/>
      <c r="S45" s="121">
        <f t="shared" si="30"/>
        <v>0</v>
      </c>
      <c r="T45" s="181">
        <v>162</v>
      </c>
      <c r="U45" s="125">
        <f t="shared" si="31"/>
        <v>769.82399999999996</v>
      </c>
      <c r="V45" s="9" t="str">
        <f t="shared" si="11"/>
        <v/>
      </c>
      <c r="W45" s="9" t="str">
        <f t="shared" si="12"/>
        <v/>
      </c>
      <c r="X45" s="9"/>
      <c r="Y45" s="9"/>
      <c r="Z45" s="9"/>
      <c r="AA45" s="9"/>
    </row>
    <row r="46" spans="1:27" ht="13.5" customHeight="1" outlineLevel="1" x14ac:dyDescent="0.25">
      <c r="A46" s="371"/>
      <c r="B46" s="53"/>
      <c r="C46" s="54">
        <v>0.02</v>
      </c>
      <c r="D46" s="55">
        <v>0.115</v>
      </c>
      <c r="E46" s="56">
        <v>3</v>
      </c>
      <c r="F46" s="112">
        <f t="shared" si="22"/>
        <v>6.8999999999999999E-3</v>
      </c>
      <c r="G46" s="112">
        <f t="shared" si="23"/>
        <v>0.34500000000000003</v>
      </c>
      <c r="H46" s="177">
        <v>422.19</v>
      </c>
      <c r="I46" s="114">
        <f>ROUND(H46*1.1,0)</f>
        <v>464</v>
      </c>
      <c r="J46" s="115">
        <f t="shared" si="24"/>
        <v>3.8432999999999997</v>
      </c>
      <c r="K46" s="116">
        <f t="shared" si="25"/>
        <v>11.139999999999999</v>
      </c>
      <c r="L46" s="117">
        <f t="shared" si="26"/>
        <v>249</v>
      </c>
      <c r="M46" s="178">
        <f t="shared" si="27"/>
        <v>1.7181</v>
      </c>
      <c r="N46" s="119">
        <f t="shared" si="28"/>
        <v>85.905000000000001</v>
      </c>
      <c r="O46" s="182"/>
      <c r="P46" s="121" t="str">
        <f t="shared" si="33"/>
        <v/>
      </c>
      <c r="Q46" s="122"/>
      <c r="R46" s="180"/>
      <c r="S46" s="121">
        <f t="shared" si="30"/>
        <v>0</v>
      </c>
      <c r="T46" s="181">
        <v>249</v>
      </c>
      <c r="U46" s="125">
        <f t="shared" si="31"/>
        <v>956.98169999999993</v>
      </c>
      <c r="V46" s="9" t="str">
        <f t="shared" si="11"/>
        <v/>
      </c>
      <c r="W46" s="9" t="str">
        <f t="shared" si="12"/>
        <v/>
      </c>
      <c r="X46" s="9"/>
      <c r="Y46" s="9"/>
      <c r="Z46" s="9"/>
      <c r="AA46" s="9"/>
    </row>
    <row r="47" spans="1:27" ht="13.5" customHeight="1" outlineLevel="1" x14ac:dyDescent="0.25">
      <c r="A47" s="371"/>
      <c r="B47" s="53"/>
      <c r="C47" s="175">
        <v>0.02</v>
      </c>
      <c r="D47" s="176">
        <v>0.14499999999999999</v>
      </c>
      <c r="E47" s="121">
        <v>4.8</v>
      </c>
      <c r="F47" s="112">
        <f t="shared" si="22"/>
        <v>1.3919999999999998E-2</v>
      </c>
      <c r="G47" s="112">
        <f t="shared" si="23"/>
        <v>0.69599999999999995</v>
      </c>
      <c r="H47" s="177">
        <v>419.26</v>
      </c>
      <c r="I47" s="114">
        <f>ROUND(H47*1.08,0)</f>
        <v>453</v>
      </c>
      <c r="J47" s="115">
        <f t="shared" si="24"/>
        <v>7.5724799999999988</v>
      </c>
      <c r="K47" s="116">
        <f t="shared" si="25"/>
        <v>10.879999999999999</v>
      </c>
      <c r="L47" s="117">
        <f t="shared" si="26"/>
        <v>15</v>
      </c>
      <c r="M47" s="178">
        <f t="shared" si="27"/>
        <v>0.20879999999999999</v>
      </c>
      <c r="N47" s="146">
        <f t="shared" si="28"/>
        <v>10.44</v>
      </c>
      <c r="O47" s="179"/>
      <c r="P47" s="121" t="str">
        <f t="shared" si="33"/>
        <v/>
      </c>
      <c r="Q47" s="122"/>
      <c r="R47" s="180"/>
      <c r="S47" s="121">
        <f t="shared" si="30"/>
        <v>0</v>
      </c>
      <c r="T47" s="181">
        <v>15</v>
      </c>
      <c r="U47" s="125">
        <f t="shared" si="31"/>
        <v>113.58719999999998</v>
      </c>
      <c r="V47" s="9" t="str">
        <f t="shared" si="11"/>
        <v/>
      </c>
      <c r="W47" s="9" t="str">
        <f t="shared" si="12"/>
        <v/>
      </c>
      <c r="X47" s="9"/>
      <c r="Y47" s="9"/>
      <c r="Z47" s="9"/>
      <c r="AA47" s="9"/>
    </row>
    <row r="48" spans="1:27" ht="13.5" customHeight="1" outlineLevel="1" x14ac:dyDescent="0.25">
      <c r="A48" s="371"/>
      <c r="B48" s="53"/>
      <c r="C48" s="54">
        <v>0.02</v>
      </c>
      <c r="D48" s="55">
        <v>0.17499999999999999</v>
      </c>
      <c r="E48" s="56">
        <v>3</v>
      </c>
      <c r="F48" s="112">
        <f t="shared" si="22"/>
        <v>1.0499999999999999E-2</v>
      </c>
      <c r="G48" s="112">
        <f t="shared" si="23"/>
        <v>0.52499999999999991</v>
      </c>
      <c r="H48" s="177">
        <v>417.33</v>
      </c>
      <c r="I48" s="114">
        <f>ROUND(H48*1.07,0)</f>
        <v>447</v>
      </c>
      <c r="J48" s="115">
        <f t="shared" si="24"/>
        <v>5.6384999999999996</v>
      </c>
      <c r="K48" s="116">
        <f t="shared" si="25"/>
        <v>10.74</v>
      </c>
      <c r="L48" s="117">
        <f t="shared" si="26"/>
        <v>198</v>
      </c>
      <c r="M48" s="178">
        <f t="shared" si="27"/>
        <v>2.0789999999999997</v>
      </c>
      <c r="N48" s="119">
        <f t="shared" si="28"/>
        <v>103.94999999999999</v>
      </c>
      <c r="O48" s="182"/>
      <c r="P48" s="121" t="str">
        <f t="shared" si="33"/>
        <v/>
      </c>
      <c r="Q48" s="122"/>
      <c r="R48" s="180"/>
      <c r="S48" s="121">
        <f t="shared" si="30"/>
        <v>0</v>
      </c>
      <c r="T48" s="181">
        <v>198</v>
      </c>
      <c r="U48" s="125">
        <f t="shared" si="31"/>
        <v>1116.423</v>
      </c>
      <c r="V48" s="9" t="str">
        <f t="shared" si="11"/>
        <v/>
      </c>
      <c r="W48" s="9" t="str">
        <f t="shared" si="12"/>
        <v/>
      </c>
      <c r="X48" s="9"/>
      <c r="Y48" s="9"/>
      <c r="Z48" s="9"/>
      <c r="AA48" s="9"/>
    </row>
    <row r="49" spans="1:27" ht="13.5" customHeight="1" outlineLevel="1" x14ac:dyDescent="0.25">
      <c r="A49" s="371"/>
      <c r="B49" s="53" t="s">
        <v>61</v>
      </c>
      <c r="C49" s="54">
        <v>2.1000000000000001E-2</v>
      </c>
      <c r="D49" s="55">
        <v>0.12</v>
      </c>
      <c r="E49" s="56">
        <v>4.2</v>
      </c>
      <c r="F49" s="112">
        <f t="shared" si="22"/>
        <v>1.0584000000000001E-2</v>
      </c>
      <c r="G49" s="112">
        <f t="shared" si="23"/>
        <v>0.504</v>
      </c>
      <c r="H49" s="177">
        <v>385</v>
      </c>
      <c r="I49" s="114">
        <f t="shared" ref="I49:I51" si="35">ROUND(H49*1.1667,0)</f>
        <v>449</v>
      </c>
      <c r="J49" s="115">
        <f t="shared" si="24"/>
        <v>5.7047760000000007</v>
      </c>
      <c r="K49" s="116">
        <f t="shared" si="25"/>
        <v>11.319000000000001</v>
      </c>
      <c r="L49" s="117">
        <f t="shared" si="26"/>
        <v>296</v>
      </c>
      <c r="M49" s="178">
        <f t="shared" si="27"/>
        <v>3.1328640000000005</v>
      </c>
      <c r="N49" s="119">
        <f t="shared" si="28"/>
        <v>149.184</v>
      </c>
      <c r="O49" s="179"/>
      <c r="P49" s="121" t="str">
        <f t="shared" si="33"/>
        <v/>
      </c>
      <c r="Q49" s="122"/>
      <c r="R49" s="180"/>
      <c r="S49" s="121">
        <f t="shared" si="30"/>
        <v>0</v>
      </c>
      <c r="T49" s="181">
        <v>296</v>
      </c>
      <c r="U49" s="125">
        <f t="shared" si="31"/>
        <v>1688.6136960000001</v>
      </c>
      <c r="V49" s="9" t="str">
        <f t="shared" si="11"/>
        <v/>
      </c>
      <c r="W49" s="9" t="str">
        <f t="shared" si="12"/>
        <v/>
      </c>
      <c r="X49" s="9"/>
      <c r="Y49" s="9"/>
      <c r="Z49" s="9"/>
      <c r="AA49" s="9"/>
    </row>
    <row r="50" spans="1:27" ht="13.5" customHeight="1" outlineLevel="1" x14ac:dyDescent="0.25">
      <c r="A50" s="371"/>
      <c r="B50" s="53" t="s">
        <v>62</v>
      </c>
      <c r="C50" s="184">
        <v>2.1000000000000001E-2</v>
      </c>
      <c r="D50" s="55">
        <v>0.12</v>
      </c>
      <c r="E50" s="56">
        <v>4.2</v>
      </c>
      <c r="F50" s="112">
        <f t="shared" si="22"/>
        <v>1.0584000000000001E-2</v>
      </c>
      <c r="G50" s="112">
        <f t="shared" si="23"/>
        <v>0.504</v>
      </c>
      <c r="H50" s="177">
        <v>385</v>
      </c>
      <c r="I50" s="114">
        <f t="shared" si="35"/>
        <v>449</v>
      </c>
      <c r="J50" s="115">
        <f t="shared" si="24"/>
        <v>5.7047760000000007</v>
      </c>
      <c r="K50" s="116">
        <f t="shared" si="25"/>
        <v>11.319000000000001</v>
      </c>
      <c r="L50" s="117">
        <f t="shared" si="26"/>
        <v>376</v>
      </c>
      <c r="M50" s="178">
        <f t="shared" si="27"/>
        <v>3.9795840000000005</v>
      </c>
      <c r="N50" s="119">
        <f t="shared" si="28"/>
        <v>189.50399999999999</v>
      </c>
      <c r="O50" s="179"/>
      <c r="P50" s="121" t="str">
        <f t="shared" si="33"/>
        <v/>
      </c>
      <c r="Q50" s="122"/>
      <c r="R50" s="180"/>
      <c r="S50" s="121">
        <f t="shared" si="30"/>
        <v>0</v>
      </c>
      <c r="T50" s="181">
        <v>376</v>
      </c>
      <c r="U50" s="125">
        <f t="shared" si="31"/>
        <v>2144.9957760000002</v>
      </c>
      <c r="V50" s="9" t="str">
        <f t="shared" si="11"/>
        <v/>
      </c>
      <c r="W50" s="9" t="str">
        <f t="shared" si="12"/>
        <v/>
      </c>
      <c r="X50" s="9"/>
      <c r="Y50" s="9"/>
      <c r="Z50" s="9"/>
      <c r="AA50" s="9"/>
    </row>
    <row r="51" spans="1:27" ht="13.5" customHeight="1" outlineLevel="1" x14ac:dyDescent="0.25">
      <c r="A51" s="371"/>
      <c r="B51" s="53"/>
      <c r="C51" s="54">
        <v>2.1000000000000001E-2</v>
      </c>
      <c r="D51" s="55">
        <v>0.12</v>
      </c>
      <c r="E51" s="56">
        <v>4.8</v>
      </c>
      <c r="F51" s="112">
        <f t="shared" si="22"/>
        <v>1.2096000000000001E-2</v>
      </c>
      <c r="G51" s="112">
        <f t="shared" si="23"/>
        <v>0.57599999999999996</v>
      </c>
      <c r="H51" s="177">
        <v>385</v>
      </c>
      <c r="I51" s="114">
        <f t="shared" si="35"/>
        <v>449</v>
      </c>
      <c r="J51" s="115">
        <f t="shared" si="24"/>
        <v>6.5197440000000002</v>
      </c>
      <c r="K51" s="116">
        <f t="shared" si="25"/>
        <v>11.319000000000001</v>
      </c>
      <c r="L51" s="117">
        <f t="shared" si="26"/>
        <v>17</v>
      </c>
      <c r="M51" s="178">
        <f t="shared" si="27"/>
        <v>0.20563200000000001</v>
      </c>
      <c r="N51" s="146">
        <f t="shared" si="28"/>
        <v>9.7919999999999998</v>
      </c>
      <c r="O51" s="179"/>
      <c r="P51" s="121" t="str">
        <f t="shared" si="33"/>
        <v/>
      </c>
      <c r="Q51" s="122"/>
      <c r="R51" s="180"/>
      <c r="S51" s="121">
        <f t="shared" si="30"/>
        <v>0</v>
      </c>
      <c r="T51" s="181">
        <v>17</v>
      </c>
      <c r="U51" s="125">
        <f t="shared" si="31"/>
        <v>110.83564800000001</v>
      </c>
      <c r="V51" s="9" t="str">
        <f t="shared" si="11"/>
        <v/>
      </c>
      <c r="W51" s="9" t="str">
        <f t="shared" si="12"/>
        <v/>
      </c>
      <c r="X51" s="9"/>
      <c r="Y51" s="9"/>
      <c r="Z51" s="9"/>
      <c r="AA51" s="9"/>
    </row>
    <row r="52" spans="1:27" ht="13.5" customHeight="1" outlineLevel="1" x14ac:dyDescent="0.25">
      <c r="A52" s="371"/>
      <c r="B52" s="53"/>
      <c r="C52" s="54">
        <v>2.1000000000000001E-2</v>
      </c>
      <c r="D52" s="55">
        <v>0.12</v>
      </c>
      <c r="E52" s="56">
        <v>5.4</v>
      </c>
      <c r="F52" s="112">
        <f t="shared" si="22"/>
        <v>1.3608000000000002E-2</v>
      </c>
      <c r="G52" s="112">
        <f t="shared" si="23"/>
        <v>0.64800000000000002</v>
      </c>
      <c r="H52" s="177">
        <v>418.25</v>
      </c>
      <c r="I52" s="114">
        <f>ROUND(H52*1.1,0)</f>
        <v>460</v>
      </c>
      <c r="J52" s="115">
        <f t="shared" si="24"/>
        <v>7.511616000000001</v>
      </c>
      <c r="K52" s="116">
        <f t="shared" si="25"/>
        <v>11.592000000000001</v>
      </c>
      <c r="L52" s="117">
        <f t="shared" si="26"/>
        <v>68</v>
      </c>
      <c r="M52" s="178">
        <f t="shared" si="27"/>
        <v>0.92534400000000017</v>
      </c>
      <c r="N52" s="119">
        <f t="shared" si="28"/>
        <v>44.064</v>
      </c>
      <c r="O52" s="182"/>
      <c r="P52" s="121" t="str">
        <f t="shared" si="33"/>
        <v/>
      </c>
      <c r="Q52" s="122"/>
      <c r="R52" s="180"/>
      <c r="S52" s="121">
        <f t="shared" si="30"/>
        <v>0</v>
      </c>
      <c r="T52" s="181">
        <v>68</v>
      </c>
      <c r="U52" s="125">
        <f t="shared" si="31"/>
        <v>510.78988800000008</v>
      </c>
      <c r="V52" s="9" t="str">
        <f t="shared" si="11"/>
        <v/>
      </c>
      <c r="W52" s="9" t="str">
        <f t="shared" si="12"/>
        <v/>
      </c>
      <c r="X52" s="9"/>
      <c r="Y52" s="9"/>
      <c r="Z52" s="9"/>
      <c r="AA52" s="9"/>
    </row>
    <row r="53" spans="1:27" ht="13.5" customHeight="1" outlineLevel="1" x14ac:dyDescent="0.25">
      <c r="A53" s="371"/>
      <c r="B53" s="186"/>
      <c r="C53" s="54">
        <v>2.1000000000000001E-2</v>
      </c>
      <c r="D53" s="55">
        <v>0.14499999999999999</v>
      </c>
      <c r="E53" s="56">
        <v>5.0999999999999996</v>
      </c>
      <c r="F53" s="112">
        <f t="shared" si="22"/>
        <v>1.5529499999999998E-2</v>
      </c>
      <c r="G53" s="112">
        <f t="shared" si="23"/>
        <v>0.73949999999999994</v>
      </c>
      <c r="H53" s="177">
        <v>380</v>
      </c>
      <c r="I53" s="114">
        <f>ROUND(H53*1.1667,0)</f>
        <v>443</v>
      </c>
      <c r="J53" s="115">
        <f t="shared" si="24"/>
        <v>8.2616939999999985</v>
      </c>
      <c r="K53" s="116">
        <f t="shared" si="25"/>
        <v>11.171999999999999</v>
      </c>
      <c r="L53" s="117">
        <f t="shared" si="26"/>
        <v>52</v>
      </c>
      <c r="M53" s="178">
        <f t="shared" si="27"/>
        <v>0.80753399999999986</v>
      </c>
      <c r="N53" s="119">
        <f t="shared" si="28"/>
        <v>38.453999999999994</v>
      </c>
      <c r="O53" s="182">
        <v>36</v>
      </c>
      <c r="P53" s="121">
        <f t="shared" si="33"/>
        <v>0.55906199999999995</v>
      </c>
      <c r="Q53" s="122">
        <v>248</v>
      </c>
      <c r="R53" s="180"/>
      <c r="S53" s="121">
        <f t="shared" si="30"/>
        <v>0</v>
      </c>
      <c r="T53" s="181">
        <v>88</v>
      </c>
      <c r="U53" s="125">
        <f t="shared" si="31"/>
        <v>429.60808799999995</v>
      </c>
      <c r="V53" s="9">
        <f t="shared" si="11"/>
        <v>35.556440000000038</v>
      </c>
      <c r="W53" s="9">
        <f t="shared" si="12"/>
        <v>212.44355999999999</v>
      </c>
      <c r="X53" s="9"/>
      <c r="Y53" s="9"/>
      <c r="Z53" s="9"/>
      <c r="AA53" s="9"/>
    </row>
    <row r="54" spans="1:27" ht="13.5" customHeight="1" outlineLevel="1" x14ac:dyDescent="0.25">
      <c r="A54" s="371"/>
      <c r="B54" s="53"/>
      <c r="C54" s="54">
        <v>2.1000000000000001E-2</v>
      </c>
      <c r="D54" s="55">
        <v>0.14599999999999999</v>
      </c>
      <c r="E54" s="56">
        <v>4.5</v>
      </c>
      <c r="F54" s="112">
        <f t="shared" si="22"/>
        <v>1.3797E-2</v>
      </c>
      <c r="G54" s="112">
        <f t="shared" si="23"/>
        <v>0.65699999999999992</v>
      </c>
      <c r="H54" s="187">
        <v>415.85</v>
      </c>
      <c r="I54" s="114">
        <f>ROUND(H54*1.1,0)</f>
        <v>457</v>
      </c>
      <c r="J54" s="115">
        <f t="shared" si="24"/>
        <v>7.5745529999999999</v>
      </c>
      <c r="K54" s="116">
        <f t="shared" si="25"/>
        <v>11.529000000000002</v>
      </c>
      <c r="L54" s="117">
        <f t="shared" si="26"/>
        <v>31</v>
      </c>
      <c r="M54" s="178">
        <f t="shared" si="27"/>
        <v>0.427707</v>
      </c>
      <c r="N54" s="119">
        <f t="shared" si="28"/>
        <v>20.366999999999997</v>
      </c>
      <c r="O54" s="182"/>
      <c r="P54" s="121" t="str">
        <f t="shared" si="33"/>
        <v/>
      </c>
      <c r="Q54" s="122"/>
      <c r="R54" s="180"/>
      <c r="S54" s="121">
        <f t="shared" si="30"/>
        <v>0</v>
      </c>
      <c r="T54" s="181">
        <v>31</v>
      </c>
      <c r="U54" s="125">
        <f t="shared" si="31"/>
        <v>234.81114299999999</v>
      </c>
      <c r="V54" s="9" t="str">
        <f t="shared" si="11"/>
        <v/>
      </c>
      <c r="W54" s="9" t="str">
        <f t="shared" si="12"/>
        <v/>
      </c>
      <c r="X54" s="9"/>
      <c r="Y54" s="9"/>
      <c r="Z54" s="9"/>
      <c r="AA54" s="9"/>
    </row>
    <row r="55" spans="1:27" ht="13.5" customHeight="1" outlineLevel="1" x14ac:dyDescent="0.25">
      <c r="A55" s="371"/>
      <c r="B55" s="53"/>
      <c r="C55" s="175">
        <v>2.1000000000000001E-2</v>
      </c>
      <c r="D55" s="176">
        <v>0.17</v>
      </c>
      <c r="E55" s="121">
        <v>6</v>
      </c>
      <c r="F55" s="112">
        <f t="shared" si="22"/>
        <v>2.1420000000000005E-2</v>
      </c>
      <c r="G55" s="112">
        <f t="shared" si="23"/>
        <v>1.02</v>
      </c>
      <c r="H55" s="113">
        <v>380</v>
      </c>
      <c r="I55" s="114">
        <f>ROUND(H55*1.1667,0)</f>
        <v>443</v>
      </c>
      <c r="J55" s="115">
        <f t="shared" si="24"/>
        <v>11.395440000000002</v>
      </c>
      <c r="K55" s="116">
        <f t="shared" si="25"/>
        <v>11.172000000000002</v>
      </c>
      <c r="L55" s="117">
        <f t="shared" si="26"/>
        <v>144</v>
      </c>
      <c r="M55" s="178">
        <f t="shared" si="27"/>
        <v>3.0844800000000006</v>
      </c>
      <c r="N55" s="119">
        <f t="shared" si="28"/>
        <v>146.88</v>
      </c>
      <c r="O55" s="179"/>
      <c r="P55" s="121" t="str">
        <f t="shared" si="33"/>
        <v/>
      </c>
      <c r="Q55" s="122"/>
      <c r="R55" s="180"/>
      <c r="S55" s="121">
        <f t="shared" si="30"/>
        <v>0</v>
      </c>
      <c r="T55" s="181">
        <v>144</v>
      </c>
      <c r="U55" s="125">
        <f t="shared" si="31"/>
        <v>1640.9433600000004</v>
      </c>
      <c r="V55" s="9" t="str">
        <f t="shared" si="11"/>
        <v/>
      </c>
      <c r="W55" s="9" t="str">
        <f t="shared" si="12"/>
        <v/>
      </c>
      <c r="X55" s="9"/>
      <c r="Y55" s="9"/>
      <c r="Z55" s="9"/>
      <c r="AA55" s="9"/>
    </row>
    <row r="56" spans="1:27" ht="13.5" customHeight="1" outlineLevel="1" x14ac:dyDescent="0.25">
      <c r="A56" s="371"/>
      <c r="B56" s="53"/>
      <c r="C56" s="175">
        <v>2.5000000000000001E-2</v>
      </c>
      <c r="D56" s="176">
        <v>9.5000000000000001E-2</v>
      </c>
      <c r="E56" s="121">
        <v>3</v>
      </c>
      <c r="F56" s="112">
        <f t="shared" si="22"/>
        <v>7.1250000000000011E-3</v>
      </c>
      <c r="G56" s="112">
        <f t="shared" si="23"/>
        <v>0.28500000000000003</v>
      </c>
      <c r="H56" s="177">
        <v>411.01</v>
      </c>
      <c r="I56" s="114">
        <f>ROUND(H56*1.08,0)</f>
        <v>444</v>
      </c>
      <c r="J56" s="115">
        <f t="shared" si="24"/>
        <v>3.7976250000000005</v>
      </c>
      <c r="K56" s="116">
        <f t="shared" si="25"/>
        <v>13.325000000000001</v>
      </c>
      <c r="L56" s="117">
        <f t="shared" si="26"/>
        <v>77</v>
      </c>
      <c r="M56" s="178">
        <f t="shared" si="27"/>
        <v>0.54862500000000014</v>
      </c>
      <c r="N56" s="119">
        <f t="shared" si="28"/>
        <v>21.945000000000004</v>
      </c>
      <c r="O56" s="179"/>
      <c r="P56" s="121" t="str">
        <f t="shared" si="33"/>
        <v/>
      </c>
      <c r="Q56" s="122"/>
      <c r="R56" s="180"/>
      <c r="S56" s="121">
        <f t="shared" si="30"/>
        <v>0</v>
      </c>
      <c r="T56" s="181">
        <v>77</v>
      </c>
      <c r="U56" s="125">
        <f t="shared" si="31"/>
        <v>292.41712500000006</v>
      </c>
      <c r="V56" s="9" t="str">
        <f t="shared" si="11"/>
        <v/>
      </c>
      <c r="W56" s="9" t="str">
        <f t="shared" si="12"/>
        <v/>
      </c>
      <c r="X56" s="9"/>
      <c r="Y56" s="9"/>
      <c r="Z56" s="9"/>
      <c r="AA56" s="9"/>
    </row>
    <row r="57" spans="1:27" ht="13.5" customHeight="1" outlineLevel="1" x14ac:dyDescent="0.25">
      <c r="A57" s="371"/>
      <c r="B57" s="53" t="s">
        <v>63</v>
      </c>
      <c r="C57" s="54">
        <v>2.8000000000000001E-2</v>
      </c>
      <c r="D57" s="55">
        <v>0.14499999999999999</v>
      </c>
      <c r="E57" s="183">
        <v>4.5</v>
      </c>
      <c r="F57" s="112">
        <f t="shared" si="22"/>
        <v>1.8269999999999998E-2</v>
      </c>
      <c r="G57" s="112">
        <f t="shared" si="23"/>
        <v>0.65249999999999997</v>
      </c>
      <c r="H57" s="177">
        <v>428.56</v>
      </c>
      <c r="I57" s="114">
        <f>ROUND(H57*1.1667,0)</f>
        <v>500</v>
      </c>
      <c r="J57" s="115">
        <f t="shared" si="24"/>
        <v>10.961999999999998</v>
      </c>
      <c r="K57" s="116">
        <f t="shared" si="25"/>
        <v>16.799999999999997</v>
      </c>
      <c r="L57" s="117">
        <f t="shared" si="26"/>
        <v>141</v>
      </c>
      <c r="M57" s="178">
        <f t="shared" si="27"/>
        <v>2.5760699999999996</v>
      </c>
      <c r="N57" s="119">
        <f t="shared" si="28"/>
        <v>92.002499999999998</v>
      </c>
      <c r="O57" s="182"/>
      <c r="P57" s="121" t="str">
        <f t="shared" si="33"/>
        <v/>
      </c>
      <c r="Q57" s="122"/>
      <c r="R57" s="180"/>
      <c r="S57" s="121">
        <f t="shared" si="30"/>
        <v>0</v>
      </c>
      <c r="T57" s="181">
        <v>141</v>
      </c>
      <c r="U57" s="125">
        <f t="shared" si="31"/>
        <v>1545.6419999999998</v>
      </c>
      <c r="V57" s="9" t="str">
        <f t="shared" si="11"/>
        <v/>
      </c>
      <c r="W57" s="9" t="str">
        <f t="shared" si="12"/>
        <v/>
      </c>
      <c r="X57" s="9"/>
      <c r="Y57" s="9"/>
      <c r="Z57" s="9"/>
      <c r="AA57" s="9"/>
    </row>
    <row r="58" spans="1:27" ht="13.5" customHeight="1" x14ac:dyDescent="0.25">
      <c r="A58" s="371"/>
      <c r="B58" s="148" t="s">
        <v>56</v>
      </c>
      <c r="C58" s="149"/>
      <c r="D58" s="150"/>
      <c r="E58" s="149"/>
      <c r="F58" s="151"/>
      <c r="G58" s="151"/>
      <c r="H58" s="152">
        <f t="shared" ref="H58:I58" si="36">AVERAGE(H31:H57)</f>
        <v>429.54148148148153</v>
      </c>
      <c r="I58" s="153">
        <f t="shared" si="36"/>
        <v>484.66666666666669</v>
      </c>
      <c r="J58" s="154"/>
      <c r="K58" s="152">
        <f>AVERAGE(K31:K57)</f>
        <v>10.66859259259259</v>
      </c>
      <c r="L58" s="155"/>
      <c r="M58" s="156">
        <f>SUM(M31:M57)</f>
        <v>45.356877599999997</v>
      </c>
      <c r="N58" s="156"/>
      <c r="O58" s="157"/>
      <c r="P58" s="158">
        <f t="shared" ref="P58:Q58" si="37">SUM(P31:P57)</f>
        <v>1.952634</v>
      </c>
      <c r="Q58" s="159">
        <f t="shared" si="37"/>
        <v>1070.3899999999999</v>
      </c>
      <c r="R58" s="160"/>
      <c r="S58" s="161">
        <f>SUM(S31:S57)</f>
        <v>0</v>
      </c>
      <c r="T58" s="162"/>
      <c r="U58" s="163">
        <f>SUM(U31:U57)</f>
        <v>26751.597950399999</v>
      </c>
      <c r="V58" s="9" t="str">
        <f t="shared" si="11"/>
        <v/>
      </c>
      <c r="W58" s="9" t="str">
        <f t="shared" si="12"/>
        <v/>
      </c>
      <c r="X58" s="9"/>
      <c r="Y58" s="9"/>
      <c r="Z58" s="9"/>
      <c r="AA58" s="9"/>
    </row>
    <row r="59" spans="1:27" ht="13.5" customHeight="1" x14ac:dyDescent="0.25">
      <c r="A59" s="371"/>
      <c r="B59" s="164" t="s">
        <v>64</v>
      </c>
      <c r="C59" s="164"/>
      <c r="D59" s="164"/>
      <c r="E59" s="164"/>
      <c r="F59" s="164"/>
      <c r="G59" s="164"/>
      <c r="H59" s="164"/>
      <c r="I59" s="167"/>
      <c r="J59" s="168"/>
      <c r="K59" s="164"/>
      <c r="L59" s="164"/>
      <c r="M59" s="164"/>
      <c r="N59" s="169"/>
      <c r="O59" s="188"/>
      <c r="P59" s="164"/>
      <c r="Q59" s="189"/>
      <c r="R59" s="173"/>
      <c r="S59" s="164"/>
      <c r="T59" s="164"/>
      <c r="U59" s="174"/>
      <c r="V59" s="9" t="str">
        <f t="shared" si="11"/>
        <v/>
      </c>
      <c r="W59" s="9" t="str">
        <f t="shared" si="12"/>
        <v/>
      </c>
      <c r="X59" s="9"/>
      <c r="Y59" s="9"/>
      <c r="Z59" s="9"/>
      <c r="AA59" s="9"/>
    </row>
    <row r="60" spans="1:27" ht="13.5" customHeight="1" outlineLevel="1" x14ac:dyDescent="0.25">
      <c r="A60" s="371"/>
      <c r="B60" s="53"/>
      <c r="C60" s="54">
        <v>0.02</v>
      </c>
      <c r="D60" s="55">
        <v>0.09</v>
      </c>
      <c r="E60" s="56">
        <v>3</v>
      </c>
      <c r="F60" s="112">
        <f t="shared" ref="F60:F63" si="38">C60*D60*E60</f>
        <v>5.4000000000000003E-3</v>
      </c>
      <c r="G60" s="112">
        <f t="shared" ref="G60:G63" si="39">D60*E60</f>
        <v>0.27</v>
      </c>
      <c r="H60" s="177">
        <v>426.13</v>
      </c>
      <c r="I60" s="114">
        <f t="shared" ref="I60:I62" si="40">ROUND(H60*1.08,0)</f>
        <v>460</v>
      </c>
      <c r="J60" s="115">
        <f t="shared" ref="J60:J63" si="41">ROUND((I60*0.992)*1.21,0)*(C60*D60*E60)</f>
        <v>2.9808000000000003</v>
      </c>
      <c r="K60" s="116">
        <f t="shared" ref="K60:K63" si="42">J60/(D60*E60)</f>
        <v>11.040000000000001</v>
      </c>
      <c r="L60" s="117">
        <f t="shared" ref="L60:L63" si="43">T60+R60-O60</f>
        <v>58</v>
      </c>
      <c r="M60" s="178">
        <f t="shared" ref="M60:M63" si="44">L60*F60</f>
        <v>0.31320000000000003</v>
      </c>
      <c r="N60" s="119">
        <f t="shared" ref="N60:N63" si="45">L60*G60</f>
        <v>15.66</v>
      </c>
      <c r="O60" s="179"/>
      <c r="P60" s="121" t="str">
        <f t="shared" ref="P60:P63" si="46">IF(O60="","",(O60*F60))</f>
        <v/>
      </c>
      <c r="Q60" s="122"/>
      <c r="R60" s="180"/>
      <c r="S60" s="121">
        <f t="shared" ref="S60:S63" si="47">R60*F60</f>
        <v>0</v>
      </c>
      <c r="T60" s="181">
        <v>58</v>
      </c>
      <c r="U60" s="125">
        <f t="shared" ref="U60:U63" si="48">J60*L60</f>
        <v>172.88640000000001</v>
      </c>
      <c r="V60" s="9" t="str">
        <f t="shared" si="11"/>
        <v/>
      </c>
      <c r="W60" s="9" t="str">
        <f t="shared" si="12"/>
        <v/>
      </c>
      <c r="X60" s="9"/>
      <c r="Y60" s="9"/>
      <c r="Z60" s="9"/>
      <c r="AA60" s="9"/>
    </row>
    <row r="61" spans="1:27" ht="13.5" customHeight="1" outlineLevel="1" x14ac:dyDescent="0.25">
      <c r="A61" s="371"/>
      <c r="B61" s="53"/>
      <c r="C61" s="54">
        <v>0.02</v>
      </c>
      <c r="D61" s="55">
        <v>0.09</v>
      </c>
      <c r="E61" s="56">
        <v>4</v>
      </c>
      <c r="F61" s="112">
        <f t="shared" si="38"/>
        <v>7.1999999999999998E-3</v>
      </c>
      <c r="G61" s="112">
        <f t="shared" si="39"/>
        <v>0.36</v>
      </c>
      <c r="H61" s="177">
        <v>426.13</v>
      </c>
      <c r="I61" s="114">
        <f t="shared" si="40"/>
        <v>460</v>
      </c>
      <c r="J61" s="115">
        <f t="shared" si="41"/>
        <v>3.9743999999999997</v>
      </c>
      <c r="K61" s="116">
        <f t="shared" si="42"/>
        <v>11.04</v>
      </c>
      <c r="L61" s="117">
        <f t="shared" si="43"/>
        <v>15</v>
      </c>
      <c r="M61" s="178">
        <f t="shared" si="44"/>
        <v>0.108</v>
      </c>
      <c r="N61" s="119">
        <f t="shared" si="45"/>
        <v>5.3999999999999995</v>
      </c>
      <c r="O61" s="179"/>
      <c r="P61" s="121" t="str">
        <f t="shared" si="46"/>
        <v/>
      </c>
      <c r="Q61" s="122"/>
      <c r="R61" s="180"/>
      <c r="S61" s="121">
        <f t="shared" si="47"/>
        <v>0</v>
      </c>
      <c r="T61" s="181">
        <v>15</v>
      </c>
      <c r="U61" s="125">
        <f t="shared" si="48"/>
        <v>59.615999999999993</v>
      </c>
      <c r="V61" s="9" t="str">
        <f t="shared" si="11"/>
        <v/>
      </c>
      <c r="W61" s="9" t="str">
        <f t="shared" si="12"/>
        <v/>
      </c>
      <c r="X61" s="9"/>
      <c r="Y61" s="9"/>
      <c r="Z61" s="9"/>
      <c r="AA61" s="9"/>
    </row>
    <row r="62" spans="1:27" ht="13.5" customHeight="1" outlineLevel="1" x14ac:dyDescent="0.25">
      <c r="A62" s="371"/>
      <c r="B62" s="53"/>
      <c r="C62" s="54">
        <v>0.02</v>
      </c>
      <c r="D62" s="55">
        <v>9.5000000000000001E-2</v>
      </c>
      <c r="E62" s="56">
        <v>2.4</v>
      </c>
      <c r="F62" s="112">
        <f t="shared" si="38"/>
        <v>4.5599999999999998E-3</v>
      </c>
      <c r="G62" s="112">
        <f t="shared" si="39"/>
        <v>0.22799999999999998</v>
      </c>
      <c r="H62" s="177">
        <v>426.13</v>
      </c>
      <c r="I62" s="114">
        <f t="shared" si="40"/>
        <v>460</v>
      </c>
      <c r="J62" s="115">
        <f t="shared" si="41"/>
        <v>2.5171199999999998</v>
      </c>
      <c r="K62" s="116">
        <f t="shared" si="42"/>
        <v>11.040000000000001</v>
      </c>
      <c r="L62" s="117">
        <f t="shared" si="43"/>
        <v>48</v>
      </c>
      <c r="M62" s="178">
        <f t="shared" si="44"/>
        <v>0.21887999999999999</v>
      </c>
      <c r="N62" s="119">
        <f t="shared" si="45"/>
        <v>10.943999999999999</v>
      </c>
      <c r="O62" s="179"/>
      <c r="P62" s="121" t="str">
        <f t="shared" si="46"/>
        <v/>
      </c>
      <c r="Q62" s="122"/>
      <c r="R62" s="180"/>
      <c r="S62" s="121">
        <f t="shared" si="47"/>
        <v>0</v>
      </c>
      <c r="T62" s="181">
        <v>48</v>
      </c>
      <c r="U62" s="125">
        <f t="shared" si="48"/>
        <v>120.82175999999998</v>
      </c>
      <c r="V62" s="9" t="str">
        <f t="shared" si="11"/>
        <v/>
      </c>
      <c r="W62" s="9" t="str">
        <f t="shared" si="12"/>
        <v/>
      </c>
      <c r="X62" s="9"/>
      <c r="Y62" s="9"/>
      <c r="Z62" s="9"/>
      <c r="AA62" s="9"/>
    </row>
    <row r="63" spans="1:27" ht="13.5" customHeight="1" outlineLevel="1" x14ac:dyDescent="0.25">
      <c r="A63" s="371"/>
      <c r="B63" s="53"/>
      <c r="C63" s="54">
        <v>2.1000000000000001E-2</v>
      </c>
      <c r="D63" s="55">
        <v>0.12</v>
      </c>
      <c r="E63" s="56">
        <v>4.2</v>
      </c>
      <c r="F63" s="112">
        <f t="shared" si="38"/>
        <v>1.0584000000000001E-2</v>
      </c>
      <c r="G63" s="112">
        <f t="shared" si="39"/>
        <v>0.504</v>
      </c>
      <c r="H63" s="177">
        <v>385</v>
      </c>
      <c r="I63" s="114">
        <f>ROUND(H63*1.1,0)</f>
        <v>424</v>
      </c>
      <c r="J63" s="115">
        <f t="shared" si="41"/>
        <v>5.3872560000000007</v>
      </c>
      <c r="K63" s="116">
        <f t="shared" si="42"/>
        <v>10.689000000000002</v>
      </c>
      <c r="L63" s="117">
        <f t="shared" si="43"/>
        <v>241</v>
      </c>
      <c r="M63" s="178">
        <f t="shared" si="44"/>
        <v>2.5507440000000003</v>
      </c>
      <c r="N63" s="119">
        <f t="shared" si="45"/>
        <v>121.464</v>
      </c>
      <c r="O63" s="179"/>
      <c r="P63" s="121" t="str">
        <f t="shared" si="46"/>
        <v/>
      </c>
      <c r="Q63" s="122"/>
      <c r="R63" s="180"/>
      <c r="S63" s="121">
        <f t="shared" si="47"/>
        <v>0</v>
      </c>
      <c r="T63" s="181">
        <v>241</v>
      </c>
      <c r="U63" s="125">
        <f t="shared" si="48"/>
        <v>1298.3286960000003</v>
      </c>
      <c r="V63" s="9" t="str">
        <f t="shared" si="11"/>
        <v/>
      </c>
      <c r="W63" s="9" t="str">
        <f t="shared" si="12"/>
        <v/>
      </c>
      <c r="X63" s="9"/>
      <c r="Y63" s="9"/>
      <c r="Z63" s="9"/>
      <c r="AA63" s="9"/>
    </row>
    <row r="64" spans="1:27" ht="13.5" customHeight="1" x14ac:dyDescent="0.25">
      <c r="A64" s="371"/>
      <c r="B64" s="148" t="s">
        <v>56</v>
      </c>
      <c r="C64" s="149"/>
      <c r="D64" s="150"/>
      <c r="E64" s="149"/>
      <c r="F64" s="151"/>
      <c r="G64" s="151"/>
      <c r="H64" s="152">
        <f t="shared" ref="H64:I64" si="49">AVERAGE(H60:H63)</f>
        <v>415.84749999999997</v>
      </c>
      <c r="I64" s="153">
        <f t="shared" si="49"/>
        <v>451</v>
      </c>
      <c r="J64" s="154"/>
      <c r="K64" s="152">
        <f>AVERAGE(K60:K63)</f>
        <v>10.952249999999999</v>
      </c>
      <c r="L64" s="155"/>
      <c r="M64" s="156">
        <f>SUM(M60:M63)</f>
        <v>3.1908240000000001</v>
      </c>
      <c r="N64" s="156"/>
      <c r="O64" s="157"/>
      <c r="P64" s="158">
        <f>SUM(P60:P62)</f>
        <v>0</v>
      </c>
      <c r="Q64" s="159">
        <f>SUM(Q60:Q63)</f>
        <v>0</v>
      </c>
      <c r="R64" s="190"/>
      <c r="S64" s="161">
        <f>SUM(S60:S63)</f>
        <v>0</v>
      </c>
      <c r="T64" s="162"/>
      <c r="U64" s="163">
        <f>SUM(U60:U63)</f>
        <v>1651.6528560000002</v>
      </c>
      <c r="V64" s="9" t="str">
        <f t="shared" si="11"/>
        <v/>
      </c>
      <c r="W64" s="9" t="str">
        <f t="shared" si="12"/>
        <v/>
      </c>
      <c r="X64" s="9"/>
      <c r="Y64" s="9"/>
      <c r="Z64" s="9"/>
      <c r="AA64" s="9"/>
    </row>
    <row r="65" spans="1:27" ht="13.5" customHeight="1" x14ac:dyDescent="0.25">
      <c r="A65" s="371"/>
      <c r="B65" s="164" t="s">
        <v>65</v>
      </c>
      <c r="C65" s="164"/>
      <c r="D65" s="164"/>
      <c r="E65" s="164"/>
      <c r="F65" s="164"/>
      <c r="G65" s="164"/>
      <c r="H65" s="164"/>
      <c r="I65" s="167"/>
      <c r="J65" s="168"/>
      <c r="K65" s="164"/>
      <c r="L65" s="164"/>
      <c r="M65" s="164"/>
      <c r="N65" s="169"/>
      <c r="O65" s="188"/>
      <c r="P65" s="164"/>
      <c r="Q65" s="189"/>
      <c r="R65" s="173"/>
      <c r="S65" s="164"/>
      <c r="T65" s="164"/>
      <c r="U65" s="174"/>
      <c r="V65" s="9" t="str">
        <f t="shared" si="11"/>
        <v/>
      </c>
      <c r="W65" s="9" t="str">
        <f t="shared" si="12"/>
        <v/>
      </c>
      <c r="X65" s="9"/>
      <c r="Y65" s="9"/>
      <c r="Z65" s="9"/>
      <c r="AA65" s="9"/>
    </row>
    <row r="66" spans="1:27" ht="13.5" customHeight="1" outlineLevel="1" x14ac:dyDescent="0.25">
      <c r="A66" s="371"/>
      <c r="B66" s="53"/>
      <c r="C66" s="54">
        <v>2.8000000000000001E-2</v>
      </c>
      <c r="D66" s="55">
        <v>9.5000000000000001E-2</v>
      </c>
      <c r="E66" s="183">
        <v>3</v>
      </c>
      <c r="F66" s="112">
        <f t="shared" ref="F66:F67" si="50">C66*D66*E66</f>
        <v>7.980000000000001E-3</v>
      </c>
      <c r="G66" s="112">
        <f t="shared" ref="G66:G67" si="51">D66*E66</f>
        <v>0.28500000000000003</v>
      </c>
      <c r="H66" s="177">
        <v>404.93</v>
      </c>
      <c r="I66" s="114">
        <f>ROUND(H66*1.08,0)</f>
        <v>437</v>
      </c>
      <c r="J66" s="115">
        <f t="shared" ref="J66:J67" si="52">ROUND((I66*0.992)*1.21,0)*(C66*D66*E66)</f>
        <v>4.1895000000000007</v>
      </c>
      <c r="K66" s="116">
        <f t="shared" ref="K66:K67" si="53">J66/(D66*E66)</f>
        <v>14.700000000000001</v>
      </c>
      <c r="L66" s="117">
        <f t="shared" ref="L66:L67" si="54">T66+R66-O66</f>
        <v>708</v>
      </c>
      <c r="M66" s="178">
        <f t="shared" ref="M66:M67" si="55">L66*F66</f>
        <v>5.6498400000000011</v>
      </c>
      <c r="N66" s="119">
        <f t="shared" ref="N66:N67" si="56">L66*G66</f>
        <v>201.78000000000003</v>
      </c>
      <c r="O66" s="182"/>
      <c r="P66" s="121" t="str">
        <f>IF(O66="","",(O66*F66))</f>
        <v/>
      </c>
      <c r="Q66" s="122"/>
      <c r="R66" s="180"/>
      <c r="S66" s="121">
        <f t="shared" ref="S66:S67" si="57">R66*F66</f>
        <v>0</v>
      </c>
      <c r="T66" s="181">
        <v>708</v>
      </c>
      <c r="U66" s="125">
        <f t="shared" ref="U66:U67" si="58">J66*L66</f>
        <v>2966.1660000000006</v>
      </c>
      <c r="V66" s="9" t="str">
        <f t="shared" si="11"/>
        <v/>
      </c>
      <c r="W66" s="9" t="str">
        <f t="shared" si="12"/>
        <v/>
      </c>
      <c r="X66" s="9"/>
      <c r="Y66" s="9"/>
      <c r="Z66" s="9"/>
      <c r="AA66" s="9"/>
    </row>
    <row r="67" spans="1:27" ht="13.5" customHeight="1" outlineLevel="1" x14ac:dyDescent="0.25">
      <c r="A67" s="371"/>
      <c r="B67" s="53"/>
      <c r="C67" s="54">
        <v>2.8000000000000001E-2</v>
      </c>
      <c r="D67" s="55">
        <v>0.12</v>
      </c>
      <c r="E67" s="183">
        <v>5.4</v>
      </c>
      <c r="F67" s="112">
        <f t="shared" si="50"/>
        <v>1.8144E-2</v>
      </c>
      <c r="G67" s="112">
        <f t="shared" si="51"/>
        <v>0.64800000000000002</v>
      </c>
      <c r="H67" s="177">
        <v>401.52</v>
      </c>
      <c r="I67" s="114">
        <f>ROUND(H67*1.1667,0)</f>
        <v>468</v>
      </c>
      <c r="J67" s="115">
        <f t="shared" si="52"/>
        <v>10.196928</v>
      </c>
      <c r="K67" s="116">
        <f t="shared" si="53"/>
        <v>15.735999999999999</v>
      </c>
      <c r="L67" s="117">
        <f t="shared" si="54"/>
        <v>200</v>
      </c>
      <c r="M67" s="178">
        <f t="shared" si="55"/>
        <v>3.6288</v>
      </c>
      <c r="N67" s="119">
        <f t="shared" si="56"/>
        <v>129.6</v>
      </c>
      <c r="O67" s="182"/>
      <c r="P67" s="121"/>
      <c r="Q67" s="122"/>
      <c r="R67" s="180"/>
      <c r="S67" s="121">
        <f t="shared" si="57"/>
        <v>0</v>
      </c>
      <c r="T67" s="181">
        <v>200</v>
      </c>
      <c r="U67" s="125">
        <f t="shared" si="58"/>
        <v>2039.3856000000001</v>
      </c>
      <c r="V67" s="9" t="str">
        <f t="shared" si="11"/>
        <v/>
      </c>
      <c r="W67" s="9" t="str">
        <f t="shared" si="12"/>
        <v/>
      </c>
      <c r="X67" s="9"/>
      <c r="Y67" s="9"/>
      <c r="Z67" s="9"/>
      <c r="AA67" s="9"/>
    </row>
    <row r="68" spans="1:27" ht="13.5" customHeight="1" x14ac:dyDescent="0.25">
      <c r="A68" s="371"/>
      <c r="B68" s="148" t="s">
        <v>56</v>
      </c>
      <c r="C68" s="149"/>
      <c r="D68" s="150"/>
      <c r="E68" s="149"/>
      <c r="F68" s="151"/>
      <c r="G68" s="151"/>
      <c r="H68" s="152">
        <f t="shared" ref="H68:I68" si="59">AVERAGE(H66:H67)</f>
        <v>403.22500000000002</v>
      </c>
      <c r="I68" s="153">
        <f t="shared" si="59"/>
        <v>452.5</v>
      </c>
      <c r="J68" s="154"/>
      <c r="K68" s="152">
        <f>AVERAGE(K66:K67)</f>
        <v>15.218</v>
      </c>
      <c r="L68" s="155"/>
      <c r="M68" s="156">
        <f>SUM(M66:M67)</f>
        <v>9.2786400000000011</v>
      </c>
      <c r="N68" s="156"/>
      <c r="O68" s="157"/>
      <c r="P68" s="158">
        <f t="shared" ref="P68:Q68" si="60">SUM(P66:P67)</f>
        <v>0</v>
      </c>
      <c r="Q68" s="159">
        <f t="shared" si="60"/>
        <v>0</v>
      </c>
      <c r="R68" s="190"/>
      <c r="S68" s="161">
        <f>SUM(S66:S67)</f>
        <v>0</v>
      </c>
      <c r="T68" s="162"/>
      <c r="U68" s="163">
        <f>SUM(U66:U67)</f>
        <v>5005.5516000000007</v>
      </c>
      <c r="V68" s="9" t="str">
        <f t="shared" si="11"/>
        <v/>
      </c>
      <c r="W68" s="9" t="str">
        <f t="shared" si="12"/>
        <v/>
      </c>
      <c r="X68" s="9"/>
      <c r="Y68" s="9"/>
      <c r="Z68" s="9"/>
      <c r="AA68" s="9"/>
    </row>
    <row r="69" spans="1:27" ht="13.5" customHeight="1" x14ac:dyDescent="0.25">
      <c r="A69" s="371"/>
      <c r="B69" s="164" t="s">
        <v>66</v>
      </c>
      <c r="C69" s="164"/>
      <c r="D69" s="164"/>
      <c r="E69" s="164"/>
      <c r="F69" s="164"/>
      <c r="G69" s="164"/>
      <c r="H69" s="164"/>
      <c r="I69" s="167"/>
      <c r="J69" s="168"/>
      <c r="K69" s="164"/>
      <c r="L69" s="164"/>
      <c r="M69" s="164"/>
      <c r="N69" s="169"/>
      <c r="O69" s="188"/>
      <c r="P69" s="164"/>
      <c r="Q69" s="189"/>
      <c r="R69" s="173"/>
      <c r="S69" s="164"/>
      <c r="T69" s="164"/>
      <c r="U69" s="174"/>
      <c r="V69" s="9" t="str">
        <f t="shared" si="11"/>
        <v/>
      </c>
      <c r="W69" s="9" t="str">
        <f t="shared" si="12"/>
        <v/>
      </c>
      <c r="X69" s="9"/>
      <c r="Y69" s="9"/>
      <c r="Z69" s="9"/>
      <c r="AA69" s="9"/>
    </row>
    <row r="70" spans="1:27" ht="13.5" customHeight="1" outlineLevel="1" x14ac:dyDescent="0.25">
      <c r="A70" s="371"/>
      <c r="B70" s="75" t="s">
        <v>67</v>
      </c>
      <c r="C70" s="131">
        <v>1.2E-2</v>
      </c>
      <c r="D70" s="111">
        <v>1.5249999999999999</v>
      </c>
      <c r="E70" s="111">
        <v>1.5249999999999999</v>
      </c>
      <c r="F70" s="133">
        <f t="shared" ref="F70:F72" si="61">C70*D70*E70</f>
        <v>2.7907499999999998E-2</v>
      </c>
      <c r="G70" s="133">
        <f t="shared" ref="G70:G72" si="62">D70*E70</f>
        <v>2.3256249999999996</v>
      </c>
      <c r="H70" s="191">
        <v>550</v>
      </c>
      <c r="I70" s="114">
        <f t="shared" ref="I70:I71" si="63">ROUND(H70*1.1667,0)</f>
        <v>642</v>
      </c>
      <c r="J70" s="115">
        <f t="shared" ref="J70:J71" si="64">ROUND((I70*0.992)*1.21,0)*(C70*D70*E70)</f>
        <v>21.516682499999998</v>
      </c>
      <c r="K70" s="192">
        <f t="shared" ref="K70:K72" si="65">J70/(D70*E70)</f>
        <v>9.2520000000000007</v>
      </c>
      <c r="L70" s="117">
        <v>3</v>
      </c>
      <c r="M70" s="178">
        <f t="shared" ref="M70:M72" si="66">L70*F70</f>
        <v>8.3722499999999991E-2</v>
      </c>
      <c r="N70" s="134">
        <f t="shared" ref="N70:N72" si="67">L70*G70</f>
        <v>6.9768749999999988</v>
      </c>
      <c r="O70" s="193"/>
      <c r="P70" s="121" t="str">
        <f t="shared" ref="P70:P72" si="68">IF(O70="","",(O70*F70))</f>
        <v/>
      </c>
      <c r="Q70" s="136"/>
      <c r="R70" s="194"/>
      <c r="S70" s="78">
        <f t="shared" ref="S70:S72" si="69">R70*F70</f>
        <v>0</v>
      </c>
      <c r="T70" s="181">
        <v>3</v>
      </c>
      <c r="U70" s="125">
        <f t="shared" ref="U70:U72" si="70">J70*L70</f>
        <v>64.550047499999991</v>
      </c>
      <c r="V70" s="9" t="str">
        <f t="shared" si="11"/>
        <v/>
      </c>
      <c r="W70" s="9" t="str">
        <f t="shared" si="12"/>
        <v/>
      </c>
      <c r="X70" s="9"/>
      <c r="Y70" s="9"/>
      <c r="Z70" s="9"/>
      <c r="AA70" s="9"/>
    </row>
    <row r="71" spans="1:27" ht="13.5" customHeight="1" outlineLevel="1" x14ac:dyDescent="0.25">
      <c r="A71" s="371"/>
      <c r="B71" s="53" t="s">
        <v>67</v>
      </c>
      <c r="C71" s="54">
        <v>1.7999999999999999E-2</v>
      </c>
      <c r="D71" s="55">
        <v>1.5249999999999999</v>
      </c>
      <c r="E71" s="55">
        <v>1.5249999999999999</v>
      </c>
      <c r="F71" s="112">
        <f t="shared" si="61"/>
        <v>4.1861249999999989E-2</v>
      </c>
      <c r="G71" s="112">
        <f t="shared" si="62"/>
        <v>2.3256249999999996</v>
      </c>
      <c r="H71" s="177">
        <v>550</v>
      </c>
      <c r="I71" s="114">
        <f t="shared" si="63"/>
        <v>642</v>
      </c>
      <c r="J71" s="115">
        <f t="shared" si="64"/>
        <v>32.275023749999988</v>
      </c>
      <c r="K71" s="116">
        <f t="shared" si="65"/>
        <v>13.877999999999997</v>
      </c>
      <c r="L71" s="117">
        <f t="shared" ref="L71:L72" si="71">T71+R71-O71</f>
        <v>0</v>
      </c>
      <c r="M71" s="178">
        <f t="shared" si="66"/>
        <v>0</v>
      </c>
      <c r="N71" s="119">
        <f t="shared" si="67"/>
        <v>0</v>
      </c>
      <c r="O71" s="179"/>
      <c r="P71" s="121" t="str">
        <f t="shared" si="68"/>
        <v/>
      </c>
      <c r="Q71" s="122"/>
      <c r="R71" s="180"/>
      <c r="S71" s="121">
        <f t="shared" si="69"/>
        <v>0</v>
      </c>
      <c r="T71" s="181">
        <v>0</v>
      </c>
      <c r="U71" s="125">
        <f t="shared" si="70"/>
        <v>0</v>
      </c>
      <c r="V71" s="9" t="str">
        <f t="shared" si="11"/>
        <v/>
      </c>
      <c r="W71" s="9" t="str">
        <f t="shared" si="12"/>
        <v/>
      </c>
      <c r="X71" s="9"/>
      <c r="Y71" s="9"/>
      <c r="Z71" s="9"/>
      <c r="AA71" s="9"/>
    </row>
    <row r="72" spans="1:27" ht="13.5" customHeight="1" outlineLevel="1" x14ac:dyDescent="0.25">
      <c r="A72" s="371"/>
      <c r="B72" s="53"/>
      <c r="C72" s="54">
        <v>4.4999999999999998E-2</v>
      </c>
      <c r="D72" s="55">
        <v>0.22</v>
      </c>
      <c r="E72" s="56">
        <v>4.8</v>
      </c>
      <c r="F72" s="112">
        <f t="shared" si="61"/>
        <v>4.7519999999999993E-2</v>
      </c>
      <c r="G72" s="112">
        <f t="shared" si="62"/>
        <v>1.056</v>
      </c>
      <c r="H72" s="177">
        <v>376.95</v>
      </c>
      <c r="I72" s="114">
        <f>ROUND(H72*1.06,0)</f>
        <v>400</v>
      </c>
      <c r="J72" s="115">
        <f>ROUND((I72*0.88)*1.21,0)*(C72*D72*E72)</f>
        <v>20.243519999999997</v>
      </c>
      <c r="K72" s="116">
        <f t="shared" si="65"/>
        <v>19.169999999999995</v>
      </c>
      <c r="L72" s="117">
        <f t="shared" si="71"/>
        <v>375</v>
      </c>
      <c r="M72" s="178">
        <f t="shared" si="66"/>
        <v>17.819999999999997</v>
      </c>
      <c r="N72" s="119">
        <f t="shared" si="67"/>
        <v>396</v>
      </c>
      <c r="O72" s="182"/>
      <c r="P72" s="121" t="str">
        <f t="shared" si="68"/>
        <v/>
      </c>
      <c r="Q72" s="122"/>
      <c r="R72" s="180"/>
      <c r="S72" s="121">
        <f t="shared" si="69"/>
        <v>0</v>
      </c>
      <c r="T72" s="181">
        <v>375</v>
      </c>
      <c r="U72" s="125">
        <f t="shared" si="70"/>
        <v>7591.3199999999988</v>
      </c>
      <c r="V72" s="9" t="str">
        <f t="shared" si="11"/>
        <v/>
      </c>
      <c r="W72" s="9" t="str">
        <f t="shared" si="12"/>
        <v/>
      </c>
      <c r="X72" s="9"/>
      <c r="Y72" s="9"/>
      <c r="Z72" s="9"/>
      <c r="AA72" s="9"/>
    </row>
    <row r="73" spans="1:27" ht="13.5" customHeight="1" x14ac:dyDescent="0.25">
      <c r="A73" s="371"/>
      <c r="B73" s="148" t="s">
        <v>56</v>
      </c>
      <c r="C73" s="149"/>
      <c r="D73" s="150"/>
      <c r="E73" s="149"/>
      <c r="F73" s="151"/>
      <c r="G73" s="151"/>
      <c r="H73" s="152">
        <f t="shared" ref="H73:I73" si="72">AVERAGE(H70:H72)</f>
        <v>492.31666666666666</v>
      </c>
      <c r="I73" s="153">
        <f t="shared" si="72"/>
        <v>561.33333333333337</v>
      </c>
      <c r="J73" s="154"/>
      <c r="K73" s="152">
        <f>AVERAGE(K70:K72)</f>
        <v>14.099999999999996</v>
      </c>
      <c r="L73" s="155"/>
      <c r="M73" s="156">
        <f>SUM(M70:M72)</f>
        <v>17.903722499999997</v>
      </c>
      <c r="N73" s="156"/>
      <c r="O73" s="157"/>
      <c r="P73" s="158">
        <f t="shared" ref="P73:Q73" si="73">SUM(P70:P72)</f>
        <v>0</v>
      </c>
      <c r="Q73" s="159">
        <f t="shared" si="73"/>
        <v>0</v>
      </c>
      <c r="R73" s="190"/>
      <c r="S73" s="161">
        <f>SUM(S70:S72)</f>
        <v>0</v>
      </c>
      <c r="T73" s="162"/>
      <c r="U73" s="163">
        <f>SUM(U70:U72)</f>
        <v>7655.8700474999987</v>
      </c>
      <c r="V73" s="9" t="str">
        <f t="shared" si="11"/>
        <v/>
      </c>
      <c r="W73" s="9" t="str">
        <f t="shared" si="12"/>
        <v/>
      </c>
      <c r="X73" s="9"/>
      <c r="Y73" s="9"/>
      <c r="Z73" s="9"/>
      <c r="AA73" s="9"/>
    </row>
    <row r="74" spans="1:27" ht="13.5" customHeight="1" x14ac:dyDescent="0.25">
      <c r="A74" s="371"/>
      <c r="B74" s="164" t="s">
        <v>68</v>
      </c>
      <c r="C74" s="164"/>
      <c r="D74" s="164"/>
      <c r="E74" s="164"/>
      <c r="F74" s="164"/>
      <c r="G74" s="164"/>
      <c r="H74" s="164"/>
      <c r="I74" s="167"/>
      <c r="J74" s="168"/>
      <c r="K74" s="164"/>
      <c r="L74" s="164"/>
      <c r="M74" s="164"/>
      <c r="N74" s="169"/>
      <c r="O74" s="188"/>
      <c r="P74" s="164"/>
      <c r="Q74" s="189"/>
      <c r="R74" s="173"/>
      <c r="S74" s="164"/>
      <c r="T74" s="164"/>
      <c r="U74" s="174"/>
      <c r="V74" s="9" t="str">
        <f t="shared" si="11"/>
        <v/>
      </c>
      <c r="W74" s="9" t="str">
        <f t="shared" si="12"/>
        <v/>
      </c>
      <c r="X74" s="9"/>
      <c r="Y74" s="9"/>
      <c r="Z74" s="9"/>
      <c r="AA74" s="9"/>
    </row>
    <row r="75" spans="1:27" ht="13.5" customHeight="1" outlineLevel="1" x14ac:dyDescent="0.25">
      <c r="A75" s="371"/>
      <c r="B75" s="53" t="s">
        <v>69</v>
      </c>
      <c r="C75" s="54">
        <v>1.7999999999999999E-2</v>
      </c>
      <c r="D75" s="55">
        <v>9.2999999999999999E-2</v>
      </c>
      <c r="E75" s="56">
        <v>3.1</v>
      </c>
      <c r="F75" s="112">
        <f t="shared" ref="F75:F81" si="74">C75*D75*E75</f>
        <v>5.1894000000000003E-3</v>
      </c>
      <c r="G75" s="112">
        <f t="shared" ref="G75:G81" si="75">D75*E75</f>
        <v>0.2883</v>
      </c>
      <c r="H75" s="177">
        <v>800</v>
      </c>
      <c r="I75" s="114">
        <f t="shared" ref="I75:I81" si="76">ROUND(H75*1.1667,0)</f>
        <v>933</v>
      </c>
      <c r="J75" s="115">
        <f t="shared" ref="J75:J81" si="77">ROUND((I75*0.992)*1.21,0)*(C75*D75*E75)</f>
        <v>5.8121280000000004</v>
      </c>
      <c r="K75" s="116">
        <f t="shared" ref="K75:K81" si="78">J75/(D75*E75)</f>
        <v>20.16</v>
      </c>
      <c r="L75" s="117">
        <f t="shared" ref="L75:L81" si="79">T75+R75-O75</f>
        <v>297</v>
      </c>
      <c r="M75" s="178">
        <f t="shared" ref="M75:M81" si="80">L75*F75</f>
        <v>1.5412518000000002</v>
      </c>
      <c r="N75" s="119">
        <f t="shared" ref="N75:N81" si="81">L75*G75</f>
        <v>85.625100000000003</v>
      </c>
      <c r="O75" s="182"/>
      <c r="P75" s="121" t="str">
        <f t="shared" ref="P75:P81" si="82">IF(O75="","",(O75*F75))</f>
        <v/>
      </c>
      <c r="Q75" s="122"/>
      <c r="R75" s="180"/>
      <c r="S75" s="121">
        <f t="shared" ref="S75:S81" si="83">R75*F75</f>
        <v>0</v>
      </c>
      <c r="T75" s="181">
        <v>297</v>
      </c>
      <c r="U75" s="125">
        <f t="shared" ref="U75:U81" si="84">J75*L75</f>
        <v>1726.2020160000002</v>
      </c>
      <c r="V75" s="9" t="str">
        <f t="shared" si="11"/>
        <v/>
      </c>
      <c r="W75" s="9" t="str">
        <f t="shared" si="12"/>
        <v/>
      </c>
      <c r="X75" s="9"/>
      <c r="Y75" s="9"/>
      <c r="Z75" s="9"/>
      <c r="AA75" s="9"/>
    </row>
    <row r="76" spans="1:27" ht="13.5" customHeight="1" outlineLevel="1" x14ac:dyDescent="0.25">
      <c r="A76" s="371"/>
      <c r="B76" s="53" t="s">
        <v>70</v>
      </c>
      <c r="C76" s="175">
        <v>0.02</v>
      </c>
      <c r="D76" s="176">
        <v>4.4999999999999998E-2</v>
      </c>
      <c r="E76" s="121">
        <v>3</v>
      </c>
      <c r="F76" s="112">
        <f t="shared" si="74"/>
        <v>2.7000000000000001E-3</v>
      </c>
      <c r="G76" s="112">
        <f t="shared" si="75"/>
        <v>0.13500000000000001</v>
      </c>
      <c r="H76" s="177">
        <v>800</v>
      </c>
      <c r="I76" s="114">
        <f t="shared" si="76"/>
        <v>933</v>
      </c>
      <c r="J76" s="115">
        <f t="shared" si="77"/>
        <v>3.024</v>
      </c>
      <c r="K76" s="116">
        <f t="shared" si="78"/>
        <v>22.4</v>
      </c>
      <c r="L76" s="117">
        <f t="shared" si="79"/>
        <v>18</v>
      </c>
      <c r="M76" s="178">
        <f t="shared" si="80"/>
        <v>4.8600000000000004E-2</v>
      </c>
      <c r="N76" s="119">
        <f t="shared" si="81"/>
        <v>2.4300000000000002</v>
      </c>
      <c r="O76" s="182"/>
      <c r="P76" s="121" t="str">
        <f t="shared" si="82"/>
        <v/>
      </c>
      <c r="Q76" s="122"/>
      <c r="R76" s="180"/>
      <c r="S76" s="121">
        <f t="shared" si="83"/>
        <v>0</v>
      </c>
      <c r="T76" s="181">
        <v>18</v>
      </c>
      <c r="U76" s="125">
        <f t="shared" si="84"/>
        <v>54.432000000000002</v>
      </c>
      <c r="V76" s="9" t="str">
        <f t="shared" si="11"/>
        <v/>
      </c>
      <c r="W76" s="9" t="str">
        <f t="shared" si="12"/>
        <v/>
      </c>
      <c r="X76" s="9"/>
      <c r="Y76" s="9"/>
      <c r="Z76" s="9"/>
      <c r="AA76" s="9"/>
    </row>
    <row r="77" spans="1:27" ht="13.5" customHeight="1" outlineLevel="1" x14ac:dyDescent="0.25">
      <c r="A77" s="371"/>
      <c r="B77" s="53" t="s">
        <v>69</v>
      </c>
      <c r="C77" s="54">
        <v>0.02</v>
      </c>
      <c r="D77" s="55">
        <v>4.4999999999999998E-2</v>
      </c>
      <c r="E77" s="56">
        <v>3.1</v>
      </c>
      <c r="F77" s="112">
        <f t="shared" si="74"/>
        <v>2.7899999999999999E-3</v>
      </c>
      <c r="G77" s="112">
        <f t="shared" si="75"/>
        <v>0.13949999999999999</v>
      </c>
      <c r="H77" s="177">
        <v>800</v>
      </c>
      <c r="I77" s="114">
        <f t="shared" si="76"/>
        <v>933</v>
      </c>
      <c r="J77" s="115">
        <f t="shared" si="77"/>
        <v>3.1248</v>
      </c>
      <c r="K77" s="116">
        <f t="shared" si="78"/>
        <v>22.400000000000002</v>
      </c>
      <c r="L77" s="117">
        <f t="shared" si="79"/>
        <v>142</v>
      </c>
      <c r="M77" s="178">
        <f t="shared" si="80"/>
        <v>0.39617999999999998</v>
      </c>
      <c r="N77" s="119">
        <f t="shared" si="81"/>
        <v>19.808999999999997</v>
      </c>
      <c r="O77" s="182"/>
      <c r="P77" s="121" t="str">
        <f t="shared" si="82"/>
        <v/>
      </c>
      <c r="Q77" s="122"/>
      <c r="R77" s="180"/>
      <c r="S77" s="121">
        <f t="shared" si="83"/>
        <v>0</v>
      </c>
      <c r="T77" s="181">
        <v>142</v>
      </c>
      <c r="U77" s="125">
        <f t="shared" si="84"/>
        <v>443.72160000000002</v>
      </c>
      <c r="V77" s="9" t="str">
        <f t="shared" si="11"/>
        <v/>
      </c>
      <c r="W77" s="9" t="str">
        <f t="shared" si="12"/>
        <v/>
      </c>
      <c r="X77" s="9"/>
      <c r="Y77" s="9"/>
      <c r="Z77" s="9"/>
      <c r="AA77" s="9"/>
    </row>
    <row r="78" spans="1:27" ht="13.5" customHeight="1" outlineLevel="1" x14ac:dyDescent="0.25">
      <c r="A78" s="371"/>
      <c r="B78" s="53" t="s">
        <v>70</v>
      </c>
      <c r="C78" s="54">
        <v>0.04</v>
      </c>
      <c r="D78" s="55">
        <v>9.5000000000000001E-2</v>
      </c>
      <c r="E78" s="56">
        <v>2.4</v>
      </c>
      <c r="F78" s="112">
        <f t="shared" si="74"/>
        <v>9.1199999999999996E-3</v>
      </c>
      <c r="G78" s="112">
        <f t="shared" si="75"/>
        <v>0.22799999999999998</v>
      </c>
      <c r="H78" s="177">
        <v>800</v>
      </c>
      <c r="I78" s="114">
        <f t="shared" si="76"/>
        <v>933</v>
      </c>
      <c r="J78" s="115">
        <f t="shared" si="77"/>
        <v>10.214399999999999</v>
      </c>
      <c r="K78" s="116">
        <f t="shared" si="78"/>
        <v>44.800000000000004</v>
      </c>
      <c r="L78" s="117">
        <f t="shared" si="79"/>
        <v>100</v>
      </c>
      <c r="M78" s="178">
        <f t="shared" si="80"/>
        <v>0.91199999999999992</v>
      </c>
      <c r="N78" s="119">
        <f t="shared" si="81"/>
        <v>22.799999999999997</v>
      </c>
      <c r="O78" s="195"/>
      <c r="P78" s="121" t="str">
        <f t="shared" si="82"/>
        <v/>
      </c>
      <c r="Q78" s="122"/>
      <c r="R78" s="180"/>
      <c r="S78" s="121">
        <f t="shared" si="83"/>
        <v>0</v>
      </c>
      <c r="T78" s="181">
        <v>100</v>
      </c>
      <c r="U78" s="125">
        <f t="shared" si="84"/>
        <v>1021.4399999999999</v>
      </c>
      <c r="V78" s="9" t="str">
        <f t="shared" si="11"/>
        <v/>
      </c>
      <c r="W78" s="9" t="str">
        <f t="shared" si="12"/>
        <v/>
      </c>
      <c r="X78" s="9"/>
      <c r="Y78" s="9"/>
      <c r="Z78" s="9"/>
      <c r="AA78" s="9"/>
    </row>
    <row r="79" spans="1:27" ht="13.5" customHeight="1" outlineLevel="1" x14ac:dyDescent="0.25">
      <c r="A79" s="371"/>
      <c r="B79" s="53" t="s">
        <v>69</v>
      </c>
      <c r="C79" s="54">
        <v>4.4999999999999998E-2</v>
      </c>
      <c r="D79" s="55">
        <v>4.4999999999999998E-2</v>
      </c>
      <c r="E79" s="56">
        <v>3.1</v>
      </c>
      <c r="F79" s="112">
        <f t="shared" si="74"/>
        <v>6.2775000000000001E-3</v>
      </c>
      <c r="G79" s="112">
        <f t="shared" si="75"/>
        <v>0.13949999999999999</v>
      </c>
      <c r="H79" s="177">
        <v>800</v>
      </c>
      <c r="I79" s="114">
        <f t="shared" si="76"/>
        <v>933</v>
      </c>
      <c r="J79" s="115">
        <f t="shared" si="77"/>
        <v>7.0308000000000002</v>
      </c>
      <c r="K79" s="116">
        <f t="shared" si="78"/>
        <v>50.400000000000006</v>
      </c>
      <c r="L79" s="117">
        <f t="shared" si="79"/>
        <v>42</v>
      </c>
      <c r="M79" s="178">
        <f t="shared" si="80"/>
        <v>0.26365500000000003</v>
      </c>
      <c r="N79" s="119">
        <f t="shared" si="81"/>
        <v>5.8589999999999991</v>
      </c>
      <c r="O79" s="195"/>
      <c r="P79" s="121" t="str">
        <f t="shared" si="82"/>
        <v/>
      </c>
      <c r="Q79" s="122"/>
      <c r="R79" s="180"/>
      <c r="S79" s="121">
        <f t="shared" si="83"/>
        <v>0</v>
      </c>
      <c r="T79" s="181">
        <v>42</v>
      </c>
      <c r="U79" s="125">
        <f t="shared" si="84"/>
        <v>295.29360000000003</v>
      </c>
      <c r="V79" s="9" t="str">
        <f t="shared" si="11"/>
        <v/>
      </c>
      <c r="W79" s="9" t="str">
        <f t="shared" si="12"/>
        <v/>
      </c>
      <c r="X79" s="9"/>
      <c r="Y79" s="9"/>
      <c r="Z79" s="9"/>
      <c r="AA79" s="9"/>
    </row>
    <row r="80" spans="1:27" ht="13.5" customHeight="1" outlineLevel="1" x14ac:dyDescent="0.25">
      <c r="A80" s="371"/>
      <c r="B80" s="53" t="s">
        <v>69</v>
      </c>
      <c r="C80" s="54">
        <v>4.4999999999999998E-2</v>
      </c>
      <c r="D80" s="55">
        <v>9.5000000000000001E-2</v>
      </c>
      <c r="E80" s="56">
        <v>3.1</v>
      </c>
      <c r="F80" s="112">
        <f t="shared" si="74"/>
        <v>1.32525E-2</v>
      </c>
      <c r="G80" s="112">
        <f t="shared" si="75"/>
        <v>0.29450000000000004</v>
      </c>
      <c r="H80" s="177">
        <v>800</v>
      </c>
      <c r="I80" s="114">
        <f t="shared" si="76"/>
        <v>933</v>
      </c>
      <c r="J80" s="115">
        <f t="shared" si="77"/>
        <v>14.8428</v>
      </c>
      <c r="K80" s="116">
        <f t="shared" si="78"/>
        <v>50.399999999999991</v>
      </c>
      <c r="L80" s="117">
        <f t="shared" si="79"/>
        <v>113</v>
      </c>
      <c r="M80" s="178">
        <f t="shared" si="80"/>
        <v>1.4975325000000002</v>
      </c>
      <c r="N80" s="119">
        <f t="shared" si="81"/>
        <v>33.278500000000001</v>
      </c>
      <c r="O80" s="195"/>
      <c r="P80" s="121" t="str">
        <f t="shared" si="82"/>
        <v/>
      </c>
      <c r="Q80" s="122"/>
      <c r="R80" s="180"/>
      <c r="S80" s="121">
        <f t="shared" si="83"/>
        <v>0</v>
      </c>
      <c r="T80" s="181">
        <v>113</v>
      </c>
      <c r="U80" s="125">
        <f t="shared" si="84"/>
        <v>1677.2364</v>
      </c>
      <c r="V80" s="9" t="str">
        <f t="shared" si="11"/>
        <v/>
      </c>
      <c r="W80" s="9" t="str">
        <f t="shared" si="12"/>
        <v/>
      </c>
      <c r="X80" s="9"/>
      <c r="Y80" s="9"/>
      <c r="Z80" s="9"/>
      <c r="AA80" s="9"/>
    </row>
    <row r="81" spans="1:27" ht="13.5" customHeight="1" outlineLevel="1" x14ac:dyDescent="0.25">
      <c r="A81" s="371"/>
      <c r="B81" s="53" t="s">
        <v>69</v>
      </c>
      <c r="C81" s="54">
        <v>4.4999999999999998E-2</v>
      </c>
      <c r="D81" s="55">
        <v>0.15</v>
      </c>
      <c r="E81" s="56">
        <v>3.1</v>
      </c>
      <c r="F81" s="112">
        <f t="shared" si="74"/>
        <v>2.0924999999999999E-2</v>
      </c>
      <c r="G81" s="112">
        <f t="shared" si="75"/>
        <v>0.46499999999999997</v>
      </c>
      <c r="H81" s="177">
        <v>800</v>
      </c>
      <c r="I81" s="114">
        <f t="shared" si="76"/>
        <v>933</v>
      </c>
      <c r="J81" s="115">
        <f t="shared" si="77"/>
        <v>23.436</v>
      </c>
      <c r="K81" s="116">
        <f t="shared" si="78"/>
        <v>50.400000000000006</v>
      </c>
      <c r="L81" s="117">
        <f t="shared" si="79"/>
        <v>33</v>
      </c>
      <c r="M81" s="178">
        <f t="shared" si="80"/>
        <v>0.69052499999999994</v>
      </c>
      <c r="N81" s="119">
        <f t="shared" si="81"/>
        <v>15.344999999999999</v>
      </c>
      <c r="O81" s="182"/>
      <c r="P81" s="121" t="str">
        <f t="shared" si="82"/>
        <v/>
      </c>
      <c r="Q81" s="122"/>
      <c r="R81" s="180"/>
      <c r="S81" s="121">
        <f t="shared" si="83"/>
        <v>0</v>
      </c>
      <c r="T81" s="181">
        <v>33</v>
      </c>
      <c r="U81" s="125">
        <f t="shared" si="84"/>
        <v>773.38800000000003</v>
      </c>
      <c r="V81" s="9" t="str">
        <f t="shared" si="11"/>
        <v/>
      </c>
      <c r="W81" s="9" t="str">
        <f t="shared" si="12"/>
        <v/>
      </c>
      <c r="X81" s="9"/>
      <c r="Y81" s="9"/>
      <c r="Z81" s="9"/>
      <c r="AA81" s="9"/>
    </row>
    <row r="82" spans="1:27" ht="13.5" customHeight="1" x14ac:dyDescent="0.25">
      <c r="A82" s="371"/>
      <c r="B82" s="148" t="s">
        <v>56</v>
      </c>
      <c r="C82" s="149"/>
      <c r="D82" s="150"/>
      <c r="E82" s="149" t="s">
        <v>34</v>
      </c>
      <c r="F82" s="151"/>
      <c r="G82" s="151"/>
      <c r="H82" s="152">
        <f t="shared" ref="H82:I82" si="85">AVERAGE(H75:H81)</f>
        <v>800</v>
      </c>
      <c r="I82" s="153">
        <f t="shared" si="85"/>
        <v>933</v>
      </c>
      <c r="J82" s="154"/>
      <c r="K82" s="152">
        <f>AVERAGE(K75:K81)</f>
        <v>37.280000000000008</v>
      </c>
      <c r="L82" s="155"/>
      <c r="M82" s="156">
        <f>SUM(M75:M81)</f>
        <v>5.3497443000000002</v>
      </c>
      <c r="N82" s="156"/>
      <c r="O82" s="157"/>
      <c r="P82" s="158">
        <f t="shared" ref="P82:Q82" si="86">SUM(P75:P81)</f>
        <v>0</v>
      </c>
      <c r="Q82" s="159">
        <f t="shared" si="86"/>
        <v>0</v>
      </c>
      <c r="R82" s="190"/>
      <c r="S82" s="161">
        <f>SUM(S75:S81)</f>
        <v>0</v>
      </c>
      <c r="T82" s="162"/>
      <c r="U82" s="163">
        <f>SUM(U75:U81)</f>
        <v>5991.713616</v>
      </c>
      <c r="V82" s="9" t="str">
        <f t="shared" si="11"/>
        <v/>
      </c>
      <c r="W82" s="9" t="str">
        <f t="shared" si="12"/>
        <v/>
      </c>
      <c r="X82" s="9"/>
      <c r="Y82" s="9"/>
      <c r="Z82" s="9"/>
      <c r="AA82" s="9"/>
    </row>
    <row r="83" spans="1:27" ht="13.5" customHeight="1" x14ac:dyDescent="0.25">
      <c r="A83" s="371"/>
      <c r="B83" s="164" t="s">
        <v>71</v>
      </c>
      <c r="C83" s="164"/>
      <c r="D83" s="164"/>
      <c r="E83" s="164"/>
      <c r="F83" s="164"/>
      <c r="G83" s="164"/>
      <c r="H83" s="164"/>
      <c r="I83" s="167"/>
      <c r="J83" s="168"/>
      <c r="K83" s="164"/>
      <c r="L83" s="164"/>
      <c r="M83" s="164"/>
      <c r="N83" s="169"/>
      <c r="O83" s="188"/>
      <c r="P83" s="164"/>
      <c r="Q83" s="189"/>
      <c r="R83" s="173"/>
      <c r="S83" s="164"/>
      <c r="T83" s="164"/>
      <c r="U83" s="174"/>
      <c r="V83" s="9" t="str">
        <f t="shared" si="11"/>
        <v/>
      </c>
      <c r="W83" s="9" t="str">
        <f t="shared" si="12"/>
        <v/>
      </c>
      <c r="X83" s="9"/>
      <c r="Y83" s="9"/>
      <c r="Z83" s="9"/>
      <c r="AA83" s="9"/>
    </row>
    <row r="84" spans="1:27" ht="13.5" customHeight="1" outlineLevel="1" x14ac:dyDescent="0.25">
      <c r="A84" s="371"/>
      <c r="B84" s="53" t="s">
        <v>72</v>
      </c>
      <c r="C84" s="54">
        <v>4.4999999999999998E-2</v>
      </c>
      <c r="D84" s="55">
        <v>4.4999999999999998E-2</v>
      </c>
      <c r="E84" s="183">
        <v>6</v>
      </c>
      <c r="F84" s="112">
        <f t="shared" ref="F84:F85" si="87">C84*D84*E84</f>
        <v>1.2149999999999999E-2</v>
      </c>
      <c r="G84" s="112">
        <f t="shared" ref="G84:G85" si="88">D84*E84</f>
        <v>0.27</v>
      </c>
      <c r="H84" s="177">
        <v>403.13</v>
      </c>
      <c r="I84" s="114">
        <f>ROUND(H84*1.125,0)</f>
        <v>454</v>
      </c>
      <c r="J84" s="115">
        <f t="shared" ref="J84:J85" si="89">ROUND((I84*0.992)*1.21,0)*(C84*D84*E84)</f>
        <v>6.6217499999999996</v>
      </c>
      <c r="K84" s="116">
        <f t="shared" ref="K84:K85" si="90">J84/(D84*E84)</f>
        <v>24.524999999999999</v>
      </c>
      <c r="L84" s="117">
        <v>312</v>
      </c>
      <c r="M84" s="178">
        <f t="shared" ref="M84:M85" si="91">L84*F84</f>
        <v>3.7907999999999999</v>
      </c>
      <c r="N84" s="119">
        <f t="shared" ref="N84:N85" si="92">L84*G84</f>
        <v>84.240000000000009</v>
      </c>
      <c r="O84" s="179"/>
      <c r="P84" s="121" t="str">
        <f t="shared" ref="P84:P85" si="93">IF(O84="","",(O84*F84))</f>
        <v/>
      </c>
      <c r="Q84" s="122"/>
      <c r="R84" s="180"/>
      <c r="S84" s="121">
        <f t="shared" ref="S84:S85" si="94">R84*F84</f>
        <v>0</v>
      </c>
      <c r="T84" s="181">
        <v>314</v>
      </c>
      <c r="U84" s="125">
        <f t="shared" ref="U84:U85" si="95">J84*L84</f>
        <v>2065.9859999999999</v>
      </c>
      <c r="V84" s="9" t="str">
        <f t="shared" si="11"/>
        <v/>
      </c>
      <c r="W84" s="9" t="str">
        <f t="shared" si="12"/>
        <v/>
      </c>
      <c r="X84" s="9"/>
      <c r="Y84" s="9"/>
      <c r="Z84" s="9"/>
      <c r="AA84" s="9"/>
    </row>
    <row r="85" spans="1:27" ht="13.5" customHeight="1" outlineLevel="1" x14ac:dyDescent="0.25">
      <c r="A85" s="371"/>
      <c r="B85" s="53" t="s">
        <v>72</v>
      </c>
      <c r="C85" s="54">
        <v>9.5000000000000001E-2</v>
      </c>
      <c r="D85" s="55">
        <v>9.5000000000000001E-2</v>
      </c>
      <c r="E85" s="183">
        <v>2.4</v>
      </c>
      <c r="F85" s="112">
        <f t="shared" si="87"/>
        <v>2.1659999999999999E-2</v>
      </c>
      <c r="G85" s="112">
        <f t="shared" si="88"/>
        <v>0.22799999999999998</v>
      </c>
      <c r="H85" s="177">
        <v>369.23</v>
      </c>
      <c r="I85" s="114">
        <f>ROUND(H85*0.9546,0)</f>
        <v>352</v>
      </c>
      <c r="J85" s="115">
        <f t="shared" si="89"/>
        <v>9.1621799999999993</v>
      </c>
      <c r="K85" s="116">
        <f t="shared" si="90"/>
        <v>40.185000000000002</v>
      </c>
      <c r="L85" s="117">
        <f>T85+R85-O85</f>
        <v>69</v>
      </c>
      <c r="M85" s="178">
        <f t="shared" si="91"/>
        <v>1.49454</v>
      </c>
      <c r="N85" s="119">
        <f t="shared" si="92"/>
        <v>15.731999999999999</v>
      </c>
      <c r="O85" s="182"/>
      <c r="P85" s="121" t="str">
        <f t="shared" si="93"/>
        <v/>
      </c>
      <c r="Q85" s="122"/>
      <c r="R85" s="180"/>
      <c r="S85" s="121">
        <f t="shared" si="94"/>
        <v>0</v>
      </c>
      <c r="T85" s="181">
        <v>69</v>
      </c>
      <c r="U85" s="125">
        <f t="shared" si="95"/>
        <v>632.1904199999999</v>
      </c>
      <c r="V85" s="9" t="str">
        <f t="shared" si="11"/>
        <v/>
      </c>
      <c r="W85" s="9" t="str">
        <f t="shared" si="12"/>
        <v/>
      </c>
      <c r="X85" s="9"/>
      <c r="Y85" s="9"/>
      <c r="Z85" s="9"/>
      <c r="AA85" s="9"/>
    </row>
    <row r="86" spans="1:27" ht="13.5" customHeight="1" x14ac:dyDescent="0.25">
      <c r="A86" s="371"/>
      <c r="B86" s="148" t="s">
        <v>56</v>
      </c>
      <c r="C86" s="149"/>
      <c r="D86" s="150"/>
      <c r="E86" s="149"/>
      <c r="F86" s="151"/>
      <c r="G86" s="151"/>
      <c r="H86" s="152">
        <f t="shared" ref="H86:I86" si="96">AVERAGE(H84:H85)</f>
        <v>386.18</v>
      </c>
      <c r="I86" s="153">
        <f t="shared" si="96"/>
        <v>403</v>
      </c>
      <c r="J86" s="154"/>
      <c r="K86" s="152">
        <f>AVERAGE(K84:K85)</f>
        <v>32.355000000000004</v>
      </c>
      <c r="L86" s="155"/>
      <c r="M86" s="196">
        <f>SUM(M84+M85)</f>
        <v>5.2853399999999997</v>
      </c>
      <c r="N86" s="156"/>
      <c r="O86" s="157"/>
      <c r="P86" s="158" t="e">
        <f t="shared" ref="P86:Q86" si="97">SUM(P84+P85)</f>
        <v>#VALUE!</v>
      </c>
      <c r="Q86" s="154">
        <f t="shared" si="97"/>
        <v>0</v>
      </c>
      <c r="R86" s="190"/>
      <c r="S86" s="161">
        <f>SUM(S84+S85)</f>
        <v>0</v>
      </c>
      <c r="T86" s="162"/>
      <c r="U86" s="163">
        <f>SUM(U84:U85)</f>
        <v>2698.1764199999998</v>
      </c>
      <c r="V86" s="9" t="str">
        <f t="shared" si="11"/>
        <v/>
      </c>
      <c r="W86" s="9" t="str">
        <f t="shared" si="12"/>
        <v/>
      </c>
      <c r="X86" s="9"/>
      <c r="Y86" s="9"/>
      <c r="Z86" s="9"/>
      <c r="AA86" s="9"/>
    </row>
    <row r="87" spans="1:27" ht="13.5" customHeight="1" x14ac:dyDescent="0.25">
      <c r="A87" s="371"/>
      <c r="B87" s="164" t="s">
        <v>73</v>
      </c>
      <c r="C87" s="164"/>
      <c r="D87" s="164"/>
      <c r="E87" s="164"/>
      <c r="F87" s="164"/>
      <c r="G87" s="164"/>
      <c r="H87" s="164"/>
      <c r="I87" s="167"/>
      <c r="J87" s="168"/>
      <c r="K87" s="164"/>
      <c r="L87" s="164"/>
      <c r="M87" s="164"/>
      <c r="N87" s="169"/>
      <c r="O87" s="188"/>
      <c r="P87" s="164"/>
      <c r="Q87" s="189"/>
      <c r="R87" s="173"/>
      <c r="S87" s="164"/>
      <c r="T87" s="164"/>
      <c r="U87" s="174"/>
      <c r="V87" s="9" t="str">
        <f t="shared" si="11"/>
        <v/>
      </c>
      <c r="W87" s="9" t="str">
        <f t="shared" si="12"/>
        <v/>
      </c>
      <c r="X87" s="9"/>
      <c r="Y87" s="9"/>
      <c r="Z87" s="9"/>
      <c r="AA87" s="9"/>
    </row>
    <row r="88" spans="1:27" ht="13.5" customHeight="1" outlineLevel="1" x14ac:dyDescent="0.25">
      <c r="A88" s="371"/>
      <c r="B88" s="53" t="s">
        <v>74</v>
      </c>
      <c r="C88" s="175">
        <v>0.01</v>
      </c>
      <c r="D88" s="176">
        <v>0.02</v>
      </c>
      <c r="E88" s="121">
        <v>1.6</v>
      </c>
      <c r="F88" s="112">
        <f>C88*D88*E88</f>
        <v>3.2000000000000003E-4</v>
      </c>
      <c r="G88" s="112">
        <f>D88*E88</f>
        <v>3.2000000000000001E-2</v>
      </c>
      <c r="H88" s="177">
        <v>571.20000000000005</v>
      </c>
      <c r="I88" s="114">
        <f>ROUND(H88*1.35,0)</f>
        <v>771</v>
      </c>
      <c r="J88" s="115">
        <f>ROUND((I88*0.992)*1.21,0)*(C88*D88*E88)</f>
        <v>0.29600000000000004</v>
      </c>
      <c r="K88" s="116">
        <f>J88/(D88*E88)</f>
        <v>9.2500000000000018</v>
      </c>
      <c r="L88" s="117">
        <f>T88+R88-O88</f>
        <v>568</v>
      </c>
      <c r="M88" s="178">
        <f>L88*F88</f>
        <v>0.18176</v>
      </c>
      <c r="N88" s="119">
        <f>L88*G88</f>
        <v>18.176000000000002</v>
      </c>
      <c r="O88" s="182"/>
      <c r="P88" s="121" t="str">
        <f>IF(O88="","",(O88*F88))</f>
        <v/>
      </c>
      <c r="Q88" s="122"/>
      <c r="R88" s="180"/>
      <c r="S88" s="121">
        <f>R88*F88</f>
        <v>0</v>
      </c>
      <c r="T88" s="181">
        <v>568</v>
      </c>
      <c r="U88" s="125">
        <f>J88*L88</f>
        <v>168.12800000000001</v>
      </c>
      <c r="V88" s="9" t="str">
        <f t="shared" si="11"/>
        <v/>
      </c>
      <c r="W88" s="9" t="str">
        <f t="shared" si="12"/>
        <v/>
      </c>
      <c r="X88" s="9"/>
      <c r="Y88" s="9"/>
      <c r="Z88" s="9"/>
      <c r="AA88" s="9"/>
    </row>
    <row r="89" spans="1:27" ht="13.5" customHeight="1" x14ac:dyDescent="0.25">
      <c r="A89" s="371"/>
      <c r="B89" s="148" t="s">
        <v>56</v>
      </c>
      <c r="C89" s="149"/>
      <c r="D89" s="150"/>
      <c r="E89" s="149"/>
      <c r="F89" s="151"/>
      <c r="G89" s="151"/>
      <c r="H89" s="152">
        <f t="shared" ref="H89:I89" si="98">AVERAGE(H88)</f>
        <v>571.20000000000005</v>
      </c>
      <c r="I89" s="153">
        <f t="shared" si="98"/>
        <v>771</v>
      </c>
      <c r="J89" s="154"/>
      <c r="K89" s="152">
        <f>AVERAGE(K88)</f>
        <v>9.2500000000000018</v>
      </c>
      <c r="L89" s="155"/>
      <c r="M89" s="156">
        <f>SUM(M88)</f>
        <v>0.18176</v>
      </c>
      <c r="N89" s="156"/>
      <c r="O89" s="157"/>
      <c r="P89" s="158">
        <f t="shared" ref="P89:Q89" si="99">SUM(P88)</f>
        <v>0</v>
      </c>
      <c r="Q89" s="159">
        <f t="shared" si="99"/>
        <v>0</v>
      </c>
      <c r="R89" s="190"/>
      <c r="S89" s="161">
        <f>SUM(S88)</f>
        <v>0</v>
      </c>
      <c r="T89" s="162"/>
      <c r="U89" s="163">
        <f>SUM(U88)</f>
        <v>168.12800000000001</v>
      </c>
      <c r="V89" s="9" t="str">
        <f t="shared" si="11"/>
        <v/>
      </c>
      <c r="W89" s="9" t="str">
        <f t="shared" si="12"/>
        <v/>
      </c>
      <c r="X89" s="9"/>
      <c r="Y89" s="9"/>
      <c r="Z89" s="9"/>
      <c r="AA89" s="9"/>
    </row>
    <row r="90" spans="1:27" ht="13.5" customHeight="1" x14ac:dyDescent="0.25">
      <c r="A90" s="371"/>
      <c r="B90" s="164" t="s">
        <v>75</v>
      </c>
      <c r="C90" s="164"/>
      <c r="D90" s="164"/>
      <c r="E90" s="164"/>
      <c r="F90" s="164"/>
      <c r="G90" s="164"/>
      <c r="H90" s="164"/>
      <c r="I90" s="167"/>
      <c r="J90" s="168"/>
      <c r="K90" s="164"/>
      <c r="L90" s="164"/>
      <c r="M90" s="164"/>
      <c r="N90" s="169"/>
      <c r="O90" s="188"/>
      <c r="P90" s="164"/>
      <c r="Q90" s="189"/>
      <c r="R90" s="173"/>
      <c r="S90" s="164"/>
      <c r="T90" s="164"/>
      <c r="U90" s="174"/>
      <c r="V90" s="9" t="str">
        <f t="shared" si="11"/>
        <v/>
      </c>
      <c r="W90" s="9" t="str">
        <f t="shared" si="12"/>
        <v/>
      </c>
      <c r="X90" s="9"/>
      <c r="Y90" s="9"/>
      <c r="Z90" s="9"/>
      <c r="AA90" s="9"/>
    </row>
    <row r="91" spans="1:27" ht="13.5" customHeight="1" outlineLevel="1" x14ac:dyDescent="0.25">
      <c r="A91" s="371"/>
      <c r="B91" s="53" t="s">
        <v>76</v>
      </c>
      <c r="C91" s="53">
        <v>0.9</v>
      </c>
      <c r="D91" s="56">
        <v>0.36</v>
      </c>
      <c r="E91" s="183">
        <v>1.04</v>
      </c>
      <c r="F91" s="372"/>
      <c r="G91" s="361"/>
      <c r="H91" s="361"/>
      <c r="I91" s="359"/>
      <c r="J91" s="197">
        <v>66.55</v>
      </c>
      <c r="K91" s="53"/>
      <c r="L91" s="117">
        <f t="shared" ref="L91:L98" si="100">T91+R91-O91</f>
        <v>1</v>
      </c>
      <c r="M91" s="198"/>
      <c r="N91" s="199"/>
      <c r="O91" s="200"/>
      <c r="P91" s="198"/>
      <c r="Q91" s="122"/>
      <c r="R91" s="201"/>
      <c r="S91" s="56"/>
      <c r="T91" s="124">
        <v>1</v>
      </c>
      <c r="U91" s="125">
        <f t="shared" ref="U91:U98" si="101">J91*L91</f>
        <v>66.55</v>
      </c>
      <c r="V91" s="9" t="str">
        <f t="shared" si="11"/>
        <v/>
      </c>
      <c r="W91" s="9" t="str">
        <f t="shared" si="12"/>
        <v/>
      </c>
      <c r="X91" s="9"/>
      <c r="Y91" s="9"/>
      <c r="Z91" s="9"/>
      <c r="AA91" s="9"/>
    </row>
    <row r="92" spans="1:27" ht="13.5" customHeight="1" outlineLevel="1" x14ac:dyDescent="0.25">
      <c r="A92" s="371"/>
      <c r="B92" s="53" t="s">
        <v>77</v>
      </c>
      <c r="C92" s="53">
        <v>0.35</v>
      </c>
      <c r="D92" s="56">
        <v>0.35</v>
      </c>
      <c r="E92" s="183">
        <v>1</v>
      </c>
      <c r="F92" s="372"/>
      <c r="G92" s="361"/>
      <c r="H92" s="361"/>
      <c r="I92" s="359"/>
      <c r="J92" s="197">
        <v>42.35</v>
      </c>
      <c r="K92" s="53"/>
      <c r="L92" s="117">
        <f t="shared" si="100"/>
        <v>1</v>
      </c>
      <c r="M92" s="198"/>
      <c r="N92" s="199"/>
      <c r="O92" s="200"/>
      <c r="P92" s="198"/>
      <c r="Q92" s="122"/>
      <c r="R92" s="201"/>
      <c r="S92" s="56"/>
      <c r="T92" s="124">
        <v>1</v>
      </c>
      <c r="U92" s="125">
        <f t="shared" si="101"/>
        <v>42.35</v>
      </c>
      <c r="V92" s="9" t="str">
        <f t="shared" si="11"/>
        <v/>
      </c>
      <c r="W92" s="9" t="str">
        <f t="shared" si="12"/>
        <v/>
      </c>
      <c r="X92" s="9"/>
      <c r="Y92" s="9"/>
      <c r="Z92" s="9"/>
      <c r="AA92" s="9"/>
    </row>
    <row r="93" spans="1:27" ht="13.5" customHeight="1" outlineLevel="1" x14ac:dyDescent="0.25">
      <c r="A93" s="371"/>
      <c r="B93" s="53" t="s">
        <v>78</v>
      </c>
      <c r="C93" s="53">
        <v>0.38</v>
      </c>
      <c r="D93" s="56">
        <v>0.38</v>
      </c>
      <c r="E93" s="183">
        <v>0.4</v>
      </c>
      <c r="F93" s="372"/>
      <c r="G93" s="361"/>
      <c r="H93" s="361"/>
      <c r="I93" s="359"/>
      <c r="J93" s="197">
        <v>36.299999999999997</v>
      </c>
      <c r="K93" s="53"/>
      <c r="L93" s="117">
        <f t="shared" si="100"/>
        <v>1</v>
      </c>
      <c r="M93" s="198"/>
      <c r="N93" s="199"/>
      <c r="O93" s="200"/>
      <c r="P93" s="198"/>
      <c r="Q93" s="122"/>
      <c r="R93" s="201"/>
      <c r="S93" s="56"/>
      <c r="T93" s="124">
        <v>1</v>
      </c>
      <c r="U93" s="125">
        <f t="shared" si="101"/>
        <v>36.299999999999997</v>
      </c>
      <c r="V93" s="9" t="str">
        <f t="shared" si="11"/>
        <v/>
      </c>
      <c r="W93" s="9" t="str">
        <f t="shared" si="12"/>
        <v/>
      </c>
      <c r="X93" s="9"/>
      <c r="Y93" s="9"/>
      <c r="Z93" s="9"/>
      <c r="AA93" s="9"/>
    </row>
    <row r="94" spans="1:27" ht="13.5" customHeight="1" outlineLevel="1" x14ac:dyDescent="0.25">
      <c r="A94" s="371"/>
      <c r="B94" s="53" t="s">
        <v>79</v>
      </c>
      <c r="C94" s="53">
        <v>0.9</v>
      </c>
      <c r="D94" s="56">
        <v>0.59</v>
      </c>
      <c r="E94" s="183">
        <v>1.2</v>
      </c>
      <c r="F94" s="372"/>
      <c r="G94" s="361"/>
      <c r="H94" s="361"/>
      <c r="I94" s="359"/>
      <c r="J94" s="197">
        <v>72.599999999999994</v>
      </c>
      <c r="K94" s="53"/>
      <c r="L94" s="117">
        <f t="shared" si="100"/>
        <v>1</v>
      </c>
      <c r="M94" s="198"/>
      <c r="N94" s="199"/>
      <c r="O94" s="200"/>
      <c r="P94" s="198"/>
      <c r="Q94" s="122"/>
      <c r="R94" s="201"/>
      <c r="S94" s="56"/>
      <c r="T94" s="124">
        <v>1</v>
      </c>
      <c r="U94" s="125">
        <f t="shared" si="101"/>
        <v>72.599999999999994</v>
      </c>
      <c r="V94" s="9" t="str">
        <f t="shared" si="11"/>
        <v/>
      </c>
      <c r="W94" s="9" t="str">
        <f t="shared" si="12"/>
        <v/>
      </c>
      <c r="X94" s="9"/>
      <c r="Y94" s="9"/>
      <c r="Z94" s="9"/>
      <c r="AA94" s="9"/>
    </row>
    <row r="95" spans="1:27" ht="13.5" customHeight="1" outlineLevel="1" x14ac:dyDescent="0.25">
      <c r="A95" s="371"/>
      <c r="B95" s="53" t="s">
        <v>80</v>
      </c>
      <c r="C95" s="53">
        <v>0.96</v>
      </c>
      <c r="D95" s="56">
        <v>0.8</v>
      </c>
      <c r="E95" s="183">
        <v>1.7</v>
      </c>
      <c r="F95" s="372"/>
      <c r="G95" s="361"/>
      <c r="H95" s="361"/>
      <c r="I95" s="359"/>
      <c r="J95" s="202">
        <v>170</v>
      </c>
      <c r="K95" s="53"/>
      <c r="L95" s="117">
        <f t="shared" si="100"/>
        <v>1</v>
      </c>
      <c r="M95" s="198"/>
      <c r="N95" s="199"/>
      <c r="O95" s="200"/>
      <c r="P95" s="198"/>
      <c r="Q95" s="122"/>
      <c r="R95" s="201"/>
      <c r="S95" s="56"/>
      <c r="T95" s="124">
        <v>1</v>
      </c>
      <c r="U95" s="125">
        <f t="shared" si="101"/>
        <v>170</v>
      </c>
      <c r="V95" s="9" t="str">
        <f t="shared" si="11"/>
        <v/>
      </c>
      <c r="W95" s="9" t="str">
        <f t="shared" si="12"/>
        <v/>
      </c>
      <c r="X95" s="9"/>
      <c r="Y95" s="9"/>
      <c r="Z95" s="9"/>
      <c r="AA95" s="9"/>
    </row>
    <row r="96" spans="1:27" ht="13.5" customHeight="1" outlineLevel="1" x14ac:dyDescent="0.25">
      <c r="A96" s="371"/>
      <c r="B96" s="53" t="s">
        <v>81</v>
      </c>
      <c r="C96" s="53">
        <v>0.96</v>
      </c>
      <c r="D96" s="56">
        <v>0.8</v>
      </c>
      <c r="E96" s="183">
        <v>1.7</v>
      </c>
      <c r="F96" s="372"/>
      <c r="G96" s="361"/>
      <c r="H96" s="361"/>
      <c r="I96" s="359"/>
      <c r="J96" s="202">
        <v>150</v>
      </c>
      <c r="K96" s="53"/>
      <c r="L96" s="117">
        <f t="shared" si="100"/>
        <v>1</v>
      </c>
      <c r="M96" s="198"/>
      <c r="N96" s="199"/>
      <c r="O96" s="200"/>
      <c r="P96" s="198"/>
      <c r="Q96" s="122"/>
      <c r="R96" s="201"/>
      <c r="S96" s="56"/>
      <c r="T96" s="124">
        <v>1</v>
      </c>
      <c r="U96" s="125">
        <f t="shared" si="101"/>
        <v>150</v>
      </c>
      <c r="V96" s="9" t="str">
        <f t="shared" si="11"/>
        <v/>
      </c>
      <c r="W96" s="9" t="str">
        <f t="shared" si="12"/>
        <v/>
      </c>
      <c r="X96" s="9"/>
      <c r="Y96" s="9"/>
      <c r="Z96" s="9"/>
      <c r="AA96" s="9"/>
    </row>
    <row r="97" spans="1:27" ht="13.5" customHeight="1" outlineLevel="1" x14ac:dyDescent="0.25">
      <c r="A97" s="371"/>
      <c r="B97" s="53" t="s">
        <v>82</v>
      </c>
      <c r="C97" s="53">
        <v>0.96</v>
      </c>
      <c r="D97" s="56">
        <v>0.8</v>
      </c>
      <c r="E97" s="183">
        <v>1.7</v>
      </c>
      <c r="F97" s="372"/>
      <c r="G97" s="361"/>
      <c r="H97" s="361"/>
      <c r="I97" s="359"/>
      <c r="J97" s="202">
        <v>150</v>
      </c>
      <c r="K97" s="53"/>
      <c r="L97" s="117">
        <f t="shared" si="100"/>
        <v>1</v>
      </c>
      <c r="M97" s="198"/>
      <c r="N97" s="199"/>
      <c r="O97" s="200"/>
      <c r="P97" s="198"/>
      <c r="Q97" s="122"/>
      <c r="R97" s="201"/>
      <c r="S97" s="56"/>
      <c r="T97" s="124">
        <v>1</v>
      </c>
      <c r="U97" s="125">
        <f t="shared" si="101"/>
        <v>150</v>
      </c>
      <c r="V97" s="9" t="str">
        <f t="shared" si="11"/>
        <v/>
      </c>
      <c r="W97" s="9" t="str">
        <f t="shared" si="12"/>
        <v/>
      </c>
      <c r="X97" s="9"/>
      <c r="Y97" s="9"/>
      <c r="Z97" s="9"/>
      <c r="AA97" s="9"/>
    </row>
    <row r="98" spans="1:27" ht="13.5" customHeight="1" outlineLevel="1" x14ac:dyDescent="0.25">
      <c r="A98" s="371"/>
      <c r="B98" s="186" t="s">
        <v>83</v>
      </c>
      <c r="C98" s="186">
        <v>0.14000000000000001</v>
      </c>
      <c r="D98" s="140">
        <v>0.35</v>
      </c>
      <c r="E98" s="203">
        <v>0.91</v>
      </c>
      <c r="F98" s="373"/>
      <c r="G98" s="374"/>
      <c r="H98" s="374"/>
      <c r="I98" s="375"/>
      <c r="J98" s="204"/>
      <c r="K98" s="186"/>
      <c r="L98" s="117">
        <f t="shared" si="100"/>
        <v>1</v>
      </c>
      <c r="M98" s="205"/>
      <c r="N98" s="206"/>
      <c r="O98" s="207"/>
      <c r="P98" s="205"/>
      <c r="Q98" s="122"/>
      <c r="R98" s="208"/>
      <c r="S98" s="140"/>
      <c r="T98" s="124">
        <v>1</v>
      </c>
      <c r="U98" s="125">
        <f t="shared" si="101"/>
        <v>0</v>
      </c>
      <c r="V98" s="9" t="str">
        <f t="shared" si="11"/>
        <v/>
      </c>
      <c r="W98" s="9" t="str">
        <f t="shared" si="12"/>
        <v/>
      </c>
      <c r="X98" s="9"/>
      <c r="Y98" s="9"/>
      <c r="Z98" s="9"/>
      <c r="AA98" s="9"/>
    </row>
    <row r="99" spans="1:27" ht="15" customHeight="1" x14ac:dyDescent="0.25">
      <c r="A99" s="371"/>
      <c r="B99" s="149" t="s">
        <v>56</v>
      </c>
      <c r="C99" s="209"/>
      <c r="D99" s="209"/>
      <c r="E99" s="209"/>
      <c r="F99" s="209"/>
      <c r="G99" s="209"/>
      <c r="H99" s="209"/>
      <c r="I99" s="210"/>
      <c r="J99" s="211"/>
      <c r="K99" s="149"/>
      <c r="L99" s="155"/>
      <c r="M99" s="156"/>
      <c r="N99" s="212"/>
      <c r="O99" s="211"/>
      <c r="P99" s="158"/>
      <c r="Q99" s="159">
        <f>SUM(Q91:Q98)</f>
        <v>0</v>
      </c>
      <c r="R99" s="190"/>
      <c r="S99" s="161">
        <f>SUM(S91:S98)</f>
        <v>0</v>
      </c>
      <c r="T99" s="162"/>
      <c r="U99" s="163">
        <f>SUM(U91:U98)</f>
        <v>687.8</v>
      </c>
      <c r="V99" s="9" t="str">
        <f t="shared" si="11"/>
        <v/>
      </c>
      <c r="W99" s="9" t="str">
        <f t="shared" si="12"/>
        <v/>
      </c>
      <c r="X99" s="9"/>
      <c r="Y99" s="9"/>
      <c r="Z99" s="9"/>
      <c r="AA99" s="9"/>
    </row>
    <row r="100" spans="1:27" ht="15" customHeight="1" x14ac:dyDescent="0.25">
      <c r="A100" s="332"/>
      <c r="B100" s="213" t="s">
        <v>84</v>
      </c>
      <c r="C100" s="214"/>
      <c r="D100" s="214"/>
      <c r="E100" s="214"/>
      <c r="F100" s="214"/>
      <c r="G100" s="214"/>
      <c r="H100" s="215">
        <f t="shared" ref="H100:I100" si="102">AVERAGE(H29:H58:H64:H68:H73:H82:H86:H89)</f>
        <v>489.07377046098117</v>
      </c>
      <c r="I100" s="216">
        <f t="shared" si="102"/>
        <v>489.07377046098117</v>
      </c>
      <c r="J100" s="217"/>
      <c r="K100" s="215">
        <f>AVERAGE(K29:K58:K64:K68:K73:K82:K86:K89)</f>
        <v>16.39174708504801</v>
      </c>
      <c r="L100" s="218"/>
      <c r="M100" s="214">
        <f>SUM(M29+M58+M64+M68+M73+M82+M86+M89)</f>
        <v>166.92146839999995</v>
      </c>
      <c r="N100" s="219"/>
      <c r="O100" s="220"/>
      <c r="P100" s="215" t="e">
        <f>SUM(P29+P58+P64+P68+P73+P82+P86+P89)</f>
        <v>#VALUE!</v>
      </c>
      <c r="Q100" s="221">
        <f>SUM(Q29+Q58+Q64+Q68+Q73+Q82+Q86+Q89+Q99)</f>
        <v>1070.3899999999999</v>
      </c>
      <c r="R100" s="222"/>
      <c r="S100" s="215">
        <f>SUM(S29+S58+S64+S68+S73+S82+S86+S89+S99)</f>
        <v>0</v>
      </c>
      <c r="T100" s="223"/>
      <c r="U100" s="224">
        <f>SUM(U29+U58+U64+U68+U73+U82+U86+U89+U99)</f>
        <v>98410.201597899999</v>
      </c>
      <c r="V100" s="9" t="str">
        <f t="shared" si="11"/>
        <v/>
      </c>
      <c r="W100" s="9" t="str">
        <f t="shared" si="12"/>
        <v/>
      </c>
      <c r="X100" s="9"/>
      <c r="Y100" s="9"/>
      <c r="Z100" s="9"/>
      <c r="AA100" s="9"/>
    </row>
    <row r="101" spans="1:27" ht="13.5" customHeight="1" x14ac:dyDescent="0.25">
      <c r="A101" s="365" t="s">
        <v>85</v>
      </c>
      <c r="B101" s="164" t="s">
        <v>86</v>
      </c>
      <c r="C101" s="164"/>
      <c r="D101" s="164"/>
      <c r="E101" s="164"/>
      <c r="F101" s="164"/>
      <c r="G101" s="164"/>
      <c r="H101" s="164"/>
      <c r="I101" s="167"/>
      <c r="J101" s="168"/>
      <c r="K101" s="164"/>
      <c r="L101" s="164"/>
      <c r="M101" s="164"/>
      <c r="N101" s="169"/>
      <c r="O101" s="188"/>
      <c r="P101" s="164"/>
      <c r="Q101" s="189"/>
      <c r="R101" s="173"/>
      <c r="S101" s="164"/>
      <c r="T101" s="164"/>
      <c r="U101" s="174"/>
      <c r="V101" s="9" t="str">
        <f t="shared" si="11"/>
        <v/>
      </c>
      <c r="W101" s="9" t="str">
        <f t="shared" si="12"/>
        <v/>
      </c>
      <c r="X101" s="9"/>
      <c r="Y101" s="9"/>
      <c r="Z101" s="9"/>
      <c r="AA101" s="9"/>
    </row>
    <row r="102" spans="1:27" ht="13.5" customHeight="1" outlineLevel="1" x14ac:dyDescent="0.25">
      <c r="A102" s="366"/>
      <c r="B102" s="53" t="s">
        <v>87</v>
      </c>
      <c r="C102" s="175">
        <v>4.4999999999999998E-2</v>
      </c>
      <c r="D102" s="176">
        <v>0.12</v>
      </c>
      <c r="E102" s="121">
        <v>3.9</v>
      </c>
      <c r="F102" s="112">
        <f t="shared" ref="F102:F107" si="103">C102*D102*E102</f>
        <v>2.1059999999999999E-2</v>
      </c>
      <c r="G102" s="112">
        <f t="shared" ref="G102:G107" si="104">D102*E102</f>
        <v>0.46799999999999997</v>
      </c>
      <c r="H102" s="177">
        <v>210</v>
      </c>
      <c r="I102" s="114">
        <v>300</v>
      </c>
      <c r="J102" s="115">
        <f t="shared" ref="J102:J106" si="105">I102*F102</f>
        <v>6.3179999999999996</v>
      </c>
      <c r="K102" s="116">
        <f t="shared" ref="K102:K107" si="106">J102/(D102*E102)</f>
        <v>13.5</v>
      </c>
      <c r="L102" s="117">
        <f t="shared" ref="L102:L107" si="107">T102+R102-O102</f>
        <v>160</v>
      </c>
      <c r="M102" s="178">
        <f t="shared" ref="M102:M107" si="108">L102*F102</f>
        <v>3.3695999999999997</v>
      </c>
      <c r="N102" s="119">
        <f t="shared" ref="N102:N107" si="109">L102*G102</f>
        <v>74.88</v>
      </c>
      <c r="O102" s="182"/>
      <c r="P102" s="121" t="str">
        <f t="shared" ref="P102:P107" si="110">IF(O102="","",(O102*F102))</f>
        <v/>
      </c>
      <c r="Q102" s="122"/>
      <c r="R102" s="180"/>
      <c r="S102" s="121">
        <f t="shared" ref="S102:S107" si="111">R102*F102</f>
        <v>0</v>
      </c>
      <c r="T102" s="181">
        <v>160</v>
      </c>
      <c r="U102" s="125">
        <f t="shared" ref="U102:U107" si="112">J102*L102</f>
        <v>1010.8799999999999</v>
      </c>
      <c r="V102" s="9" t="str">
        <f t="shared" si="11"/>
        <v/>
      </c>
      <c r="W102" s="9" t="str">
        <f t="shared" si="12"/>
        <v/>
      </c>
      <c r="X102" s="9"/>
      <c r="Y102" s="9"/>
      <c r="Z102" s="9"/>
      <c r="AA102" s="9"/>
    </row>
    <row r="103" spans="1:27" ht="13.5" customHeight="1" outlineLevel="1" x14ac:dyDescent="0.25">
      <c r="A103" s="366"/>
      <c r="B103" s="53" t="s">
        <v>87</v>
      </c>
      <c r="C103" s="175">
        <v>4.4999999999999998E-2</v>
      </c>
      <c r="D103" s="176">
        <v>0.12</v>
      </c>
      <c r="E103" s="121">
        <v>4.2</v>
      </c>
      <c r="F103" s="112">
        <f t="shared" si="103"/>
        <v>2.2679999999999999E-2</v>
      </c>
      <c r="G103" s="112">
        <f t="shared" si="104"/>
        <v>0.504</v>
      </c>
      <c r="H103" s="177">
        <v>210</v>
      </c>
      <c r="I103" s="114">
        <v>300</v>
      </c>
      <c r="J103" s="115">
        <f t="shared" si="105"/>
        <v>6.8039999999999994</v>
      </c>
      <c r="K103" s="116">
        <f t="shared" si="106"/>
        <v>13.499999999999998</v>
      </c>
      <c r="L103" s="117">
        <f t="shared" si="107"/>
        <v>1280</v>
      </c>
      <c r="M103" s="178">
        <f t="shared" si="108"/>
        <v>29.0304</v>
      </c>
      <c r="N103" s="119">
        <f t="shared" si="109"/>
        <v>645.12</v>
      </c>
      <c r="O103" s="182"/>
      <c r="P103" s="121" t="str">
        <f t="shared" si="110"/>
        <v/>
      </c>
      <c r="Q103" s="122"/>
      <c r="R103" s="180"/>
      <c r="S103" s="121">
        <f t="shared" si="111"/>
        <v>0</v>
      </c>
      <c r="T103" s="181">
        <v>1280</v>
      </c>
      <c r="U103" s="125">
        <f t="shared" si="112"/>
        <v>8709.119999999999</v>
      </c>
      <c r="V103" s="9" t="str">
        <f t="shared" si="11"/>
        <v/>
      </c>
      <c r="W103" s="9" t="str">
        <f t="shared" si="12"/>
        <v/>
      </c>
      <c r="X103" s="9"/>
      <c r="Y103" s="9"/>
      <c r="Z103" s="9"/>
      <c r="AA103" s="9"/>
    </row>
    <row r="104" spans="1:27" ht="13.5" customHeight="1" outlineLevel="1" x14ac:dyDescent="0.25">
      <c r="A104" s="366"/>
      <c r="B104" s="53" t="s">
        <v>88</v>
      </c>
      <c r="C104" s="175">
        <v>4.4999999999999998E-2</v>
      </c>
      <c r="D104" s="176">
        <v>0.14499999999999999</v>
      </c>
      <c r="E104" s="121">
        <v>4.8</v>
      </c>
      <c r="F104" s="112">
        <f t="shared" si="103"/>
        <v>3.1319999999999994E-2</v>
      </c>
      <c r="G104" s="112">
        <f t="shared" si="104"/>
        <v>0.69599999999999995</v>
      </c>
      <c r="H104" s="177">
        <f>345+2.7</f>
        <v>347.7</v>
      </c>
      <c r="I104" s="114">
        <f>H104*1.05838</f>
        <v>367.99872600000003</v>
      </c>
      <c r="J104" s="115">
        <f t="shared" si="105"/>
        <v>11.525720098319999</v>
      </c>
      <c r="K104" s="116">
        <f t="shared" si="106"/>
        <v>16.559942669999998</v>
      </c>
      <c r="L104" s="117">
        <f t="shared" si="107"/>
        <v>336</v>
      </c>
      <c r="M104" s="178">
        <f t="shared" si="108"/>
        <v>10.523519999999998</v>
      </c>
      <c r="N104" s="119">
        <f t="shared" si="109"/>
        <v>233.85599999999999</v>
      </c>
      <c r="O104" s="182"/>
      <c r="P104" s="121" t="str">
        <f t="shared" si="110"/>
        <v/>
      </c>
      <c r="Q104" s="122"/>
      <c r="R104" s="180"/>
      <c r="S104" s="121">
        <f t="shared" si="111"/>
        <v>0</v>
      </c>
      <c r="T104" s="181">
        <v>336</v>
      </c>
      <c r="U104" s="125">
        <f t="shared" si="112"/>
        <v>3872.6419530355197</v>
      </c>
      <c r="V104" s="9" t="str">
        <f t="shared" si="11"/>
        <v/>
      </c>
      <c r="W104" s="9" t="str">
        <f t="shared" si="12"/>
        <v/>
      </c>
      <c r="X104" s="9"/>
      <c r="Y104" s="9"/>
      <c r="Z104" s="9"/>
      <c r="AA104" s="9"/>
    </row>
    <row r="105" spans="1:27" ht="13.5" customHeight="1" outlineLevel="1" x14ac:dyDescent="0.25">
      <c r="A105" s="366"/>
      <c r="B105" s="53" t="s">
        <v>88</v>
      </c>
      <c r="C105" s="175">
        <v>4.4999999999999998E-2</v>
      </c>
      <c r="D105" s="176">
        <v>0.14499999999999999</v>
      </c>
      <c r="E105" s="121">
        <v>6</v>
      </c>
      <c r="F105" s="112">
        <f t="shared" si="103"/>
        <v>3.9149999999999997E-2</v>
      </c>
      <c r="G105" s="112">
        <f t="shared" si="104"/>
        <v>0.86999999999999988</v>
      </c>
      <c r="H105" s="177">
        <f>370+2.9</f>
        <v>372.9</v>
      </c>
      <c r="I105" s="114">
        <f>H105*1.0539</f>
        <v>392.99930999999998</v>
      </c>
      <c r="J105" s="115">
        <f t="shared" si="105"/>
        <v>15.385922986499999</v>
      </c>
      <c r="K105" s="116">
        <f t="shared" si="106"/>
        <v>17.684968950000002</v>
      </c>
      <c r="L105" s="117">
        <f t="shared" si="107"/>
        <v>315</v>
      </c>
      <c r="M105" s="178">
        <f t="shared" si="108"/>
        <v>12.332249999999998</v>
      </c>
      <c r="N105" s="119">
        <f t="shared" si="109"/>
        <v>274.04999999999995</v>
      </c>
      <c r="O105" s="182"/>
      <c r="P105" s="121" t="str">
        <f t="shared" si="110"/>
        <v/>
      </c>
      <c r="Q105" s="122"/>
      <c r="R105" s="180"/>
      <c r="S105" s="121">
        <f t="shared" si="111"/>
        <v>0</v>
      </c>
      <c r="T105" s="181">
        <v>315</v>
      </c>
      <c r="U105" s="125">
        <f t="shared" si="112"/>
        <v>4846.5657407475001</v>
      </c>
      <c r="V105" s="9" t="str">
        <f t="shared" si="11"/>
        <v/>
      </c>
      <c r="W105" s="9" t="str">
        <f t="shared" si="12"/>
        <v/>
      </c>
      <c r="X105" s="9"/>
      <c r="Y105" s="9"/>
      <c r="Z105" s="9"/>
      <c r="AA105" s="9"/>
    </row>
    <row r="106" spans="1:27" ht="13.5" customHeight="1" outlineLevel="1" x14ac:dyDescent="0.25">
      <c r="A106" s="366"/>
      <c r="B106" s="53" t="s">
        <v>88</v>
      </c>
      <c r="C106" s="54">
        <v>4.4999999999999998E-2</v>
      </c>
      <c r="D106" s="55">
        <v>0.19500000000000001</v>
      </c>
      <c r="E106" s="56">
        <v>4.8</v>
      </c>
      <c r="F106" s="112">
        <f t="shared" si="103"/>
        <v>4.2119999999999998E-2</v>
      </c>
      <c r="G106" s="112">
        <f t="shared" si="104"/>
        <v>0.93599999999999994</v>
      </c>
      <c r="H106" s="177">
        <f>345+2.7</f>
        <v>347.7</v>
      </c>
      <c r="I106" s="114">
        <f>H106*1.05838</f>
        <v>367.99872600000003</v>
      </c>
      <c r="J106" s="115">
        <f t="shared" si="105"/>
        <v>15.50010633912</v>
      </c>
      <c r="K106" s="116">
        <f t="shared" si="106"/>
        <v>16.559942670000002</v>
      </c>
      <c r="L106" s="117">
        <f t="shared" si="107"/>
        <v>180</v>
      </c>
      <c r="M106" s="178">
        <f t="shared" si="108"/>
        <v>7.5815999999999999</v>
      </c>
      <c r="N106" s="119">
        <f t="shared" si="109"/>
        <v>168.48</v>
      </c>
      <c r="O106" s="182"/>
      <c r="P106" s="121" t="str">
        <f t="shared" si="110"/>
        <v/>
      </c>
      <c r="Q106" s="122"/>
      <c r="R106" s="180"/>
      <c r="S106" s="121">
        <f t="shared" si="111"/>
        <v>0</v>
      </c>
      <c r="T106" s="181">
        <v>180</v>
      </c>
      <c r="U106" s="125">
        <f t="shared" si="112"/>
        <v>2790.0191410416001</v>
      </c>
      <c r="V106" s="9" t="str">
        <f t="shared" si="11"/>
        <v/>
      </c>
      <c r="W106" s="9" t="str">
        <f t="shared" si="12"/>
        <v/>
      </c>
      <c r="X106" s="9"/>
      <c r="Y106" s="9"/>
      <c r="Z106" s="9"/>
      <c r="AA106" s="9"/>
    </row>
    <row r="107" spans="1:27" ht="13.5" customHeight="1" outlineLevel="1" x14ac:dyDescent="0.25">
      <c r="A107" s="366"/>
      <c r="B107" s="53" t="s">
        <v>89</v>
      </c>
      <c r="C107" s="175">
        <v>4.4999999999999998E-2</v>
      </c>
      <c r="D107" s="176">
        <v>0.19500000000000001</v>
      </c>
      <c r="E107" s="121">
        <v>6</v>
      </c>
      <c r="F107" s="112">
        <f t="shared" si="103"/>
        <v>5.2650000000000002E-2</v>
      </c>
      <c r="G107" s="112">
        <f t="shared" si="104"/>
        <v>1.17</v>
      </c>
      <c r="H107" s="177">
        <f>370+2.9</f>
        <v>372.9</v>
      </c>
      <c r="I107" s="114">
        <f>ROUND(H107*1.1667,0)</f>
        <v>435</v>
      </c>
      <c r="J107" s="115">
        <f>ROUND((I107*0.992)*1.21,0)*(C107*D107*E107)</f>
        <v>27.4833</v>
      </c>
      <c r="K107" s="116">
        <f t="shared" si="106"/>
        <v>23.490000000000002</v>
      </c>
      <c r="L107" s="117">
        <f t="shared" si="107"/>
        <v>83</v>
      </c>
      <c r="M107" s="178">
        <f t="shared" si="108"/>
        <v>4.3699500000000002</v>
      </c>
      <c r="N107" s="119">
        <f t="shared" si="109"/>
        <v>97.11</v>
      </c>
      <c r="O107" s="182"/>
      <c r="P107" s="121" t="str">
        <f t="shared" si="110"/>
        <v/>
      </c>
      <c r="Q107" s="122"/>
      <c r="R107" s="180"/>
      <c r="S107" s="121">
        <f t="shared" si="111"/>
        <v>0</v>
      </c>
      <c r="T107" s="181">
        <v>83</v>
      </c>
      <c r="U107" s="125">
        <f t="shared" si="112"/>
        <v>2281.1138999999998</v>
      </c>
      <c r="V107" s="9" t="str">
        <f t="shared" si="11"/>
        <v/>
      </c>
      <c r="W107" s="9" t="str">
        <f t="shared" si="12"/>
        <v/>
      </c>
      <c r="X107" s="9"/>
      <c r="Y107" s="9"/>
      <c r="Z107" s="9"/>
      <c r="AA107" s="9"/>
    </row>
    <row r="108" spans="1:27" ht="15" customHeight="1" x14ac:dyDescent="0.25">
      <c r="A108" s="366"/>
      <c r="B108" s="225" t="s">
        <v>90</v>
      </c>
      <c r="C108" s="226"/>
      <c r="D108" s="226"/>
      <c r="E108" s="226"/>
      <c r="F108" s="226"/>
      <c r="G108" s="226"/>
      <c r="H108" s="227">
        <f t="shared" ref="H108:I108" si="113">AVERAGE(H102:H107)</f>
        <v>310.2</v>
      </c>
      <c r="I108" s="228">
        <f t="shared" si="113"/>
        <v>360.66612699999996</v>
      </c>
      <c r="J108" s="229"/>
      <c r="K108" s="227">
        <f>AVERAGE(K102:K107)</f>
        <v>16.882475714999998</v>
      </c>
      <c r="L108" s="230"/>
      <c r="M108" s="227">
        <f>SUM(M102:M107)</f>
        <v>67.207319999999996</v>
      </c>
      <c r="N108" s="231"/>
      <c r="O108" s="232"/>
      <c r="P108" s="227">
        <f t="shared" ref="P108:Q108" si="114">SUM(P102:P107)</f>
        <v>0</v>
      </c>
      <c r="Q108" s="233">
        <f t="shared" si="114"/>
        <v>0</v>
      </c>
      <c r="R108" s="234"/>
      <c r="S108" s="235">
        <f>SUM(S104:S107)</f>
        <v>0</v>
      </c>
      <c r="T108" s="236"/>
      <c r="U108" s="237">
        <f>SUM(U102:U107)</f>
        <v>23510.340734824618</v>
      </c>
      <c r="V108" s="9" t="str">
        <f t="shared" si="11"/>
        <v/>
      </c>
      <c r="W108" s="9" t="str">
        <f t="shared" si="12"/>
        <v/>
      </c>
      <c r="X108" s="9"/>
      <c r="Y108" s="9"/>
      <c r="Z108" s="9"/>
      <c r="AA108" s="9"/>
    </row>
    <row r="109" spans="1:27" ht="13.5" customHeight="1" x14ac:dyDescent="0.25">
      <c r="A109" s="367" t="s">
        <v>91</v>
      </c>
      <c r="B109" s="164" t="s">
        <v>92</v>
      </c>
      <c r="C109" s="164"/>
      <c r="D109" s="164"/>
      <c r="E109" s="164"/>
      <c r="F109" s="164"/>
      <c r="G109" s="164"/>
      <c r="H109" s="164"/>
      <c r="I109" s="167"/>
      <c r="J109" s="168"/>
      <c r="K109" s="164"/>
      <c r="L109" s="164"/>
      <c r="M109" s="164"/>
      <c r="N109" s="169"/>
      <c r="O109" s="188"/>
      <c r="P109" s="164"/>
      <c r="Q109" s="189"/>
      <c r="R109" s="173"/>
      <c r="S109" s="164"/>
      <c r="T109" s="164"/>
      <c r="U109" s="174"/>
      <c r="V109" s="9" t="str">
        <f t="shared" si="11"/>
        <v/>
      </c>
      <c r="W109" s="9" t="str">
        <f t="shared" si="12"/>
        <v/>
      </c>
      <c r="X109" s="9"/>
      <c r="Y109" s="9"/>
      <c r="Z109" s="9"/>
      <c r="AA109" s="9"/>
    </row>
    <row r="110" spans="1:27" ht="13.5" customHeight="1" outlineLevel="1" x14ac:dyDescent="0.25">
      <c r="A110" s="366"/>
      <c r="B110" s="53" t="s">
        <v>93</v>
      </c>
      <c r="C110" s="175">
        <v>0.01</v>
      </c>
      <c r="D110" s="176">
        <v>0.04</v>
      </c>
      <c r="E110" s="121">
        <v>1.1000000000000001</v>
      </c>
      <c r="F110" s="112">
        <f t="shared" ref="F110:F171" si="115">C110*D110*E110</f>
        <v>4.4000000000000007E-4</v>
      </c>
      <c r="G110" s="112">
        <f t="shared" ref="G110:G171" si="116">D110*E110</f>
        <v>4.4000000000000004E-2</v>
      </c>
      <c r="H110" s="238">
        <v>228.8</v>
      </c>
      <c r="I110" s="114">
        <f>ROUND(H110*1.225,0)</f>
        <v>280</v>
      </c>
      <c r="J110" s="115">
        <f>ROUND((I110*1.7)*1.21,0)*(C110*D110*E110)</f>
        <v>0.25344000000000005</v>
      </c>
      <c r="K110" s="116">
        <f t="shared" ref="K110:K171" si="117">J110/(D110*E110)</f>
        <v>5.7600000000000007</v>
      </c>
      <c r="L110" s="117">
        <f t="shared" ref="L110:L125" si="118">T110+R110-O110</f>
        <v>20</v>
      </c>
      <c r="M110" s="178">
        <f t="shared" ref="M110:M171" si="119">L110*F110</f>
        <v>8.8000000000000023E-3</v>
      </c>
      <c r="N110" s="119">
        <f t="shared" ref="N110:N171" si="120">L110*G110</f>
        <v>0.88000000000000012</v>
      </c>
      <c r="O110" s="182"/>
      <c r="P110" s="121" t="str">
        <f t="shared" ref="P110:P171" si="121">IF(O110="","",(O110*F110))</f>
        <v/>
      </c>
      <c r="Q110" s="122"/>
      <c r="R110" s="180"/>
      <c r="S110" s="121">
        <f t="shared" ref="S110:S171" si="122">R110*F110</f>
        <v>0</v>
      </c>
      <c r="T110" s="181">
        <v>20</v>
      </c>
      <c r="U110" s="125">
        <f t="shared" ref="U110:U171" si="123">J110*L110</f>
        <v>5.0688000000000013</v>
      </c>
      <c r="V110" s="9" t="str">
        <f t="shared" si="11"/>
        <v/>
      </c>
      <c r="W110" s="9" t="str">
        <f t="shared" si="12"/>
        <v/>
      </c>
      <c r="X110" s="9"/>
      <c r="Y110" s="9"/>
      <c r="Z110" s="9"/>
      <c r="AA110" s="9"/>
    </row>
    <row r="111" spans="1:27" ht="13.5" customHeight="1" outlineLevel="1" x14ac:dyDescent="0.25">
      <c r="A111" s="366"/>
      <c r="B111" s="53" t="s">
        <v>94</v>
      </c>
      <c r="C111" s="175">
        <v>0.02</v>
      </c>
      <c r="D111" s="176">
        <v>4.4999999999999998E-2</v>
      </c>
      <c r="E111" s="121">
        <v>2.5</v>
      </c>
      <c r="F111" s="112">
        <f t="shared" si="115"/>
        <v>2.2499999999999998E-3</v>
      </c>
      <c r="G111" s="112">
        <f t="shared" si="116"/>
        <v>0.11249999999999999</v>
      </c>
      <c r="H111" s="238">
        <f>600/1.1667</f>
        <v>514.27102082797626</v>
      </c>
      <c r="I111" s="114">
        <f t="shared" ref="I111:I112" si="124">ROUND(H111*1.1667,0)</f>
        <v>600</v>
      </c>
      <c r="J111" s="115">
        <f t="shared" ref="J111:J124" si="125">ROUND((I111*0.992)*1.21,0)*(C111*D111*E111)</f>
        <v>1.6199999999999999</v>
      </c>
      <c r="K111" s="116">
        <f t="shared" si="117"/>
        <v>14.4</v>
      </c>
      <c r="L111" s="117">
        <f t="shared" si="118"/>
        <v>249</v>
      </c>
      <c r="M111" s="178">
        <f t="shared" si="119"/>
        <v>0.56024999999999991</v>
      </c>
      <c r="N111" s="119">
        <f t="shared" si="120"/>
        <v>28.012499999999996</v>
      </c>
      <c r="O111" s="182"/>
      <c r="P111" s="121" t="str">
        <f t="shared" si="121"/>
        <v/>
      </c>
      <c r="Q111" s="122"/>
      <c r="R111" s="180"/>
      <c r="S111" s="121">
        <f t="shared" si="122"/>
        <v>0</v>
      </c>
      <c r="T111" s="181">
        <v>249</v>
      </c>
      <c r="U111" s="125">
        <f t="shared" si="123"/>
        <v>403.38</v>
      </c>
      <c r="V111" s="9" t="str">
        <f t="shared" si="11"/>
        <v/>
      </c>
      <c r="W111" s="9" t="str">
        <f t="shared" si="12"/>
        <v/>
      </c>
      <c r="X111" s="9"/>
      <c r="Y111" s="9"/>
      <c r="Z111" s="9"/>
      <c r="AA111" s="9"/>
    </row>
    <row r="112" spans="1:27" ht="13.5" customHeight="1" outlineLevel="1" x14ac:dyDescent="0.25">
      <c r="A112" s="366"/>
      <c r="B112" s="53" t="s">
        <v>94</v>
      </c>
      <c r="C112" s="175">
        <v>0.02</v>
      </c>
      <c r="D112" s="176">
        <v>4.4999999999999998E-2</v>
      </c>
      <c r="E112" s="121">
        <v>3</v>
      </c>
      <c r="F112" s="112">
        <f t="shared" si="115"/>
        <v>2.7000000000000001E-3</v>
      </c>
      <c r="G112" s="112">
        <f t="shared" si="116"/>
        <v>0.13500000000000001</v>
      </c>
      <c r="H112" s="238">
        <v>514.27</v>
      </c>
      <c r="I112" s="114">
        <f t="shared" si="124"/>
        <v>600</v>
      </c>
      <c r="J112" s="115">
        <f t="shared" si="125"/>
        <v>1.9440000000000002</v>
      </c>
      <c r="K112" s="116">
        <f t="shared" si="117"/>
        <v>14.4</v>
      </c>
      <c r="L112" s="117">
        <f t="shared" si="118"/>
        <v>2280</v>
      </c>
      <c r="M112" s="178">
        <f t="shared" si="119"/>
        <v>6.1560000000000006</v>
      </c>
      <c r="N112" s="119">
        <f t="shared" si="120"/>
        <v>307.8</v>
      </c>
      <c r="O112" s="182"/>
      <c r="P112" s="121" t="str">
        <f t="shared" si="121"/>
        <v/>
      </c>
      <c r="Q112" s="122"/>
      <c r="R112" s="180"/>
      <c r="S112" s="121">
        <f t="shared" si="122"/>
        <v>0</v>
      </c>
      <c r="T112" s="181">
        <v>2280</v>
      </c>
      <c r="U112" s="125">
        <f t="shared" si="123"/>
        <v>4432.3200000000006</v>
      </c>
      <c r="V112" s="9" t="str">
        <f t="shared" si="11"/>
        <v/>
      </c>
      <c r="W112" s="9" t="str">
        <f t="shared" si="12"/>
        <v/>
      </c>
      <c r="X112" s="9"/>
      <c r="Y112" s="9"/>
      <c r="Z112" s="9"/>
      <c r="AA112" s="9"/>
    </row>
    <row r="113" spans="1:27" ht="13.5" customHeight="1" outlineLevel="1" x14ac:dyDescent="0.25">
      <c r="A113" s="366"/>
      <c r="B113" s="75" t="s">
        <v>95</v>
      </c>
      <c r="C113" s="76">
        <v>2.3E-2</v>
      </c>
      <c r="D113" s="77">
        <v>0.1</v>
      </c>
      <c r="E113" s="78">
        <v>4.8</v>
      </c>
      <c r="F113" s="133">
        <f t="shared" si="115"/>
        <v>1.1039999999999999E-2</v>
      </c>
      <c r="G113" s="133">
        <f t="shared" si="116"/>
        <v>0.48</v>
      </c>
      <c r="H113" s="239">
        <v>228.8</v>
      </c>
      <c r="I113" s="114">
        <f>ROUND(H113*1.225,0)</f>
        <v>280</v>
      </c>
      <c r="J113" s="115">
        <f t="shared" si="125"/>
        <v>3.7094399999999998</v>
      </c>
      <c r="K113" s="192">
        <f t="shared" si="117"/>
        <v>7.7279999999999998</v>
      </c>
      <c r="L113" s="117">
        <f t="shared" si="118"/>
        <v>1598</v>
      </c>
      <c r="M113" s="178">
        <f t="shared" si="119"/>
        <v>17.641919999999999</v>
      </c>
      <c r="N113" s="134">
        <f t="shared" si="120"/>
        <v>767.04</v>
      </c>
      <c r="O113" s="240">
        <v>17</v>
      </c>
      <c r="P113" s="121">
        <f t="shared" si="121"/>
        <v>0.18767999999999999</v>
      </c>
      <c r="Q113" s="241">
        <v>60</v>
      </c>
      <c r="R113" s="194"/>
      <c r="S113" s="78">
        <f t="shared" si="122"/>
        <v>0</v>
      </c>
      <c r="T113" s="181">
        <v>1615</v>
      </c>
      <c r="U113" s="242">
        <f t="shared" si="123"/>
        <v>5927.6851200000001</v>
      </c>
      <c r="V113" s="9">
        <f t="shared" si="11"/>
        <v>17.058815999999993</v>
      </c>
      <c r="W113" s="9">
        <f t="shared" si="12"/>
        <v>42.941184</v>
      </c>
      <c r="X113" s="9"/>
      <c r="Y113" s="9"/>
      <c r="Z113" s="9"/>
      <c r="AA113" s="9"/>
    </row>
    <row r="114" spans="1:27" ht="13.5" customHeight="1" outlineLevel="1" x14ac:dyDescent="0.25">
      <c r="A114" s="366"/>
      <c r="B114" s="53" t="s">
        <v>74</v>
      </c>
      <c r="C114" s="175">
        <v>2.5000000000000001E-2</v>
      </c>
      <c r="D114" s="176">
        <v>2.5000000000000001E-2</v>
      </c>
      <c r="E114" s="121">
        <v>1.2</v>
      </c>
      <c r="F114" s="112">
        <f t="shared" si="115"/>
        <v>7.5000000000000012E-4</v>
      </c>
      <c r="G114" s="112">
        <f t="shared" si="116"/>
        <v>0.03</v>
      </c>
      <c r="H114" s="238">
        <v>240</v>
      </c>
      <c r="I114" s="114">
        <f t="shared" ref="I114:I124" si="126">ROUND(H114*1.1667,0)</f>
        <v>280</v>
      </c>
      <c r="J114" s="115">
        <f t="shared" si="125"/>
        <v>0.25200000000000006</v>
      </c>
      <c r="K114" s="116">
        <f t="shared" si="117"/>
        <v>8.4000000000000021</v>
      </c>
      <c r="L114" s="117">
        <f t="shared" si="118"/>
        <v>700</v>
      </c>
      <c r="M114" s="178">
        <f t="shared" si="119"/>
        <v>0.52500000000000013</v>
      </c>
      <c r="N114" s="119">
        <f t="shared" si="120"/>
        <v>21</v>
      </c>
      <c r="O114" s="182"/>
      <c r="P114" s="121" t="str">
        <f t="shared" si="121"/>
        <v/>
      </c>
      <c r="Q114" s="122"/>
      <c r="R114" s="180"/>
      <c r="S114" s="121">
        <f t="shared" si="122"/>
        <v>0</v>
      </c>
      <c r="T114" s="181">
        <v>700</v>
      </c>
      <c r="U114" s="125">
        <f t="shared" si="123"/>
        <v>176.40000000000003</v>
      </c>
      <c r="V114" s="9" t="str">
        <f t="shared" si="11"/>
        <v/>
      </c>
      <c r="W114" s="9" t="str">
        <f t="shared" si="12"/>
        <v/>
      </c>
      <c r="X114" s="9"/>
      <c r="Y114" s="9"/>
      <c r="Z114" s="9"/>
      <c r="AA114" s="9"/>
    </row>
    <row r="115" spans="1:27" ht="13.5" customHeight="1" outlineLevel="1" x14ac:dyDescent="0.25">
      <c r="A115" s="366"/>
      <c r="B115" s="53" t="s">
        <v>95</v>
      </c>
      <c r="C115" s="175">
        <v>2.5000000000000001E-2</v>
      </c>
      <c r="D115" s="176">
        <v>3.7999999999999999E-2</v>
      </c>
      <c r="E115" s="121">
        <v>3.6</v>
      </c>
      <c r="F115" s="112">
        <f t="shared" si="115"/>
        <v>3.4199999999999999E-3</v>
      </c>
      <c r="G115" s="112">
        <f t="shared" si="116"/>
        <v>0.1368</v>
      </c>
      <c r="H115" s="238">
        <v>210</v>
      </c>
      <c r="I115" s="114">
        <f t="shared" si="126"/>
        <v>245</v>
      </c>
      <c r="J115" s="115">
        <f t="shared" si="125"/>
        <v>1.0054799999999999</v>
      </c>
      <c r="K115" s="116">
        <f t="shared" si="117"/>
        <v>7.35</v>
      </c>
      <c r="L115" s="117">
        <f t="shared" si="118"/>
        <v>1520</v>
      </c>
      <c r="M115" s="178">
        <f t="shared" si="119"/>
        <v>5.1983999999999995</v>
      </c>
      <c r="N115" s="119">
        <f t="shared" si="120"/>
        <v>207.93600000000001</v>
      </c>
      <c r="O115" s="182"/>
      <c r="P115" s="121" t="str">
        <f t="shared" si="121"/>
        <v/>
      </c>
      <c r="Q115" s="122"/>
      <c r="R115" s="180"/>
      <c r="S115" s="121">
        <f t="shared" si="122"/>
        <v>0</v>
      </c>
      <c r="T115" s="181">
        <v>1520</v>
      </c>
      <c r="U115" s="125">
        <f t="shared" si="123"/>
        <v>1528.3295999999998</v>
      </c>
      <c r="V115" s="9" t="str">
        <f t="shared" si="11"/>
        <v/>
      </c>
      <c r="W115" s="9" t="str">
        <f t="shared" si="12"/>
        <v/>
      </c>
      <c r="X115" s="9"/>
      <c r="Y115" s="9"/>
      <c r="Z115" s="9"/>
      <c r="AA115" s="9"/>
    </row>
    <row r="116" spans="1:27" ht="13.5" customHeight="1" outlineLevel="1" x14ac:dyDescent="0.25">
      <c r="A116" s="366"/>
      <c r="B116" s="53"/>
      <c r="C116" s="175">
        <v>2.5000000000000001E-2</v>
      </c>
      <c r="D116" s="176">
        <v>0.05</v>
      </c>
      <c r="E116" s="121">
        <v>2.5</v>
      </c>
      <c r="F116" s="112">
        <f t="shared" si="115"/>
        <v>3.1250000000000006E-3</v>
      </c>
      <c r="G116" s="112">
        <f t="shared" si="116"/>
        <v>0.125</v>
      </c>
      <c r="H116" s="238">
        <v>240</v>
      </c>
      <c r="I116" s="114">
        <f t="shared" si="126"/>
        <v>280</v>
      </c>
      <c r="J116" s="115">
        <f t="shared" si="125"/>
        <v>1.0500000000000003</v>
      </c>
      <c r="K116" s="116">
        <f t="shared" si="117"/>
        <v>8.4000000000000021</v>
      </c>
      <c r="L116" s="117">
        <f t="shared" si="118"/>
        <v>507</v>
      </c>
      <c r="M116" s="178">
        <f t="shared" si="119"/>
        <v>1.5843750000000003</v>
      </c>
      <c r="N116" s="119">
        <f t="shared" si="120"/>
        <v>63.375</v>
      </c>
      <c r="O116" s="182"/>
      <c r="P116" s="121" t="str">
        <f t="shared" si="121"/>
        <v/>
      </c>
      <c r="Q116" s="122"/>
      <c r="R116" s="180"/>
      <c r="S116" s="121">
        <f t="shared" si="122"/>
        <v>0</v>
      </c>
      <c r="T116" s="181">
        <v>507</v>
      </c>
      <c r="U116" s="125">
        <f t="shared" si="123"/>
        <v>532.35000000000014</v>
      </c>
      <c r="V116" s="9" t="str">
        <f t="shared" si="11"/>
        <v/>
      </c>
      <c r="W116" s="9" t="str">
        <f t="shared" si="12"/>
        <v/>
      </c>
      <c r="X116" s="9"/>
      <c r="Y116" s="9"/>
      <c r="Z116" s="9"/>
      <c r="AA116" s="9"/>
    </row>
    <row r="117" spans="1:27" ht="13.5" customHeight="1" outlineLevel="1" x14ac:dyDescent="0.25">
      <c r="A117" s="366"/>
      <c r="B117" s="53"/>
      <c r="C117" s="175">
        <v>2.5000000000000001E-2</v>
      </c>
      <c r="D117" s="176">
        <v>0.05</v>
      </c>
      <c r="E117" s="121">
        <v>3</v>
      </c>
      <c r="F117" s="112">
        <f t="shared" si="115"/>
        <v>3.7500000000000007E-3</v>
      </c>
      <c r="G117" s="112">
        <f t="shared" si="116"/>
        <v>0.15000000000000002</v>
      </c>
      <c r="H117" s="238">
        <v>240</v>
      </c>
      <c r="I117" s="114">
        <f t="shared" si="126"/>
        <v>280</v>
      </c>
      <c r="J117" s="115">
        <f t="shared" si="125"/>
        <v>1.2600000000000002</v>
      </c>
      <c r="K117" s="116">
        <f t="shared" si="117"/>
        <v>8.4</v>
      </c>
      <c r="L117" s="117">
        <f t="shared" si="118"/>
        <v>839</v>
      </c>
      <c r="M117" s="178">
        <f t="shared" si="119"/>
        <v>3.1462500000000007</v>
      </c>
      <c r="N117" s="119">
        <f t="shared" si="120"/>
        <v>125.85000000000002</v>
      </c>
      <c r="O117" s="182">
        <v>50</v>
      </c>
      <c r="P117" s="121">
        <f t="shared" si="121"/>
        <v>0.18750000000000003</v>
      </c>
      <c r="Q117" s="122">
        <v>63</v>
      </c>
      <c r="R117" s="180"/>
      <c r="S117" s="121">
        <f t="shared" si="122"/>
        <v>0</v>
      </c>
      <c r="T117" s="181">
        <v>889</v>
      </c>
      <c r="U117" s="125">
        <f t="shared" si="123"/>
        <v>1057.1400000000001</v>
      </c>
      <c r="V117" s="9">
        <f t="shared" si="11"/>
        <v>17.999999999999993</v>
      </c>
      <c r="W117" s="9">
        <f t="shared" si="12"/>
        <v>45.000000000000007</v>
      </c>
      <c r="X117" s="9"/>
      <c r="Y117" s="9"/>
      <c r="Z117" s="9"/>
      <c r="AA117" s="9"/>
    </row>
    <row r="118" spans="1:27" ht="13.5" customHeight="1" outlineLevel="1" x14ac:dyDescent="0.25">
      <c r="A118" s="366"/>
      <c r="B118" s="53"/>
      <c r="C118" s="175">
        <v>2.5000000000000001E-2</v>
      </c>
      <c r="D118" s="176">
        <v>0.05</v>
      </c>
      <c r="E118" s="121">
        <v>4.9000000000000004</v>
      </c>
      <c r="F118" s="112">
        <f t="shared" si="115"/>
        <v>6.125000000000002E-3</v>
      </c>
      <c r="G118" s="112">
        <f t="shared" si="116"/>
        <v>0.24500000000000002</v>
      </c>
      <c r="H118" s="238">
        <v>240</v>
      </c>
      <c r="I118" s="114">
        <f t="shared" si="126"/>
        <v>280</v>
      </c>
      <c r="J118" s="115">
        <f t="shared" si="125"/>
        <v>2.0580000000000007</v>
      </c>
      <c r="K118" s="116">
        <f t="shared" si="117"/>
        <v>8.4000000000000021</v>
      </c>
      <c r="L118" s="117">
        <f t="shared" si="118"/>
        <v>53</v>
      </c>
      <c r="M118" s="178">
        <f t="shared" si="119"/>
        <v>0.32462500000000011</v>
      </c>
      <c r="N118" s="119">
        <f t="shared" si="120"/>
        <v>12.985000000000001</v>
      </c>
      <c r="O118" s="182"/>
      <c r="P118" s="121" t="str">
        <f t="shared" si="121"/>
        <v/>
      </c>
      <c r="Q118" s="122"/>
      <c r="R118" s="180"/>
      <c r="S118" s="121">
        <f t="shared" si="122"/>
        <v>0</v>
      </c>
      <c r="T118" s="181">
        <v>53</v>
      </c>
      <c r="U118" s="125">
        <f t="shared" si="123"/>
        <v>109.07400000000004</v>
      </c>
      <c r="V118" s="9" t="str">
        <f t="shared" si="11"/>
        <v/>
      </c>
      <c r="W118" s="9" t="str">
        <f t="shared" si="12"/>
        <v/>
      </c>
      <c r="X118" s="9"/>
      <c r="Y118" s="9"/>
      <c r="Z118" s="9"/>
      <c r="AA118" s="9"/>
    </row>
    <row r="119" spans="1:27" ht="13.5" customHeight="1" outlineLevel="1" x14ac:dyDescent="0.25">
      <c r="A119" s="366"/>
      <c r="B119" s="53"/>
      <c r="C119" s="175">
        <v>2.5000000000000001E-2</v>
      </c>
      <c r="D119" s="176">
        <v>0.05</v>
      </c>
      <c r="E119" s="121">
        <v>6</v>
      </c>
      <c r="F119" s="112">
        <f t="shared" si="115"/>
        <v>7.5000000000000015E-3</v>
      </c>
      <c r="G119" s="112">
        <f t="shared" si="116"/>
        <v>0.30000000000000004</v>
      </c>
      <c r="H119" s="238">
        <v>240</v>
      </c>
      <c r="I119" s="114">
        <f t="shared" si="126"/>
        <v>280</v>
      </c>
      <c r="J119" s="115">
        <f t="shared" si="125"/>
        <v>2.5200000000000005</v>
      </c>
      <c r="K119" s="116">
        <f t="shared" si="117"/>
        <v>8.4</v>
      </c>
      <c r="L119" s="117">
        <f t="shared" si="118"/>
        <v>23</v>
      </c>
      <c r="M119" s="178">
        <f t="shared" si="119"/>
        <v>0.17250000000000004</v>
      </c>
      <c r="N119" s="119">
        <f t="shared" si="120"/>
        <v>6.9000000000000012</v>
      </c>
      <c r="O119" s="182"/>
      <c r="P119" s="121" t="str">
        <f t="shared" si="121"/>
        <v/>
      </c>
      <c r="Q119" s="122"/>
      <c r="R119" s="180"/>
      <c r="S119" s="121">
        <f t="shared" si="122"/>
        <v>0</v>
      </c>
      <c r="T119" s="181">
        <v>23</v>
      </c>
      <c r="U119" s="125">
        <f t="shared" si="123"/>
        <v>57.960000000000008</v>
      </c>
      <c r="V119" s="9" t="str">
        <f t="shared" si="11"/>
        <v/>
      </c>
      <c r="W119" s="9" t="str">
        <f t="shared" si="12"/>
        <v/>
      </c>
      <c r="X119" s="9"/>
      <c r="Y119" s="9"/>
      <c r="Z119" s="9"/>
      <c r="AA119" s="9"/>
    </row>
    <row r="120" spans="1:27" ht="13.5" customHeight="1" outlineLevel="1" x14ac:dyDescent="0.25">
      <c r="A120" s="366"/>
      <c r="B120" s="53" t="s">
        <v>96</v>
      </c>
      <c r="C120" s="175">
        <v>2.5000000000000001E-2</v>
      </c>
      <c r="D120" s="176">
        <v>0.1</v>
      </c>
      <c r="E120" s="121">
        <v>2.5</v>
      </c>
      <c r="F120" s="112">
        <f t="shared" si="115"/>
        <v>6.2500000000000012E-3</v>
      </c>
      <c r="G120" s="112">
        <f t="shared" si="116"/>
        <v>0.25</v>
      </c>
      <c r="H120" s="238">
        <v>205.71</v>
      </c>
      <c r="I120" s="114">
        <f t="shared" si="126"/>
        <v>240</v>
      </c>
      <c r="J120" s="115">
        <f t="shared" si="125"/>
        <v>1.8000000000000003</v>
      </c>
      <c r="K120" s="116">
        <f t="shared" si="117"/>
        <v>7.2000000000000011</v>
      </c>
      <c r="L120" s="117">
        <f t="shared" si="118"/>
        <v>6818</v>
      </c>
      <c r="M120" s="178">
        <f t="shared" si="119"/>
        <v>42.612500000000011</v>
      </c>
      <c r="N120" s="119">
        <f t="shared" si="120"/>
        <v>1704.5</v>
      </c>
      <c r="O120" s="182">
        <v>11</v>
      </c>
      <c r="P120" s="121">
        <f t="shared" si="121"/>
        <v>6.8750000000000019E-2</v>
      </c>
      <c r="Q120" s="122">
        <v>20</v>
      </c>
      <c r="R120" s="180"/>
      <c r="S120" s="121">
        <f t="shared" si="122"/>
        <v>0</v>
      </c>
      <c r="T120" s="181">
        <v>6829</v>
      </c>
      <c r="U120" s="125">
        <f t="shared" si="123"/>
        <v>12272.400000000001</v>
      </c>
      <c r="V120" s="9">
        <f t="shared" si="11"/>
        <v>5.8574374999999961</v>
      </c>
      <c r="W120" s="9">
        <f t="shared" si="12"/>
        <v>14.142562500000004</v>
      </c>
      <c r="X120" s="9"/>
      <c r="Y120" s="9"/>
      <c r="Z120" s="9"/>
      <c r="AA120" s="9"/>
    </row>
    <row r="121" spans="1:27" ht="13.5" customHeight="1" outlineLevel="1" x14ac:dyDescent="0.25">
      <c r="A121" s="366"/>
      <c r="B121" s="53"/>
      <c r="C121" s="175">
        <v>2.5000000000000001E-2</v>
      </c>
      <c r="D121" s="176">
        <v>0.1</v>
      </c>
      <c r="E121" s="121">
        <v>3</v>
      </c>
      <c r="F121" s="112">
        <f t="shared" si="115"/>
        <v>7.5000000000000015E-3</v>
      </c>
      <c r="G121" s="112">
        <f t="shared" si="116"/>
        <v>0.30000000000000004</v>
      </c>
      <c r="H121" s="238">
        <v>240</v>
      </c>
      <c r="I121" s="114">
        <f t="shared" si="126"/>
        <v>280</v>
      </c>
      <c r="J121" s="115">
        <f t="shared" si="125"/>
        <v>2.5200000000000005</v>
      </c>
      <c r="K121" s="116">
        <f t="shared" si="117"/>
        <v>8.4</v>
      </c>
      <c r="L121" s="117">
        <f t="shared" si="118"/>
        <v>315</v>
      </c>
      <c r="M121" s="178">
        <f t="shared" si="119"/>
        <v>2.3625000000000003</v>
      </c>
      <c r="N121" s="119">
        <f t="shared" si="120"/>
        <v>94.500000000000014</v>
      </c>
      <c r="O121" s="182">
        <v>10</v>
      </c>
      <c r="P121" s="121">
        <f t="shared" si="121"/>
        <v>7.5000000000000011E-2</v>
      </c>
      <c r="Q121" s="122">
        <v>25</v>
      </c>
      <c r="R121" s="180"/>
      <c r="S121" s="121">
        <f t="shared" si="122"/>
        <v>0</v>
      </c>
      <c r="T121" s="181">
        <v>325</v>
      </c>
      <c r="U121" s="125">
        <f t="shared" si="123"/>
        <v>793.80000000000018</v>
      </c>
      <c r="V121" s="9">
        <f t="shared" si="11"/>
        <v>6.9999999999999964</v>
      </c>
      <c r="W121" s="9">
        <f t="shared" si="12"/>
        <v>18.000000000000004</v>
      </c>
      <c r="X121" s="9"/>
      <c r="Y121" s="9"/>
      <c r="Z121" s="9"/>
      <c r="AA121" s="9"/>
    </row>
    <row r="122" spans="1:27" ht="13.5" customHeight="1" outlineLevel="1" x14ac:dyDescent="0.25">
      <c r="A122" s="366"/>
      <c r="B122" s="53"/>
      <c r="C122" s="175">
        <v>2.5000000000000001E-2</v>
      </c>
      <c r="D122" s="176">
        <v>0.1</v>
      </c>
      <c r="E122" s="121">
        <v>3.6</v>
      </c>
      <c r="F122" s="112">
        <f t="shared" si="115"/>
        <v>9.0000000000000028E-3</v>
      </c>
      <c r="G122" s="112">
        <f t="shared" si="116"/>
        <v>0.36000000000000004</v>
      </c>
      <c r="H122" s="238">
        <v>240</v>
      </c>
      <c r="I122" s="114">
        <f t="shared" si="126"/>
        <v>280</v>
      </c>
      <c r="J122" s="115">
        <f t="shared" si="125"/>
        <v>3.0240000000000009</v>
      </c>
      <c r="K122" s="116">
        <f t="shared" si="117"/>
        <v>8.4000000000000021</v>
      </c>
      <c r="L122" s="117">
        <f t="shared" si="118"/>
        <v>188</v>
      </c>
      <c r="M122" s="178">
        <f t="shared" si="119"/>
        <v>1.6920000000000006</v>
      </c>
      <c r="N122" s="119">
        <f t="shared" si="120"/>
        <v>67.680000000000007</v>
      </c>
      <c r="O122" s="182"/>
      <c r="P122" s="121" t="str">
        <f t="shared" si="121"/>
        <v/>
      </c>
      <c r="Q122" s="122"/>
      <c r="R122" s="180"/>
      <c r="S122" s="121">
        <f t="shared" si="122"/>
        <v>0</v>
      </c>
      <c r="T122" s="181">
        <v>188</v>
      </c>
      <c r="U122" s="125">
        <f t="shared" si="123"/>
        <v>568.51200000000017</v>
      </c>
      <c r="V122" s="9" t="str">
        <f t="shared" si="11"/>
        <v/>
      </c>
      <c r="W122" s="9" t="str">
        <f t="shared" si="12"/>
        <v/>
      </c>
      <c r="X122" s="9"/>
      <c r="Y122" s="9"/>
      <c r="Z122" s="9"/>
      <c r="AA122" s="9"/>
    </row>
    <row r="123" spans="1:27" ht="13.5" customHeight="1" outlineLevel="1" x14ac:dyDescent="0.25">
      <c r="A123" s="366"/>
      <c r="B123" s="53" t="s">
        <v>95</v>
      </c>
      <c r="C123" s="175">
        <v>2.5000000000000001E-2</v>
      </c>
      <c r="D123" s="176">
        <v>0.1</v>
      </c>
      <c r="E123" s="121">
        <v>4.8</v>
      </c>
      <c r="F123" s="112">
        <f t="shared" si="115"/>
        <v>1.2000000000000002E-2</v>
      </c>
      <c r="G123" s="112">
        <f t="shared" si="116"/>
        <v>0.48</v>
      </c>
      <c r="H123" s="238">
        <v>240</v>
      </c>
      <c r="I123" s="114">
        <f t="shared" si="126"/>
        <v>280</v>
      </c>
      <c r="J123" s="115">
        <f t="shared" si="125"/>
        <v>4.0320000000000009</v>
      </c>
      <c r="K123" s="116">
        <f t="shared" si="117"/>
        <v>8.4000000000000021</v>
      </c>
      <c r="L123" s="117">
        <f t="shared" si="118"/>
        <v>87</v>
      </c>
      <c r="M123" s="178">
        <f t="shared" si="119"/>
        <v>1.0440000000000003</v>
      </c>
      <c r="N123" s="119">
        <f t="shared" si="120"/>
        <v>41.76</v>
      </c>
      <c r="O123" s="182"/>
      <c r="P123" s="121" t="str">
        <f t="shared" si="121"/>
        <v/>
      </c>
      <c r="Q123" s="122"/>
      <c r="R123" s="180"/>
      <c r="S123" s="121">
        <f t="shared" si="122"/>
        <v>0</v>
      </c>
      <c r="T123" s="181">
        <v>87</v>
      </c>
      <c r="U123" s="125">
        <f t="shared" si="123"/>
        <v>350.78400000000011</v>
      </c>
      <c r="V123" s="9" t="str">
        <f t="shared" si="11"/>
        <v/>
      </c>
      <c r="W123" s="9" t="str">
        <f t="shared" si="12"/>
        <v/>
      </c>
      <c r="X123" s="9"/>
      <c r="Y123" s="9"/>
      <c r="Z123" s="9"/>
      <c r="AA123" s="9"/>
    </row>
    <row r="124" spans="1:27" ht="13.5" customHeight="1" outlineLevel="1" x14ac:dyDescent="0.25">
      <c r="A124" s="366"/>
      <c r="B124" s="53"/>
      <c r="C124" s="175">
        <v>2.5000000000000001E-2</v>
      </c>
      <c r="D124" s="176">
        <v>0.1</v>
      </c>
      <c r="E124" s="121">
        <v>6</v>
      </c>
      <c r="F124" s="112">
        <f t="shared" si="115"/>
        <v>1.5000000000000003E-2</v>
      </c>
      <c r="G124" s="112">
        <f t="shared" si="116"/>
        <v>0.60000000000000009</v>
      </c>
      <c r="H124" s="238">
        <v>240</v>
      </c>
      <c r="I124" s="114">
        <f t="shared" si="126"/>
        <v>280</v>
      </c>
      <c r="J124" s="115">
        <f t="shared" si="125"/>
        <v>5.0400000000000009</v>
      </c>
      <c r="K124" s="116">
        <f t="shared" si="117"/>
        <v>8.4</v>
      </c>
      <c r="L124" s="117">
        <f t="shared" si="118"/>
        <v>0</v>
      </c>
      <c r="M124" s="178">
        <f t="shared" si="119"/>
        <v>0</v>
      </c>
      <c r="N124" s="119">
        <f t="shared" si="120"/>
        <v>0</v>
      </c>
      <c r="O124" s="182"/>
      <c r="P124" s="121" t="str">
        <f t="shared" si="121"/>
        <v/>
      </c>
      <c r="Q124" s="122"/>
      <c r="R124" s="180"/>
      <c r="S124" s="121">
        <f t="shared" si="122"/>
        <v>0</v>
      </c>
      <c r="T124" s="181">
        <v>0</v>
      </c>
      <c r="U124" s="125">
        <f t="shared" si="123"/>
        <v>0</v>
      </c>
      <c r="V124" s="9" t="str">
        <f t="shared" si="11"/>
        <v/>
      </c>
      <c r="W124" s="9" t="str">
        <f t="shared" si="12"/>
        <v/>
      </c>
      <c r="X124" s="9"/>
      <c r="Y124" s="9"/>
      <c r="Z124" s="9"/>
      <c r="AA124" s="9"/>
    </row>
    <row r="125" spans="1:27" ht="13.5" customHeight="1" outlineLevel="1" x14ac:dyDescent="0.25">
      <c r="A125" s="366"/>
      <c r="B125" s="53" t="s">
        <v>97</v>
      </c>
      <c r="C125" s="175">
        <v>2.5000000000000001E-2</v>
      </c>
      <c r="D125" s="176">
        <v>0.15</v>
      </c>
      <c r="E125" s="121">
        <v>3.6</v>
      </c>
      <c r="F125" s="112">
        <f t="shared" si="115"/>
        <v>1.35E-2</v>
      </c>
      <c r="G125" s="112">
        <f t="shared" si="116"/>
        <v>0.54</v>
      </c>
      <c r="H125" s="238">
        <v>240</v>
      </c>
      <c r="I125" s="114">
        <f>ROUND(H125*1.1667,0)*0.9</f>
        <v>252</v>
      </c>
      <c r="J125" s="115">
        <f>ROUND((I125*0.873)*1.21,0)*(C125*D125*E125)</f>
        <v>3.5909999999999997</v>
      </c>
      <c r="K125" s="116">
        <f t="shared" si="117"/>
        <v>6.6499999999999995</v>
      </c>
      <c r="L125" s="117">
        <f t="shared" si="118"/>
        <v>44</v>
      </c>
      <c r="M125" s="178">
        <f t="shared" si="119"/>
        <v>0.59399999999999997</v>
      </c>
      <c r="N125" s="119">
        <f t="shared" si="120"/>
        <v>23.76</v>
      </c>
      <c r="O125" s="182"/>
      <c r="P125" s="121" t="str">
        <f t="shared" si="121"/>
        <v/>
      </c>
      <c r="Q125" s="122"/>
      <c r="R125" s="180"/>
      <c r="S125" s="121">
        <f t="shared" si="122"/>
        <v>0</v>
      </c>
      <c r="T125" s="181">
        <v>44</v>
      </c>
      <c r="U125" s="125">
        <f t="shared" si="123"/>
        <v>158.00399999999999</v>
      </c>
      <c r="V125" s="9" t="str">
        <f t="shared" si="11"/>
        <v/>
      </c>
      <c r="W125" s="9" t="str">
        <f t="shared" si="12"/>
        <v/>
      </c>
      <c r="X125" s="9"/>
      <c r="Y125" s="9"/>
      <c r="Z125" s="9"/>
      <c r="AA125" s="9"/>
    </row>
    <row r="126" spans="1:27" ht="13.5" customHeight="1" outlineLevel="1" x14ac:dyDescent="0.25">
      <c r="A126" s="366"/>
      <c r="B126" s="53"/>
      <c r="C126" s="175">
        <v>2.5000000000000001E-2</v>
      </c>
      <c r="D126" s="176">
        <v>0.15</v>
      </c>
      <c r="E126" s="121">
        <v>4.8</v>
      </c>
      <c r="F126" s="112">
        <f t="shared" si="115"/>
        <v>1.7999999999999999E-2</v>
      </c>
      <c r="G126" s="112">
        <f t="shared" si="116"/>
        <v>0.72</v>
      </c>
      <c r="H126" s="238">
        <v>240</v>
      </c>
      <c r="I126" s="114">
        <f t="shared" ref="I126:I127" si="127">ROUND(H126*1.1667,0)</f>
        <v>280</v>
      </c>
      <c r="J126" s="115">
        <f t="shared" ref="J126:J127" si="128">ROUND((I126*0.992)*1.21,0)*(C126*D126*E126)</f>
        <v>6.0479999999999992</v>
      </c>
      <c r="K126" s="116">
        <f t="shared" si="117"/>
        <v>8.3999999999999986</v>
      </c>
      <c r="L126" s="117">
        <v>109</v>
      </c>
      <c r="M126" s="178">
        <f t="shared" si="119"/>
        <v>1.9619999999999997</v>
      </c>
      <c r="N126" s="119">
        <f t="shared" si="120"/>
        <v>78.48</v>
      </c>
      <c r="O126" s="182"/>
      <c r="P126" s="121" t="str">
        <f t="shared" si="121"/>
        <v/>
      </c>
      <c r="Q126" s="122"/>
      <c r="R126" s="180"/>
      <c r="S126" s="121">
        <f t="shared" si="122"/>
        <v>0</v>
      </c>
      <c r="T126" s="181">
        <v>109</v>
      </c>
      <c r="U126" s="125">
        <f t="shared" si="123"/>
        <v>659.23199999999986</v>
      </c>
      <c r="V126" s="9" t="str">
        <f t="shared" si="11"/>
        <v/>
      </c>
      <c r="W126" s="9" t="str">
        <f t="shared" si="12"/>
        <v/>
      </c>
      <c r="X126" s="9"/>
      <c r="Y126" s="9"/>
      <c r="Z126" s="9"/>
      <c r="AA126" s="9"/>
    </row>
    <row r="127" spans="1:27" ht="13.5" customHeight="1" outlineLevel="1" x14ac:dyDescent="0.25">
      <c r="A127" s="366"/>
      <c r="B127" s="53"/>
      <c r="C127" s="175">
        <v>2.5000000000000001E-2</v>
      </c>
      <c r="D127" s="176">
        <v>0.15</v>
      </c>
      <c r="E127" s="121">
        <v>6</v>
      </c>
      <c r="F127" s="112">
        <f t="shared" si="115"/>
        <v>2.2499999999999999E-2</v>
      </c>
      <c r="G127" s="112">
        <f t="shared" si="116"/>
        <v>0.89999999999999991</v>
      </c>
      <c r="H127" s="238">
        <v>240</v>
      </c>
      <c r="I127" s="114">
        <f t="shared" si="127"/>
        <v>280</v>
      </c>
      <c r="J127" s="115">
        <f t="shared" si="128"/>
        <v>7.56</v>
      </c>
      <c r="K127" s="116">
        <f t="shared" si="117"/>
        <v>8.4</v>
      </c>
      <c r="L127" s="117">
        <f t="shared" ref="L127:L128" si="129">T127+R127-O127</f>
        <v>140</v>
      </c>
      <c r="M127" s="178">
        <f t="shared" si="119"/>
        <v>3.15</v>
      </c>
      <c r="N127" s="119">
        <f t="shared" si="120"/>
        <v>125.99999999999999</v>
      </c>
      <c r="O127" s="182"/>
      <c r="P127" s="121" t="str">
        <f t="shared" si="121"/>
        <v/>
      </c>
      <c r="Q127" s="122"/>
      <c r="R127" s="180"/>
      <c r="S127" s="121">
        <f t="shared" si="122"/>
        <v>0</v>
      </c>
      <c r="T127" s="181">
        <v>140</v>
      </c>
      <c r="U127" s="125">
        <f t="shared" si="123"/>
        <v>1058.3999999999999</v>
      </c>
      <c r="V127" s="9"/>
      <c r="W127" s="9" t="str">
        <f t="shared" si="12"/>
        <v/>
      </c>
      <c r="X127" s="9"/>
      <c r="Y127" s="9"/>
      <c r="Z127" s="9"/>
      <c r="AA127" s="9"/>
    </row>
    <row r="128" spans="1:27" ht="13.5" customHeight="1" outlineLevel="1" x14ac:dyDescent="0.25">
      <c r="A128" s="366"/>
      <c r="B128" s="53" t="s">
        <v>95</v>
      </c>
      <c r="C128" s="175">
        <v>2.5000000000000001E-2</v>
      </c>
      <c r="D128" s="176">
        <v>0.15</v>
      </c>
      <c r="E128" s="121">
        <v>6</v>
      </c>
      <c r="F128" s="112">
        <f t="shared" si="115"/>
        <v>2.2499999999999999E-2</v>
      </c>
      <c r="G128" s="112">
        <f t="shared" si="116"/>
        <v>0.89999999999999991</v>
      </c>
      <c r="H128" s="238">
        <v>257.2</v>
      </c>
      <c r="I128" s="114">
        <f>ROUND(H128*1.1667,0)*0.88</f>
        <v>264</v>
      </c>
      <c r="J128" s="115">
        <f>ROUND((I128*0.88)*1.21,0)*(C128*D128*E128)</f>
        <v>6.3224999999999998</v>
      </c>
      <c r="K128" s="116">
        <f t="shared" si="117"/>
        <v>7.0250000000000004</v>
      </c>
      <c r="L128" s="117">
        <f t="shared" si="129"/>
        <v>37</v>
      </c>
      <c r="M128" s="178">
        <f t="shared" si="119"/>
        <v>0.83250000000000002</v>
      </c>
      <c r="N128" s="119">
        <f t="shared" si="120"/>
        <v>33.299999999999997</v>
      </c>
      <c r="O128" s="182"/>
      <c r="P128" s="121" t="str">
        <f t="shared" si="121"/>
        <v/>
      </c>
      <c r="Q128" s="122"/>
      <c r="R128" s="180"/>
      <c r="S128" s="121">
        <f t="shared" si="122"/>
        <v>0</v>
      </c>
      <c r="T128" s="181">
        <v>37</v>
      </c>
      <c r="U128" s="125">
        <f t="shared" si="123"/>
        <v>233.9325</v>
      </c>
      <c r="V128" s="9" t="str">
        <f t="shared" ref="V128:V171" si="130">IF(O128="","",Q128-(O128*(H128*F128)))</f>
        <v/>
      </c>
      <c r="W128" s="9" t="str">
        <f t="shared" si="12"/>
        <v/>
      </c>
      <c r="X128" s="9"/>
      <c r="Y128" s="9"/>
      <c r="Z128" s="9"/>
      <c r="AA128" s="9"/>
    </row>
    <row r="129" spans="1:27" ht="13.5" customHeight="1" outlineLevel="1" x14ac:dyDescent="0.25">
      <c r="A129" s="366"/>
      <c r="B129" s="53" t="s">
        <v>98</v>
      </c>
      <c r="C129" s="175">
        <v>0.05</v>
      </c>
      <c r="D129" s="176">
        <v>0.05</v>
      </c>
      <c r="E129" s="121">
        <v>1</v>
      </c>
      <c r="F129" s="112">
        <f t="shared" si="115"/>
        <v>2.5000000000000005E-3</v>
      </c>
      <c r="G129" s="112">
        <f t="shared" si="116"/>
        <v>0.05</v>
      </c>
      <c r="H129" s="238">
        <v>240</v>
      </c>
      <c r="I129" s="114">
        <f>ROUND(H129*1.1667,0)*0.9</f>
        <v>252</v>
      </c>
      <c r="J129" s="115">
        <f>ROUND((I129*0.873)*1.21,0)*(C129*D129*E129)</f>
        <v>0.66500000000000015</v>
      </c>
      <c r="K129" s="116">
        <f t="shared" si="117"/>
        <v>13.300000000000002</v>
      </c>
      <c r="L129" s="117">
        <f>T129+R129-O129+27</f>
        <v>55</v>
      </c>
      <c r="M129" s="178">
        <f t="shared" si="119"/>
        <v>0.13750000000000004</v>
      </c>
      <c r="N129" s="119">
        <f t="shared" si="120"/>
        <v>2.75</v>
      </c>
      <c r="O129" s="179"/>
      <c r="P129" s="121" t="str">
        <f t="shared" si="121"/>
        <v/>
      </c>
      <c r="Q129" s="122"/>
      <c r="R129" s="180"/>
      <c r="S129" s="121">
        <f t="shared" si="122"/>
        <v>0</v>
      </c>
      <c r="T129" s="181">
        <v>28</v>
      </c>
      <c r="U129" s="125">
        <f t="shared" si="123"/>
        <v>36.57500000000001</v>
      </c>
      <c r="V129" s="9" t="str">
        <f t="shared" si="130"/>
        <v/>
      </c>
      <c r="W129" s="9" t="str">
        <f t="shared" si="12"/>
        <v/>
      </c>
      <c r="X129" s="9"/>
      <c r="Y129" s="9"/>
      <c r="Z129" s="9"/>
      <c r="AA129" s="9"/>
    </row>
    <row r="130" spans="1:27" ht="13.5" customHeight="1" outlineLevel="1" x14ac:dyDescent="0.25">
      <c r="A130" s="366"/>
      <c r="B130" s="53"/>
      <c r="C130" s="175">
        <v>0.05</v>
      </c>
      <c r="D130" s="176">
        <v>0.05</v>
      </c>
      <c r="E130" s="121">
        <v>4.9000000000000004</v>
      </c>
      <c r="F130" s="112">
        <f t="shared" si="115"/>
        <v>1.2250000000000004E-2</v>
      </c>
      <c r="G130" s="112">
        <f t="shared" si="116"/>
        <v>0.24500000000000002</v>
      </c>
      <c r="H130" s="238">
        <v>283</v>
      </c>
      <c r="I130" s="114">
        <f t="shared" ref="I130:I134" si="131">ROUND(H130*1.1667,0)</f>
        <v>330</v>
      </c>
      <c r="J130" s="115">
        <f t="shared" ref="J130:J134" si="132">ROUND((I130*0.992)*1.21,0)*(C130*D130*E130)</f>
        <v>4.8510000000000018</v>
      </c>
      <c r="K130" s="116">
        <f t="shared" si="117"/>
        <v>19.800000000000004</v>
      </c>
      <c r="L130" s="117">
        <f t="shared" ref="L130:L171" si="133">T130+R130-O130</f>
        <v>0</v>
      </c>
      <c r="M130" s="178">
        <f t="shared" si="119"/>
        <v>0</v>
      </c>
      <c r="N130" s="146">
        <f t="shared" si="120"/>
        <v>0</v>
      </c>
      <c r="O130" s="182"/>
      <c r="P130" s="121" t="str">
        <f t="shared" si="121"/>
        <v/>
      </c>
      <c r="Q130" s="122"/>
      <c r="R130" s="180"/>
      <c r="S130" s="121">
        <f t="shared" si="122"/>
        <v>0</v>
      </c>
      <c r="T130" s="181">
        <v>0</v>
      </c>
      <c r="U130" s="125">
        <f t="shared" si="123"/>
        <v>0</v>
      </c>
      <c r="V130" s="9" t="str">
        <f t="shared" si="130"/>
        <v/>
      </c>
      <c r="W130" s="9" t="str">
        <f t="shared" si="12"/>
        <v/>
      </c>
      <c r="X130" s="9"/>
      <c r="Y130" s="9"/>
      <c r="Z130" s="9"/>
      <c r="AA130" s="9"/>
    </row>
    <row r="131" spans="1:27" ht="13.5" customHeight="1" outlineLevel="1" x14ac:dyDescent="0.25">
      <c r="A131" s="366"/>
      <c r="B131" s="53"/>
      <c r="C131" s="175">
        <v>0.05</v>
      </c>
      <c r="D131" s="176">
        <v>0.05</v>
      </c>
      <c r="E131" s="121">
        <v>6</v>
      </c>
      <c r="F131" s="112">
        <f t="shared" si="115"/>
        <v>1.5000000000000003E-2</v>
      </c>
      <c r="G131" s="112">
        <f t="shared" si="116"/>
        <v>0.30000000000000004</v>
      </c>
      <c r="H131" s="238">
        <v>283</v>
      </c>
      <c r="I131" s="114">
        <f t="shared" si="131"/>
        <v>330</v>
      </c>
      <c r="J131" s="115">
        <f t="shared" si="132"/>
        <v>5.9400000000000013</v>
      </c>
      <c r="K131" s="116">
        <f t="shared" si="117"/>
        <v>19.8</v>
      </c>
      <c r="L131" s="117">
        <f t="shared" si="133"/>
        <v>0</v>
      </c>
      <c r="M131" s="178">
        <f t="shared" si="119"/>
        <v>0</v>
      </c>
      <c r="N131" s="146">
        <f t="shared" si="120"/>
        <v>0</v>
      </c>
      <c r="O131" s="182"/>
      <c r="P131" s="121" t="str">
        <f t="shared" si="121"/>
        <v/>
      </c>
      <c r="Q131" s="122"/>
      <c r="R131" s="180"/>
      <c r="S131" s="121">
        <f t="shared" si="122"/>
        <v>0</v>
      </c>
      <c r="T131" s="181">
        <v>0</v>
      </c>
      <c r="U131" s="125">
        <f t="shared" si="123"/>
        <v>0</v>
      </c>
      <c r="V131" s="9" t="str">
        <f t="shared" si="130"/>
        <v/>
      </c>
      <c r="W131" s="9" t="str">
        <f t="shared" si="12"/>
        <v/>
      </c>
      <c r="X131" s="9"/>
      <c r="Y131" s="9"/>
      <c r="Z131" s="9"/>
      <c r="AA131" s="9"/>
    </row>
    <row r="132" spans="1:27" ht="13.5" customHeight="1" outlineLevel="1" x14ac:dyDescent="0.25">
      <c r="A132" s="366"/>
      <c r="B132" s="53"/>
      <c r="C132" s="175">
        <v>0.05</v>
      </c>
      <c r="D132" s="176">
        <v>0.1</v>
      </c>
      <c r="E132" s="121">
        <v>3.6</v>
      </c>
      <c r="F132" s="112">
        <f t="shared" si="115"/>
        <v>1.8000000000000006E-2</v>
      </c>
      <c r="G132" s="112">
        <f t="shared" si="116"/>
        <v>0.36000000000000004</v>
      </c>
      <c r="H132" s="238">
        <v>240</v>
      </c>
      <c r="I132" s="114">
        <f t="shared" si="131"/>
        <v>280</v>
      </c>
      <c r="J132" s="115">
        <f t="shared" si="132"/>
        <v>6.0480000000000018</v>
      </c>
      <c r="K132" s="116">
        <f t="shared" si="117"/>
        <v>16.800000000000004</v>
      </c>
      <c r="L132" s="117">
        <f t="shared" si="133"/>
        <v>88</v>
      </c>
      <c r="M132" s="178">
        <f t="shared" si="119"/>
        <v>1.5840000000000005</v>
      </c>
      <c r="N132" s="119">
        <f t="shared" si="120"/>
        <v>31.680000000000003</v>
      </c>
      <c r="O132" s="182">
        <v>5</v>
      </c>
      <c r="P132" s="121">
        <f t="shared" si="121"/>
        <v>9.0000000000000024E-2</v>
      </c>
      <c r="Q132" s="122">
        <v>30</v>
      </c>
      <c r="R132" s="180"/>
      <c r="S132" s="121">
        <f t="shared" si="122"/>
        <v>0</v>
      </c>
      <c r="T132" s="181">
        <v>93</v>
      </c>
      <c r="U132" s="125">
        <f t="shared" si="123"/>
        <v>532.22400000000016</v>
      </c>
      <c r="V132" s="9">
        <f t="shared" si="130"/>
        <v>8.399999999999995</v>
      </c>
      <c r="W132" s="9">
        <f t="shared" si="12"/>
        <v>21.600000000000005</v>
      </c>
      <c r="X132" s="9"/>
      <c r="Y132" s="9"/>
      <c r="Z132" s="9"/>
      <c r="AA132" s="9"/>
    </row>
    <row r="133" spans="1:27" ht="13.5" customHeight="1" outlineLevel="1" x14ac:dyDescent="0.25">
      <c r="A133" s="366"/>
      <c r="B133" s="53"/>
      <c r="C133" s="175">
        <v>0.05</v>
      </c>
      <c r="D133" s="176">
        <v>0.1</v>
      </c>
      <c r="E133" s="121">
        <v>4.9000000000000004</v>
      </c>
      <c r="F133" s="112">
        <f t="shared" si="115"/>
        <v>2.4500000000000008E-2</v>
      </c>
      <c r="G133" s="112">
        <f t="shared" si="116"/>
        <v>0.49000000000000005</v>
      </c>
      <c r="H133" s="238">
        <v>240</v>
      </c>
      <c r="I133" s="114">
        <f t="shared" si="131"/>
        <v>280</v>
      </c>
      <c r="J133" s="115">
        <f t="shared" si="132"/>
        <v>8.2320000000000029</v>
      </c>
      <c r="K133" s="116">
        <f t="shared" si="117"/>
        <v>16.800000000000004</v>
      </c>
      <c r="L133" s="117">
        <f t="shared" si="133"/>
        <v>312</v>
      </c>
      <c r="M133" s="178">
        <f t="shared" si="119"/>
        <v>7.6440000000000028</v>
      </c>
      <c r="N133" s="119">
        <f t="shared" si="120"/>
        <v>152.88000000000002</v>
      </c>
      <c r="O133" s="182"/>
      <c r="P133" s="121" t="str">
        <f t="shared" si="121"/>
        <v/>
      </c>
      <c r="Q133" s="122"/>
      <c r="R133" s="180"/>
      <c r="S133" s="121">
        <f t="shared" si="122"/>
        <v>0</v>
      </c>
      <c r="T133" s="181">
        <v>312</v>
      </c>
      <c r="U133" s="125">
        <f t="shared" si="123"/>
        <v>2568.3840000000009</v>
      </c>
      <c r="V133" s="9" t="str">
        <f t="shared" si="130"/>
        <v/>
      </c>
      <c r="W133" s="9" t="str">
        <f t="shared" si="12"/>
        <v/>
      </c>
      <c r="X133" s="9"/>
      <c r="Y133" s="9"/>
      <c r="Z133" s="9"/>
      <c r="AA133" s="9"/>
    </row>
    <row r="134" spans="1:27" ht="13.5" customHeight="1" outlineLevel="1" x14ac:dyDescent="0.25">
      <c r="A134" s="366"/>
      <c r="B134" s="53"/>
      <c r="C134" s="175">
        <v>0.05</v>
      </c>
      <c r="D134" s="176">
        <v>0.1</v>
      </c>
      <c r="E134" s="121">
        <v>6</v>
      </c>
      <c r="F134" s="112">
        <f t="shared" si="115"/>
        <v>3.0000000000000006E-2</v>
      </c>
      <c r="G134" s="112">
        <f t="shared" si="116"/>
        <v>0.60000000000000009</v>
      </c>
      <c r="H134" s="238">
        <v>240</v>
      </c>
      <c r="I134" s="114">
        <f t="shared" si="131"/>
        <v>280</v>
      </c>
      <c r="J134" s="115">
        <f t="shared" si="132"/>
        <v>10.080000000000002</v>
      </c>
      <c r="K134" s="116">
        <f t="shared" si="117"/>
        <v>16.8</v>
      </c>
      <c r="L134" s="117">
        <f t="shared" si="133"/>
        <v>68</v>
      </c>
      <c r="M134" s="178">
        <f t="shared" si="119"/>
        <v>2.0400000000000005</v>
      </c>
      <c r="N134" s="119">
        <f t="shared" si="120"/>
        <v>40.800000000000004</v>
      </c>
      <c r="O134" s="182"/>
      <c r="P134" s="121" t="str">
        <f t="shared" si="121"/>
        <v/>
      </c>
      <c r="Q134" s="122"/>
      <c r="R134" s="180"/>
      <c r="S134" s="121">
        <f t="shared" si="122"/>
        <v>0</v>
      </c>
      <c r="T134" s="181">
        <v>68</v>
      </c>
      <c r="U134" s="125">
        <f t="shared" si="123"/>
        <v>685.44000000000017</v>
      </c>
      <c r="V134" s="9" t="str">
        <f t="shared" si="130"/>
        <v/>
      </c>
      <c r="W134" s="9" t="str">
        <f t="shared" si="12"/>
        <v/>
      </c>
      <c r="X134" s="9"/>
      <c r="Y134" s="9"/>
      <c r="Z134" s="9"/>
      <c r="AA134" s="9"/>
    </row>
    <row r="135" spans="1:27" ht="13.5" customHeight="1" outlineLevel="1" x14ac:dyDescent="0.25">
      <c r="A135" s="366"/>
      <c r="B135" s="53" t="s">
        <v>95</v>
      </c>
      <c r="C135" s="175">
        <v>0.05</v>
      </c>
      <c r="D135" s="176">
        <v>0.125</v>
      </c>
      <c r="E135" s="121">
        <v>6</v>
      </c>
      <c r="F135" s="112">
        <f t="shared" si="115"/>
        <v>3.7500000000000006E-2</v>
      </c>
      <c r="G135" s="112">
        <f t="shared" si="116"/>
        <v>0.75</v>
      </c>
      <c r="H135" s="238">
        <v>240</v>
      </c>
      <c r="I135" s="114">
        <f>ROUND(H135*1.1667,0)*0.9</f>
        <v>252</v>
      </c>
      <c r="J135" s="115">
        <f>ROUND((I135*0.873)*1.21,0)*(C135*D135*E135)</f>
        <v>9.9750000000000014</v>
      </c>
      <c r="K135" s="116">
        <f t="shared" si="117"/>
        <v>13.300000000000002</v>
      </c>
      <c r="L135" s="117">
        <f t="shared" si="133"/>
        <v>16</v>
      </c>
      <c r="M135" s="178">
        <f t="shared" si="119"/>
        <v>0.60000000000000009</v>
      </c>
      <c r="N135" s="119">
        <f t="shared" si="120"/>
        <v>12</v>
      </c>
      <c r="O135" s="182"/>
      <c r="P135" s="121" t="str">
        <f t="shared" si="121"/>
        <v/>
      </c>
      <c r="Q135" s="122"/>
      <c r="R135" s="180"/>
      <c r="S135" s="121">
        <f t="shared" si="122"/>
        <v>0</v>
      </c>
      <c r="T135" s="181">
        <v>16</v>
      </c>
      <c r="U135" s="125">
        <f t="shared" si="123"/>
        <v>159.60000000000002</v>
      </c>
      <c r="V135" s="9" t="str">
        <f t="shared" si="130"/>
        <v/>
      </c>
      <c r="W135" s="9" t="str">
        <f t="shared" si="12"/>
        <v/>
      </c>
      <c r="X135" s="9"/>
      <c r="Y135" s="9"/>
      <c r="Z135" s="9"/>
      <c r="AA135" s="9"/>
    </row>
    <row r="136" spans="1:27" ht="13.5" customHeight="1" outlineLevel="1" x14ac:dyDescent="0.25">
      <c r="A136" s="366"/>
      <c r="B136" s="53"/>
      <c r="C136" s="175">
        <v>0.05</v>
      </c>
      <c r="D136" s="176">
        <v>0.15</v>
      </c>
      <c r="E136" s="121">
        <v>3.7</v>
      </c>
      <c r="F136" s="112">
        <f t="shared" si="115"/>
        <v>2.775E-2</v>
      </c>
      <c r="G136" s="112">
        <f t="shared" si="116"/>
        <v>0.55500000000000005</v>
      </c>
      <c r="H136" s="238">
        <v>240</v>
      </c>
      <c r="I136" s="114">
        <f t="shared" ref="I136:I157" si="134">ROUND(H136*1.1667,0)</f>
        <v>280</v>
      </c>
      <c r="J136" s="115">
        <f t="shared" ref="J136:J157" si="135">ROUND((I136*0.992)*1.21,0)*(C136*D136*E136)</f>
        <v>9.3239999999999998</v>
      </c>
      <c r="K136" s="116">
        <f t="shared" si="117"/>
        <v>16.799999999999997</v>
      </c>
      <c r="L136" s="117">
        <f t="shared" si="133"/>
        <v>33</v>
      </c>
      <c r="M136" s="178">
        <f t="shared" si="119"/>
        <v>0.91575000000000006</v>
      </c>
      <c r="N136" s="119">
        <f t="shared" si="120"/>
        <v>18.315000000000001</v>
      </c>
      <c r="O136" s="182"/>
      <c r="P136" s="121" t="str">
        <f t="shared" si="121"/>
        <v/>
      </c>
      <c r="Q136" s="122"/>
      <c r="R136" s="180"/>
      <c r="S136" s="121">
        <f t="shared" si="122"/>
        <v>0</v>
      </c>
      <c r="T136" s="181">
        <v>33</v>
      </c>
      <c r="U136" s="125">
        <f t="shared" si="123"/>
        <v>307.69200000000001</v>
      </c>
      <c r="V136" s="9" t="str">
        <f t="shared" si="130"/>
        <v/>
      </c>
      <c r="W136" s="9" t="str">
        <f t="shared" si="12"/>
        <v/>
      </c>
      <c r="X136" s="9"/>
      <c r="Y136" s="9"/>
      <c r="Z136" s="9"/>
      <c r="AA136" s="9"/>
    </row>
    <row r="137" spans="1:27" ht="13.5" customHeight="1" outlineLevel="1" x14ac:dyDescent="0.25">
      <c r="A137" s="366"/>
      <c r="B137" s="53"/>
      <c r="C137" s="175">
        <v>0.05</v>
      </c>
      <c r="D137" s="176">
        <v>0.15</v>
      </c>
      <c r="E137" s="121">
        <v>4.9000000000000004</v>
      </c>
      <c r="F137" s="112">
        <f t="shared" si="115"/>
        <v>3.6749999999999998E-2</v>
      </c>
      <c r="G137" s="112">
        <f t="shared" si="116"/>
        <v>0.73499999999999999</v>
      </c>
      <c r="H137" s="238">
        <v>240</v>
      </c>
      <c r="I137" s="114">
        <f t="shared" si="134"/>
        <v>280</v>
      </c>
      <c r="J137" s="115">
        <f t="shared" si="135"/>
        <v>12.347999999999999</v>
      </c>
      <c r="K137" s="116">
        <f t="shared" si="117"/>
        <v>16.799999999999997</v>
      </c>
      <c r="L137" s="117">
        <f t="shared" si="133"/>
        <v>405</v>
      </c>
      <c r="M137" s="178">
        <f t="shared" si="119"/>
        <v>14.883749999999999</v>
      </c>
      <c r="N137" s="119">
        <f t="shared" si="120"/>
        <v>297.67500000000001</v>
      </c>
      <c r="O137" s="182">
        <v>40</v>
      </c>
      <c r="P137" s="121">
        <f t="shared" si="121"/>
        <v>1.47</v>
      </c>
      <c r="Q137" s="122">
        <v>400</v>
      </c>
      <c r="R137" s="180"/>
      <c r="S137" s="121">
        <f t="shared" si="122"/>
        <v>0</v>
      </c>
      <c r="T137" s="181">
        <v>445</v>
      </c>
      <c r="U137" s="125">
        <f t="shared" si="123"/>
        <v>5000.9399999999996</v>
      </c>
      <c r="V137" s="9">
        <f t="shared" si="130"/>
        <v>47.199999999999989</v>
      </c>
      <c r="W137" s="9">
        <f t="shared" si="12"/>
        <v>352.8</v>
      </c>
      <c r="X137" s="9"/>
      <c r="Y137" s="9"/>
      <c r="Z137" s="9"/>
      <c r="AA137" s="9"/>
    </row>
    <row r="138" spans="1:27" ht="13.5" customHeight="1" outlineLevel="1" x14ac:dyDescent="0.25">
      <c r="A138" s="366"/>
      <c r="B138" s="53"/>
      <c r="C138" s="175">
        <v>0.05</v>
      </c>
      <c r="D138" s="176">
        <v>0.15</v>
      </c>
      <c r="E138" s="121">
        <v>6</v>
      </c>
      <c r="F138" s="112">
        <f t="shared" si="115"/>
        <v>4.4999999999999998E-2</v>
      </c>
      <c r="G138" s="112">
        <f t="shared" si="116"/>
        <v>0.89999999999999991</v>
      </c>
      <c r="H138" s="238">
        <v>240</v>
      </c>
      <c r="I138" s="114">
        <f t="shared" si="134"/>
        <v>280</v>
      </c>
      <c r="J138" s="115">
        <f t="shared" si="135"/>
        <v>15.12</v>
      </c>
      <c r="K138" s="116">
        <f t="shared" si="117"/>
        <v>16.8</v>
      </c>
      <c r="L138" s="117">
        <f t="shared" si="133"/>
        <v>863</v>
      </c>
      <c r="M138" s="178">
        <f t="shared" si="119"/>
        <v>38.835000000000001</v>
      </c>
      <c r="N138" s="119">
        <f t="shared" si="120"/>
        <v>776.69999999999993</v>
      </c>
      <c r="O138" s="182"/>
      <c r="P138" s="121" t="str">
        <f t="shared" si="121"/>
        <v/>
      </c>
      <c r="Q138" s="122"/>
      <c r="R138" s="180"/>
      <c r="S138" s="121">
        <f t="shared" si="122"/>
        <v>0</v>
      </c>
      <c r="T138" s="181">
        <v>863</v>
      </c>
      <c r="U138" s="125">
        <f t="shared" si="123"/>
        <v>13048.56</v>
      </c>
      <c r="V138" s="9" t="str">
        <f t="shared" si="130"/>
        <v/>
      </c>
      <c r="W138" s="9" t="str">
        <f t="shared" si="12"/>
        <v/>
      </c>
      <c r="X138" s="9"/>
      <c r="Y138" s="9"/>
      <c r="Z138" s="9"/>
      <c r="AA138" s="9"/>
    </row>
    <row r="139" spans="1:27" ht="13.5" customHeight="1" outlineLevel="1" x14ac:dyDescent="0.25">
      <c r="A139" s="366"/>
      <c r="B139" s="53" t="s">
        <v>95</v>
      </c>
      <c r="C139" s="175">
        <v>0.05</v>
      </c>
      <c r="D139" s="176">
        <v>0.2</v>
      </c>
      <c r="E139" s="121">
        <v>3.7</v>
      </c>
      <c r="F139" s="112">
        <f t="shared" si="115"/>
        <v>3.7000000000000012E-2</v>
      </c>
      <c r="G139" s="112">
        <f t="shared" si="116"/>
        <v>0.7400000000000001</v>
      </c>
      <c r="H139" s="238">
        <v>240</v>
      </c>
      <c r="I139" s="114">
        <f t="shared" si="134"/>
        <v>280</v>
      </c>
      <c r="J139" s="115">
        <f t="shared" si="135"/>
        <v>12.432000000000004</v>
      </c>
      <c r="K139" s="243">
        <f t="shared" si="117"/>
        <v>16.800000000000004</v>
      </c>
      <c r="L139" s="117">
        <f t="shared" si="133"/>
        <v>16</v>
      </c>
      <c r="M139" s="178">
        <f t="shared" si="119"/>
        <v>0.59200000000000019</v>
      </c>
      <c r="N139" s="119">
        <f t="shared" si="120"/>
        <v>11.840000000000002</v>
      </c>
      <c r="O139" s="182"/>
      <c r="P139" s="121" t="str">
        <f t="shared" si="121"/>
        <v/>
      </c>
      <c r="Q139" s="122"/>
      <c r="R139" s="180"/>
      <c r="S139" s="121">
        <f t="shared" si="122"/>
        <v>0</v>
      </c>
      <c r="T139" s="181">
        <v>16</v>
      </c>
      <c r="U139" s="125">
        <f t="shared" si="123"/>
        <v>198.91200000000006</v>
      </c>
      <c r="V139" s="9" t="str">
        <f t="shared" si="130"/>
        <v/>
      </c>
      <c r="W139" s="9" t="str">
        <f t="shared" si="12"/>
        <v/>
      </c>
      <c r="X139" s="9"/>
      <c r="Y139" s="9"/>
      <c r="Z139" s="9"/>
      <c r="AA139" s="9"/>
    </row>
    <row r="140" spans="1:27" ht="13.5" customHeight="1" outlineLevel="1" x14ac:dyDescent="0.25">
      <c r="A140" s="366"/>
      <c r="B140" s="53" t="s">
        <v>95</v>
      </c>
      <c r="C140" s="175">
        <v>0.05</v>
      </c>
      <c r="D140" s="176">
        <v>0.2</v>
      </c>
      <c r="E140" s="121">
        <v>3.9</v>
      </c>
      <c r="F140" s="112">
        <f t="shared" si="115"/>
        <v>3.9000000000000007E-2</v>
      </c>
      <c r="G140" s="112">
        <f t="shared" si="116"/>
        <v>0.78</v>
      </c>
      <c r="H140" s="238">
        <v>240</v>
      </c>
      <c r="I140" s="114">
        <f t="shared" si="134"/>
        <v>280</v>
      </c>
      <c r="J140" s="115">
        <f t="shared" si="135"/>
        <v>13.104000000000003</v>
      </c>
      <c r="K140" s="243">
        <f t="shared" si="117"/>
        <v>16.800000000000004</v>
      </c>
      <c r="L140" s="117">
        <f t="shared" si="133"/>
        <v>51</v>
      </c>
      <c r="M140" s="178">
        <f t="shared" si="119"/>
        <v>1.9890000000000003</v>
      </c>
      <c r="N140" s="119">
        <f t="shared" si="120"/>
        <v>39.78</v>
      </c>
      <c r="O140" s="182"/>
      <c r="P140" s="121" t="str">
        <f t="shared" si="121"/>
        <v/>
      </c>
      <c r="Q140" s="122"/>
      <c r="R140" s="180"/>
      <c r="S140" s="121">
        <f t="shared" si="122"/>
        <v>0</v>
      </c>
      <c r="T140" s="181">
        <v>51</v>
      </c>
      <c r="U140" s="125">
        <f t="shared" si="123"/>
        <v>668.30400000000009</v>
      </c>
      <c r="V140" s="9" t="str">
        <f t="shared" si="130"/>
        <v/>
      </c>
      <c r="W140" s="9" t="str">
        <f t="shared" si="12"/>
        <v/>
      </c>
      <c r="X140" s="9"/>
      <c r="Y140" s="9"/>
      <c r="Z140" s="9"/>
      <c r="AA140" s="9"/>
    </row>
    <row r="141" spans="1:27" ht="13.5" customHeight="1" outlineLevel="1" x14ac:dyDescent="0.25">
      <c r="A141" s="366"/>
      <c r="B141" s="53"/>
      <c r="C141" s="175">
        <v>0.05</v>
      </c>
      <c r="D141" s="176">
        <v>0.2</v>
      </c>
      <c r="E141" s="121">
        <v>4.9000000000000004</v>
      </c>
      <c r="F141" s="112">
        <f t="shared" si="115"/>
        <v>4.9000000000000016E-2</v>
      </c>
      <c r="G141" s="112">
        <f t="shared" si="116"/>
        <v>0.98000000000000009</v>
      </c>
      <c r="H141" s="238">
        <v>240</v>
      </c>
      <c r="I141" s="114">
        <f t="shared" si="134"/>
        <v>280</v>
      </c>
      <c r="J141" s="115">
        <f t="shared" si="135"/>
        <v>16.464000000000006</v>
      </c>
      <c r="K141" s="243">
        <f t="shared" si="117"/>
        <v>16.800000000000004</v>
      </c>
      <c r="L141" s="117">
        <f t="shared" si="133"/>
        <v>197</v>
      </c>
      <c r="M141" s="178">
        <f t="shared" si="119"/>
        <v>9.6530000000000022</v>
      </c>
      <c r="N141" s="119">
        <f t="shared" si="120"/>
        <v>193.06000000000003</v>
      </c>
      <c r="O141" s="182"/>
      <c r="P141" s="121" t="str">
        <f t="shared" si="121"/>
        <v/>
      </c>
      <c r="Q141" s="122"/>
      <c r="R141" s="180"/>
      <c r="S141" s="121">
        <f t="shared" si="122"/>
        <v>0</v>
      </c>
      <c r="T141" s="181">
        <v>197</v>
      </c>
      <c r="U141" s="125">
        <f t="shared" si="123"/>
        <v>3243.4080000000013</v>
      </c>
      <c r="V141" s="9" t="str">
        <f t="shared" si="130"/>
        <v/>
      </c>
      <c r="W141" s="9" t="str">
        <f t="shared" si="12"/>
        <v/>
      </c>
      <c r="X141" s="9"/>
      <c r="Y141" s="9"/>
      <c r="Z141" s="9"/>
      <c r="AA141" s="9"/>
    </row>
    <row r="142" spans="1:27" ht="13.5" customHeight="1" outlineLevel="1" x14ac:dyDescent="0.25">
      <c r="A142" s="366"/>
      <c r="B142" s="53"/>
      <c r="C142" s="175">
        <v>0.05</v>
      </c>
      <c r="D142" s="176">
        <v>0.2</v>
      </c>
      <c r="E142" s="121">
        <v>6</v>
      </c>
      <c r="F142" s="112">
        <f t="shared" si="115"/>
        <v>6.0000000000000012E-2</v>
      </c>
      <c r="G142" s="112">
        <f t="shared" si="116"/>
        <v>1.2000000000000002</v>
      </c>
      <c r="H142" s="177">
        <v>240</v>
      </c>
      <c r="I142" s="114">
        <f t="shared" si="134"/>
        <v>280</v>
      </c>
      <c r="J142" s="115">
        <f t="shared" si="135"/>
        <v>20.160000000000004</v>
      </c>
      <c r="K142" s="243">
        <f t="shared" si="117"/>
        <v>16.8</v>
      </c>
      <c r="L142" s="117">
        <f t="shared" si="133"/>
        <v>459</v>
      </c>
      <c r="M142" s="178">
        <f t="shared" si="119"/>
        <v>27.540000000000006</v>
      </c>
      <c r="N142" s="119">
        <f t="shared" si="120"/>
        <v>550.80000000000007</v>
      </c>
      <c r="O142" s="182"/>
      <c r="P142" s="121" t="str">
        <f t="shared" si="121"/>
        <v/>
      </c>
      <c r="Q142" s="122"/>
      <c r="R142" s="180"/>
      <c r="S142" s="121">
        <f t="shared" si="122"/>
        <v>0</v>
      </c>
      <c r="T142" s="181">
        <v>459</v>
      </c>
      <c r="U142" s="125">
        <f t="shared" si="123"/>
        <v>9253.4400000000023</v>
      </c>
      <c r="V142" s="9" t="str">
        <f t="shared" si="130"/>
        <v/>
      </c>
      <c r="W142" s="9" t="str">
        <f t="shared" si="12"/>
        <v/>
      </c>
      <c r="X142" s="9"/>
      <c r="Y142" s="9"/>
      <c r="Z142" s="9"/>
      <c r="AA142" s="9"/>
    </row>
    <row r="143" spans="1:27" ht="13.5" customHeight="1" outlineLevel="1" x14ac:dyDescent="0.25">
      <c r="A143" s="366"/>
      <c r="B143" s="53"/>
      <c r="C143" s="175">
        <v>0.05</v>
      </c>
      <c r="D143" s="176">
        <v>0.25</v>
      </c>
      <c r="E143" s="121">
        <v>6</v>
      </c>
      <c r="F143" s="112">
        <f t="shared" si="115"/>
        <v>7.5000000000000011E-2</v>
      </c>
      <c r="G143" s="112">
        <f t="shared" si="116"/>
        <v>1.5</v>
      </c>
      <c r="H143" s="238">
        <v>240</v>
      </c>
      <c r="I143" s="114">
        <f t="shared" si="134"/>
        <v>280</v>
      </c>
      <c r="J143" s="115">
        <f t="shared" si="135"/>
        <v>25.200000000000003</v>
      </c>
      <c r="K143" s="116">
        <f t="shared" si="117"/>
        <v>16.8</v>
      </c>
      <c r="L143" s="117">
        <f t="shared" si="133"/>
        <v>0</v>
      </c>
      <c r="M143" s="178">
        <f t="shared" si="119"/>
        <v>0</v>
      </c>
      <c r="N143" s="146">
        <f t="shared" si="120"/>
        <v>0</v>
      </c>
      <c r="O143" s="182"/>
      <c r="P143" s="121" t="str">
        <f t="shared" si="121"/>
        <v/>
      </c>
      <c r="Q143" s="122"/>
      <c r="R143" s="180"/>
      <c r="S143" s="121">
        <f t="shared" si="122"/>
        <v>0</v>
      </c>
      <c r="T143" s="181">
        <v>0</v>
      </c>
      <c r="U143" s="125">
        <f t="shared" si="123"/>
        <v>0</v>
      </c>
      <c r="V143" s="9" t="str">
        <f t="shared" si="130"/>
        <v/>
      </c>
      <c r="W143" s="9" t="str">
        <f t="shared" si="12"/>
        <v/>
      </c>
      <c r="X143" s="9"/>
      <c r="Y143" s="9"/>
      <c r="Z143" s="9"/>
      <c r="AA143" s="9"/>
    </row>
    <row r="144" spans="1:27" ht="13.5" customHeight="1" outlineLevel="1" x14ac:dyDescent="0.25">
      <c r="A144" s="366"/>
      <c r="B144" s="53"/>
      <c r="C144" s="175">
        <v>7.4999999999999997E-2</v>
      </c>
      <c r="D144" s="176">
        <v>0.15</v>
      </c>
      <c r="E144" s="121">
        <v>6</v>
      </c>
      <c r="F144" s="112">
        <f t="shared" si="115"/>
        <v>6.7500000000000004E-2</v>
      </c>
      <c r="G144" s="112">
        <f t="shared" si="116"/>
        <v>0.89999999999999991</v>
      </c>
      <c r="H144" s="238">
        <v>240</v>
      </c>
      <c r="I144" s="114">
        <f t="shared" si="134"/>
        <v>280</v>
      </c>
      <c r="J144" s="115">
        <f t="shared" si="135"/>
        <v>22.68</v>
      </c>
      <c r="K144" s="116">
        <f t="shared" si="117"/>
        <v>25.200000000000003</v>
      </c>
      <c r="L144" s="117">
        <f t="shared" si="133"/>
        <v>43</v>
      </c>
      <c r="M144" s="178">
        <f t="shared" si="119"/>
        <v>2.9025000000000003</v>
      </c>
      <c r="N144" s="119">
        <f t="shared" si="120"/>
        <v>38.699999999999996</v>
      </c>
      <c r="O144" s="182"/>
      <c r="P144" s="121" t="str">
        <f t="shared" si="121"/>
        <v/>
      </c>
      <c r="Q144" s="122"/>
      <c r="R144" s="180"/>
      <c r="S144" s="121">
        <f t="shared" si="122"/>
        <v>0</v>
      </c>
      <c r="T144" s="181">
        <v>43</v>
      </c>
      <c r="U144" s="125">
        <f t="shared" si="123"/>
        <v>975.24</v>
      </c>
      <c r="V144" s="9" t="str">
        <f t="shared" si="130"/>
        <v/>
      </c>
      <c r="W144" s="9" t="str">
        <f t="shared" si="12"/>
        <v/>
      </c>
      <c r="X144" s="9"/>
      <c r="Y144" s="9"/>
      <c r="Z144" s="9"/>
      <c r="AA144" s="9"/>
    </row>
    <row r="145" spans="1:27" ht="13.5" customHeight="1" outlineLevel="1" x14ac:dyDescent="0.25">
      <c r="A145" s="366"/>
      <c r="B145" s="53"/>
      <c r="C145" s="175">
        <v>7.4999999999999997E-2</v>
      </c>
      <c r="D145" s="176">
        <v>0.2</v>
      </c>
      <c r="E145" s="121">
        <v>3.8</v>
      </c>
      <c r="F145" s="112">
        <f t="shared" si="115"/>
        <v>5.6999999999999995E-2</v>
      </c>
      <c r="G145" s="112">
        <f t="shared" si="116"/>
        <v>0.76</v>
      </c>
      <c r="H145" s="238">
        <v>240</v>
      </c>
      <c r="I145" s="114">
        <f t="shared" si="134"/>
        <v>280</v>
      </c>
      <c r="J145" s="115">
        <f t="shared" si="135"/>
        <v>19.151999999999997</v>
      </c>
      <c r="K145" s="116">
        <f t="shared" si="117"/>
        <v>25.199999999999996</v>
      </c>
      <c r="L145" s="117">
        <f t="shared" si="133"/>
        <v>1</v>
      </c>
      <c r="M145" s="178">
        <f t="shared" si="119"/>
        <v>5.6999999999999995E-2</v>
      </c>
      <c r="N145" s="146">
        <f t="shared" si="120"/>
        <v>0.76</v>
      </c>
      <c r="O145" s="195"/>
      <c r="P145" s="121" t="str">
        <f t="shared" si="121"/>
        <v/>
      </c>
      <c r="Q145" s="122"/>
      <c r="R145" s="180"/>
      <c r="S145" s="121">
        <f t="shared" si="122"/>
        <v>0</v>
      </c>
      <c r="T145" s="181">
        <v>1</v>
      </c>
      <c r="U145" s="125">
        <f t="shared" si="123"/>
        <v>19.151999999999997</v>
      </c>
      <c r="V145" s="9" t="str">
        <f t="shared" si="130"/>
        <v/>
      </c>
      <c r="W145" s="9" t="str">
        <f t="shared" si="12"/>
        <v/>
      </c>
      <c r="X145" s="9"/>
      <c r="Y145" s="9"/>
      <c r="Z145" s="9"/>
      <c r="AA145" s="9"/>
    </row>
    <row r="146" spans="1:27" ht="13.5" customHeight="1" outlineLevel="1" x14ac:dyDescent="0.25">
      <c r="A146" s="366"/>
      <c r="B146" s="53"/>
      <c r="C146" s="175">
        <v>7.4999999999999997E-2</v>
      </c>
      <c r="D146" s="176">
        <v>0.2</v>
      </c>
      <c r="E146" s="121">
        <v>4.3</v>
      </c>
      <c r="F146" s="112">
        <f t="shared" si="115"/>
        <v>6.4500000000000002E-2</v>
      </c>
      <c r="G146" s="112">
        <f t="shared" si="116"/>
        <v>0.86</v>
      </c>
      <c r="H146" s="238">
        <v>240</v>
      </c>
      <c r="I146" s="114">
        <f t="shared" si="134"/>
        <v>280</v>
      </c>
      <c r="J146" s="115">
        <f t="shared" si="135"/>
        <v>21.672000000000001</v>
      </c>
      <c r="K146" s="116">
        <f t="shared" si="117"/>
        <v>25.200000000000003</v>
      </c>
      <c r="L146" s="117">
        <f t="shared" si="133"/>
        <v>10</v>
      </c>
      <c r="M146" s="178">
        <f t="shared" si="119"/>
        <v>0.64500000000000002</v>
      </c>
      <c r="N146" s="146">
        <f t="shared" si="120"/>
        <v>8.6</v>
      </c>
      <c r="O146" s="195"/>
      <c r="P146" s="121" t="str">
        <f t="shared" si="121"/>
        <v/>
      </c>
      <c r="Q146" s="122"/>
      <c r="R146" s="180"/>
      <c r="S146" s="121">
        <f t="shared" si="122"/>
        <v>0</v>
      </c>
      <c r="T146" s="181">
        <v>10</v>
      </c>
      <c r="U146" s="125">
        <f t="shared" si="123"/>
        <v>216.72</v>
      </c>
      <c r="V146" s="9" t="str">
        <f t="shared" si="130"/>
        <v/>
      </c>
      <c r="W146" s="9" t="str">
        <f t="shared" si="12"/>
        <v/>
      </c>
      <c r="X146" s="9"/>
      <c r="Y146" s="9"/>
      <c r="Z146" s="9"/>
      <c r="AA146" s="9"/>
    </row>
    <row r="147" spans="1:27" ht="13.5" customHeight="1" outlineLevel="1" x14ac:dyDescent="0.25">
      <c r="A147" s="366"/>
      <c r="B147" s="53"/>
      <c r="C147" s="175">
        <v>7.4999999999999997E-2</v>
      </c>
      <c r="D147" s="176">
        <v>0.2</v>
      </c>
      <c r="E147" s="121">
        <v>4.9000000000000004</v>
      </c>
      <c r="F147" s="112">
        <f t="shared" si="115"/>
        <v>7.3499999999999996E-2</v>
      </c>
      <c r="G147" s="112">
        <f t="shared" si="116"/>
        <v>0.98000000000000009</v>
      </c>
      <c r="H147" s="238">
        <v>240</v>
      </c>
      <c r="I147" s="114">
        <f t="shared" si="134"/>
        <v>280</v>
      </c>
      <c r="J147" s="115">
        <f t="shared" si="135"/>
        <v>24.695999999999998</v>
      </c>
      <c r="K147" s="116">
        <f t="shared" si="117"/>
        <v>25.199999999999996</v>
      </c>
      <c r="L147" s="117">
        <f t="shared" si="133"/>
        <v>5</v>
      </c>
      <c r="M147" s="178">
        <f t="shared" si="119"/>
        <v>0.36749999999999999</v>
      </c>
      <c r="N147" s="146">
        <f t="shared" si="120"/>
        <v>4.9000000000000004</v>
      </c>
      <c r="O147" s="182"/>
      <c r="P147" s="121" t="str">
        <f t="shared" si="121"/>
        <v/>
      </c>
      <c r="Q147" s="122"/>
      <c r="R147" s="180"/>
      <c r="S147" s="121">
        <f t="shared" si="122"/>
        <v>0</v>
      </c>
      <c r="T147" s="181">
        <v>5</v>
      </c>
      <c r="U147" s="125">
        <f t="shared" si="123"/>
        <v>123.47999999999999</v>
      </c>
      <c r="V147" s="9" t="str">
        <f t="shared" si="130"/>
        <v/>
      </c>
      <c r="W147" s="9" t="str">
        <f t="shared" si="12"/>
        <v/>
      </c>
      <c r="X147" s="9"/>
      <c r="Y147" s="9"/>
      <c r="Z147" s="9"/>
      <c r="AA147" s="9"/>
    </row>
    <row r="148" spans="1:27" ht="13.5" customHeight="1" outlineLevel="1" x14ac:dyDescent="0.25">
      <c r="A148" s="366"/>
      <c r="B148" s="53"/>
      <c r="C148" s="175">
        <v>7.4999999999999997E-2</v>
      </c>
      <c r="D148" s="176">
        <v>0.2</v>
      </c>
      <c r="E148" s="121">
        <v>6</v>
      </c>
      <c r="F148" s="112">
        <f t="shared" si="115"/>
        <v>0.09</v>
      </c>
      <c r="G148" s="112">
        <f t="shared" si="116"/>
        <v>1.2000000000000002</v>
      </c>
      <c r="H148" s="238">
        <v>240</v>
      </c>
      <c r="I148" s="114">
        <f t="shared" si="134"/>
        <v>280</v>
      </c>
      <c r="J148" s="115">
        <f t="shared" si="135"/>
        <v>30.24</v>
      </c>
      <c r="K148" s="116">
        <f t="shared" si="117"/>
        <v>25.199999999999996</v>
      </c>
      <c r="L148" s="117">
        <f t="shared" si="133"/>
        <v>1</v>
      </c>
      <c r="M148" s="178">
        <f t="shared" si="119"/>
        <v>0.09</v>
      </c>
      <c r="N148" s="146">
        <f t="shared" si="120"/>
        <v>1.2000000000000002</v>
      </c>
      <c r="O148" s="182"/>
      <c r="P148" s="121" t="str">
        <f t="shared" si="121"/>
        <v/>
      </c>
      <c r="Q148" s="122"/>
      <c r="R148" s="180"/>
      <c r="S148" s="121">
        <f t="shared" si="122"/>
        <v>0</v>
      </c>
      <c r="T148" s="181">
        <v>1</v>
      </c>
      <c r="U148" s="125">
        <f t="shared" si="123"/>
        <v>30.24</v>
      </c>
      <c r="V148" s="9" t="str">
        <f t="shared" si="130"/>
        <v/>
      </c>
      <c r="W148" s="9" t="str">
        <f t="shared" si="12"/>
        <v/>
      </c>
      <c r="X148" s="9"/>
      <c r="Y148" s="9"/>
      <c r="Z148" s="9"/>
      <c r="AA148" s="9"/>
    </row>
    <row r="149" spans="1:27" ht="13.5" customHeight="1" outlineLevel="1" x14ac:dyDescent="0.25">
      <c r="A149" s="366"/>
      <c r="B149" s="53"/>
      <c r="C149" s="175">
        <v>0.1</v>
      </c>
      <c r="D149" s="176">
        <v>0.1</v>
      </c>
      <c r="E149" s="121">
        <v>3.6</v>
      </c>
      <c r="F149" s="112">
        <f t="shared" si="115"/>
        <v>3.6000000000000011E-2</v>
      </c>
      <c r="G149" s="112">
        <f t="shared" si="116"/>
        <v>0.36000000000000004</v>
      </c>
      <c r="H149" s="238">
        <v>240</v>
      </c>
      <c r="I149" s="114">
        <f t="shared" si="134"/>
        <v>280</v>
      </c>
      <c r="J149" s="115">
        <f t="shared" si="135"/>
        <v>12.096000000000004</v>
      </c>
      <c r="K149" s="116">
        <f t="shared" si="117"/>
        <v>33.600000000000009</v>
      </c>
      <c r="L149" s="117">
        <f t="shared" si="133"/>
        <v>275</v>
      </c>
      <c r="M149" s="178">
        <f t="shared" si="119"/>
        <v>9.9000000000000039</v>
      </c>
      <c r="N149" s="119">
        <f t="shared" si="120"/>
        <v>99.000000000000014</v>
      </c>
      <c r="O149" s="182"/>
      <c r="P149" s="121" t="str">
        <f t="shared" si="121"/>
        <v/>
      </c>
      <c r="Q149" s="122"/>
      <c r="R149" s="180"/>
      <c r="S149" s="121">
        <f t="shared" si="122"/>
        <v>0</v>
      </c>
      <c r="T149" s="181">
        <v>275</v>
      </c>
      <c r="U149" s="125">
        <f t="shared" si="123"/>
        <v>3326.400000000001</v>
      </c>
      <c r="V149" s="9" t="str">
        <f t="shared" si="130"/>
        <v/>
      </c>
      <c r="W149" s="9" t="str">
        <f t="shared" si="12"/>
        <v/>
      </c>
      <c r="X149" s="9"/>
      <c r="Y149" s="9"/>
      <c r="Z149" s="9"/>
      <c r="AA149" s="9"/>
    </row>
    <row r="150" spans="1:27" ht="13.5" customHeight="1" outlineLevel="1" x14ac:dyDescent="0.25">
      <c r="A150" s="366"/>
      <c r="B150" s="53"/>
      <c r="C150" s="175">
        <v>0.1</v>
      </c>
      <c r="D150" s="176">
        <v>0.1</v>
      </c>
      <c r="E150" s="121">
        <v>3.9</v>
      </c>
      <c r="F150" s="112">
        <f t="shared" si="115"/>
        <v>3.9000000000000007E-2</v>
      </c>
      <c r="G150" s="112">
        <f t="shared" si="116"/>
        <v>0.39</v>
      </c>
      <c r="H150" s="238">
        <v>240</v>
      </c>
      <c r="I150" s="114">
        <f t="shared" si="134"/>
        <v>280</v>
      </c>
      <c r="J150" s="115">
        <f t="shared" si="135"/>
        <v>13.104000000000003</v>
      </c>
      <c r="K150" s="116">
        <f t="shared" si="117"/>
        <v>33.600000000000009</v>
      </c>
      <c r="L150" s="117">
        <f t="shared" si="133"/>
        <v>12</v>
      </c>
      <c r="M150" s="178">
        <f t="shared" si="119"/>
        <v>0.46800000000000008</v>
      </c>
      <c r="N150" s="119">
        <f t="shared" si="120"/>
        <v>4.68</v>
      </c>
      <c r="O150" s="182"/>
      <c r="P150" s="121" t="str">
        <f t="shared" si="121"/>
        <v/>
      </c>
      <c r="Q150" s="122"/>
      <c r="R150" s="180"/>
      <c r="S150" s="121">
        <f t="shared" si="122"/>
        <v>0</v>
      </c>
      <c r="T150" s="181">
        <v>12</v>
      </c>
      <c r="U150" s="125">
        <f t="shared" si="123"/>
        <v>157.24800000000005</v>
      </c>
      <c r="V150" s="9" t="str">
        <f t="shared" si="130"/>
        <v/>
      </c>
      <c r="W150" s="9" t="str">
        <f t="shared" si="12"/>
        <v/>
      </c>
      <c r="X150" s="9"/>
      <c r="Y150" s="9"/>
      <c r="Z150" s="9"/>
      <c r="AA150" s="9"/>
    </row>
    <row r="151" spans="1:27" ht="13.5" customHeight="1" outlineLevel="1" x14ac:dyDescent="0.25">
      <c r="A151" s="366"/>
      <c r="B151" s="53"/>
      <c r="C151" s="175">
        <v>0.1</v>
      </c>
      <c r="D151" s="176">
        <v>0.1</v>
      </c>
      <c r="E151" s="121">
        <v>4.9000000000000004</v>
      </c>
      <c r="F151" s="112">
        <f t="shared" si="115"/>
        <v>4.9000000000000016E-2</v>
      </c>
      <c r="G151" s="112">
        <f t="shared" si="116"/>
        <v>0.49000000000000005</v>
      </c>
      <c r="H151" s="238">
        <v>240</v>
      </c>
      <c r="I151" s="114">
        <f t="shared" si="134"/>
        <v>280</v>
      </c>
      <c r="J151" s="115">
        <f t="shared" si="135"/>
        <v>16.464000000000006</v>
      </c>
      <c r="K151" s="116">
        <f t="shared" si="117"/>
        <v>33.600000000000009</v>
      </c>
      <c r="L151" s="117">
        <f t="shared" si="133"/>
        <v>5</v>
      </c>
      <c r="M151" s="178">
        <f t="shared" si="119"/>
        <v>0.24500000000000008</v>
      </c>
      <c r="N151" s="146">
        <f t="shared" si="120"/>
        <v>2.4500000000000002</v>
      </c>
      <c r="O151" s="182"/>
      <c r="P151" s="121" t="str">
        <f t="shared" si="121"/>
        <v/>
      </c>
      <c r="Q151" s="122"/>
      <c r="R151" s="180"/>
      <c r="S151" s="121">
        <f t="shared" si="122"/>
        <v>0</v>
      </c>
      <c r="T151" s="181">
        <v>5</v>
      </c>
      <c r="U151" s="125">
        <f t="shared" si="123"/>
        <v>82.320000000000022</v>
      </c>
      <c r="V151" s="9" t="str">
        <f t="shared" si="130"/>
        <v/>
      </c>
      <c r="W151" s="9" t="str">
        <f t="shared" si="12"/>
        <v/>
      </c>
      <c r="X151" s="9"/>
      <c r="Y151" s="9"/>
      <c r="Z151" s="9"/>
      <c r="AA151" s="9"/>
    </row>
    <row r="152" spans="1:27" ht="13.5" customHeight="1" outlineLevel="1" x14ac:dyDescent="0.25">
      <c r="A152" s="366"/>
      <c r="B152" s="53"/>
      <c r="C152" s="175">
        <v>0.1</v>
      </c>
      <c r="D152" s="176">
        <v>0.1</v>
      </c>
      <c r="E152" s="121">
        <v>6</v>
      </c>
      <c r="F152" s="112">
        <f t="shared" si="115"/>
        <v>6.0000000000000012E-2</v>
      </c>
      <c r="G152" s="112">
        <f t="shared" si="116"/>
        <v>0.60000000000000009</v>
      </c>
      <c r="H152" s="238">
        <v>240</v>
      </c>
      <c r="I152" s="114">
        <f t="shared" si="134"/>
        <v>280</v>
      </c>
      <c r="J152" s="115">
        <f t="shared" si="135"/>
        <v>20.160000000000004</v>
      </c>
      <c r="K152" s="116">
        <f t="shared" si="117"/>
        <v>33.6</v>
      </c>
      <c r="L152" s="117">
        <f t="shared" si="133"/>
        <v>121</v>
      </c>
      <c r="M152" s="178">
        <f t="shared" si="119"/>
        <v>7.2600000000000016</v>
      </c>
      <c r="N152" s="119">
        <f t="shared" si="120"/>
        <v>72.600000000000009</v>
      </c>
      <c r="O152" s="182"/>
      <c r="P152" s="121" t="str">
        <f t="shared" si="121"/>
        <v/>
      </c>
      <c r="Q152" s="122"/>
      <c r="R152" s="180"/>
      <c r="S152" s="121">
        <f t="shared" si="122"/>
        <v>0</v>
      </c>
      <c r="T152" s="181">
        <v>121</v>
      </c>
      <c r="U152" s="125">
        <f t="shared" si="123"/>
        <v>2439.3600000000006</v>
      </c>
      <c r="V152" s="9" t="str">
        <f t="shared" si="130"/>
        <v/>
      </c>
      <c r="W152" s="9" t="str">
        <f t="shared" si="12"/>
        <v/>
      </c>
      <c r="X152" s="9"/>
      <c r="Y152" s="9"/>
      <c r="Z152" s="9"/>
      <c r="AA152" s="9"/>
    </row>
    <row r="153" spans="1:27" ht="13.5" customHeight="1" outlineLevel="1" x14ac:dyDescent="0.25">
      <c r="A153" s="366"/>
      <c r="B153" s="53"/>
      <c r="C153" s="175">
        <v>0.1</v>
      </c>
      <c r="D153" s="176">
        <v>0.15</v>
      </c>
      <c r="E153" s="121">
        <v>3.6</v>
      </c>
      <c r="F153" s="112">
        <f t="shared" si="115"/>
        <v>5.3999999999999999E-2</v>
      </c>
      <c r="G153" s="112">
        <f t="shared" si="116"/>
        <v>0.54</v>
      </c>
      <c r="H153" s="238">
        <v>240</v>
      </c>
      <c r="I153" s="114">
        <f t="shared" si="134"/>
        <v>280</v>
      </c>
      <c r="J153" s="115">
        <f t="shared" si="135"/>
        <v>18.143999999999998</v>
      </c>
      <c r="K153" s="116">
        <f t="shared" si="117"/>
        <v>33.599999999999994</v>
      </c>
      <c r="L153" s="117">
        <f t="shared" si="133"/>
        <v>47</v>
      </c>
      <c r="M153" s="178">
        <f t="shared" si="119"/>
        <v>2.5379999999999998</v>
      </c>
      <c r="N153" s="119">
        <f t="shared" si="120"/>
        <v>25.380000000000003</v>
      </c>
      <c r="O153" s="182">
        <v>1</v>
      </c>
      <c r="P153" s="121">
        <f t="shared" si="121"/>
        <v>5.3999999999999999E-2</v>
      </c>
      <c r="Q153" s="122">
        <v>18</v>
      </c>
      <c r="R153" s="180"/>
      <c r="S153" s="121">
        <f t="shared" si="122"/>
        <v>0</v>
      </c>
      <c r="T153" s="181">
        <v>48</v>
      </c>
      <c r="U153" s="125">
        <f t="shared" si="123"/>
        <v>852.76799999999992</v>
      </c>
      <c r="V153" s="9">
        <f t="shared" si="130"/>
        <v>5.0400000000000009</v>
      </c>
      <c r="W153" s="9">
        <f t="shared" si="12"/>
        <v>12.959999999999999</v>
      </c>
      <c r="X153" s="9"/>
      <c r="Y153" s="9"/>
      <c r="Z153" s="9"/>
      <c r="AA153" s="9"/>
    </row>
    <row r="154" spans="1:27" ht="13.5" customHeight="1" outlineLevel="1" x14ac:dyDescent="0.25">
      <c r="A154" s="366"/>
      <c r="B154" s="53"/>
      <c r="C154" s="175">
        <v>0.1</v>
      </c>
      <c r="D154" s="176">
        <v>0.15</v>
      </c>
      <c r="E154" s="121">
        <v>4.9000000000000004</v>
      </c>
      <c r="F154" s="112">
        <f t="shared" si="115"/>
        <v>7.3499999999999996E-2</v>
      </c>
      <c r="G154" s="112">
        <f t="shared" si="116"/>
        <v>0.73499999999999999</v>
      </c>
      <c r="H154" s="238">
        <v>240</v>
      </c>
      <c r="I154" s="114">
        <f t="shared" si="134"/>
        <v>280</v>
      </c>
      <c r="J154" s="115">
        <f t="shared" si="135"/>
        <v>24.695999999999998</v>
      </c>
      <c r="K154" s="116">
        <f t="shared" si="117"/>
        <v>33.599999999999994</v>
      </c>
      <c r="L154" s="117">
        <f t="shared" si="133"/>
        <v>135</v>
      </c>
      <c r="M154" s="178">
        <f t="shared" si="119"/>
        <v>9.9224999999999994</v>
      </c>
      <c r="N154" s="119">
        <f t="shared" si="120"/>
        <v>99.224999999999994</v>
      </c>
      <c r="O154" s="182">
        <v>1</v>
      </c>
      <c r="P154" s="121">
        <f t="shared" si="121"/>
        <v>7.3499999999999996E-2</v>
      </c>
      <c r="Q154" s="122">
        <v>25</v>
      </c>
      <c r="R154" s="180"/>
      <c r="S154" s="121">
        <f t="shared" si="122"/>
        <v>0</v>
      </c>
      <c r="T154" s="181">
        <v>136</v>
      </c>
      <c r="U154" s="125">
        <f t="shared" si="123"/>
        <v>3333.9599999999996</v>
      </c>
      <c r="V154" s="9">
        <f t="shared" si="130"/>
        <v>7.3599999999999994</v>
      </c>
      <c r="W154" s="9">
        <f t="shared" si="12"/>
        <v>17.64</v>
      </c>
      <c r="X154" s="9"/>
      <c r="Y154" s="9"/>
      <c r="Z154" s="9"/>
      <c r="AA154" s="9"/>
    </row>
    <row r="155" spans="1:27" ht="13.5" customHeight="1" outlineLevel="1" x14ac:dyDescent="0.25">
      <c r="A155" s="366"/>
      <c r="B155" s="53"/>
      <c r="C155" s="175">
        <v>0.1</v>
      </c>
      <c r="D155" s="176">
        <v>0.15</v>
      </c>
      <c r="E155" s="121">
        <v>6</v>
      </c>
      <c r="F155" s="112">
        <f t="shared" si="115"/>
        <v>0.09</v>
      </c>
      <c r="G155" s="112">
        <f t="shared" si="116"/>
        <v>0.89999999999999991</v>
      </c>
      <c r="H155" s="238">
        <v>240</v>
      </c>
      <c r="I155" s="114">
        <f t="shared" si="134"/>
        <v>280</v>
      </c>
      <c r="J155" s="115">
        <f t="shared" si="135"/>
        <v>30.24</v>
      </c>
      <c r="K155" s="116">
        <f t="shared" si="117"/>
        <v>33.6</v>
      </c>
      <c r="L155" s="117">
        <f t="shared" si="133"/>
        <v>168</v>
      </c>
      <c r="M155" s="178">
        <f t="shared" si="119"/>
        <v>15.12</v>
      </c>
      <c r="N155" s="119">
        <f t="shared" si="120"/>
        <v>151.19999999999999</v>
      </c>
      <c r="O155" s="182"/>
      <c r="P155" s="121" t="str">
        <f t="shared" si="121"/>
        <v/>
      </c>
      <c r="Q155" s="122"/>
      <c r="R155" s="180"/>
      <c r="S155" s="121">
        <f t="shared" si="122"/>
        <v>0</v>
      </c>
      <c r="T155" s="181">
        <v>168</v>
      </c>
      <c r="U155" s="125">
        <f t="shared" si="123"/>
        <v>5080.32</v>
      </c>
      <c r="V155" s="9" t="str">
        <f t="shared" si="130"/>
        <v/>
      </c>
      <c r="W155" s="9" t="str">
        <f t="shared" si="12"/>
        <v/>
      </c>
      <c r="X155" s="9"/>
      <c r="Y155" s="9"/>
      <c r="Z155" s="9"/>
      <c r="AA155" s="9"/>
    </row>
    <row r="156" spans="1:27" ht="13.5" customHeight="1" outlineLevel="1" x14ac:dyDescent="0.25">
      <c r="A156" s="366"/>
      <c r="B156" s="53"/>
      <c r="C156" s="175">
        <v>0.1</v>
      </c>
      <c r="D156" s="176">
        <v>0.2</v>
      </c>
      <c r="E156" s="121">
        <v>4.9000000000000004</v>
      </c>
      <c r="F156" s="112">
        <f t="shared" si="115"/>
        <v>9.8000000000000032E-2</v>
      </c>
      <c r="G156" s="112">
        <f t="shared" si="116"/>
        <v>0.98000000000000009</v>
      </c>
      <c r="H156" s="238">
        <v>240</v>
      </c>
      <c r="I156" s="114">
        <f t="shared" si="134"/>
        <v>280</v>
      </c>
      <c r="J156" s="115">
        <f t="shared" si="135"/>
        <v>32.928000000000011</v>
      </c>
      <c r="K156" s="116">
        <f t="shared" si="117"/>
        <v>33.600000000000009</v>
      </c>
      <c r="L156" s="117">
        <f t="shared" si="133"/>
        <v>33</v>
      </c>
      <c r="M156" s="178">
        <f t="shared" si="119"/>
        <v>3.2340000000000009</v>
      </c>
      <c r="N156" s="119">
        <f t="shared" si="120"/>
        <v>32.340000000000003</v>
      </c>
      <c r="O156" s="182"/>
      <c r="P156" s="121" t="str">
        <f t="shared" si="121"/>
        <v/>
      </c>
      <c r="Q156" s="122"/>
      <c r="R156" s="180"/>
      <c r="S156" s="121">
        <f t="shared" si="122"/>
        <v>0</v>
      </c>
      <c r="T156" s="181">
        <v>33</v>
      </c>
      <c r="U156" s="125">
        <f t="shared" si="123"/>
        <v>1086.6240000000005</v>
      </c>
      <c r="V156" s="9" t="str">
        <f t="shared" si="130"/>
        <v/>
      </c>
      <c r="W156" s="9" t="str">
        <f t="shared" si="12"/>
        <v/>
      </c>
      <c r="X156" s="9"/>
      <c r="Y156" s="9"/>
      <c r="Z156" s="9"/>
      <c r="AA156" s="9"/>
    </row>
    <row r="157" spans="1:27" ht="13.5" customHeight="1" outlineLevel="1" x14ac:dyDescent="0.25">
      <c r="A157" s="366"/>
      <c r="B157" s="53"/>
      <c r="C157" s="175">
        <v>0.1</v>
      </c>
      <c r="D157" s="176">
        <v>0.2</v>
      </c>
      <c r="E157" s="121">
        <v>6</v>
      </c>
      <c r="F157" s="112">
        <f t="shared" si="115"/>
        <v>0.12000000000000002</v>
      </c>
      <c r="G157" s="112">
        <f t="shared" si="116"/>
        <v>1.2000000000000002</v>
      </c>
      <c r="H157" s="238">
        <v>240</v>
      </c>
      <c r="I157" s="114">
        <f t="shared" si="134"/>
        <v>280</v>
      </c>
      <c r="J157" s="115">
        <f t="shared" si="135"/>
        <v>40.320000000000007</v>
      </c>
      <c r="K157" s="116">
        <f t="shared" si="117"/>
        <v>33.6</v>
      </c>
      <c r="L157" s="117">
        <f t="shared" si="133"/>
        <v>89</v>
      </c>
      <c r="M157" s="178">
        <f t="shared" si="119"/>
        <v>10.680000000000001</v>
      </c>
      <c r="N157" s="119">
        <f t="shared" si="120"/>
        <v>106.80000000000001</v>
      </c>
      <c r="O157" s="182"/>
      <c r="P157" s="121" t="str">
        <f t="shared" si="121"/>
        <v/>
      </c>
      <c r="Q157" s="122"/>
      <c r="R157" s="180"/>
      <c r="S157" s="121">
        <f t="shared" si="122"/>
        <v>0</v>
      </c>
      <c r="T157" s="181">
        <v>89</v>
      </c>
      <c r="U157" s="125">
        <f t="shared" si="123"/>
        <v>3588.4800000000005</v>
      </c>
      <c r="V157" s="9" t="str">
        <f t="shared" si="130"/>
        <v/>
      </c>
      <c r="W157" s="9" t="str">
        <f t="shared" si="12"/>
        <v/>
      </c>
      <c r="X157" s="9"/>
      <c r="Y157" s="9"/>
      <c r="Z157" s="9"/>
      <c r="AA157" s="9"/>
    </row>
    <row r="158" spans="1:27" ht="13.5" customHeight="1" outlineLevel="1" x14ac:dyDescent="0.25">
      <c r="A158" s="366"/>
      <c r="B158" s="53" t="s">
        <v>98</v>
      </c>
      <c r="C158" s="175">
        <v>0.15</v>
      </c>
      <c r="D158" s="176">
        <v>0.15</v>
      </c>
      <c r="E158" s="121">
        <v>3.1</v>
      </c>
      <c r="F158" s="112">
        <f t="shared" si="115"/>
        <v>6.9749999999999993E-2</v>
      </c>
      <c r="G158" s="112">
        <f t="shared" si="116"/>
        <v>0.46499999999999997</v>
      </c>
      <c r="H158" s="238">
        <v>240</v>
      </c>
      <c r="I158" s="114">
        <f>ROUND(H158*1.1667,0)*0.9</f>
        <v>252</v>
      </c>
      <c r="J158" s="115">
        <f>ROUND((I158*0.873)*1.21,0)*(C158*D158*E158)</f>
        <v>18.5535</v>
      </c>
      <c r="K158" s="116">
        <f t="shared" si="117"/>
        <v>39.9</v>
      </c>
      <c r="L158" s="117">
        <f t="shared" si="133"/>
        <v>8</v>
      </c>
      <c r="M158" s="178">
        <f t="shared" si="119"/>
        <v>0.55799999999999994</v>
      </c>
      <c r="N158" s="119">
        <f t="shared" si="120"/>
        <v>3.7199999999999998</v>
      </c>
      <c r="O158" s="182">
        <v>1</v>
      </c>
      <c r="P158" s="121">
        <f t="shared" si="121"/>
        <v>6.9749999999999993E-2</v>
      </c>
      <c r="Q158" s="122">
        <v>18</v>
      </c>
      <c r="R158" s="180"/>
      <c r="S158" s="121">
        <f t="shared" si="122"/>
        <v>0</v>
      </c>
      <c r="T158" s="181">
        <v>9</v>
      </c>
      <c r="U158" s="125">
        <f t="shared" si="123"/>
        <v>148.428</v>
      </c>
      <c r="V158" s="9">
        <f t="shared" si="130"/>
        <v>1.2600000000000016</v>
      </c>
      <c r="W158" s="9">
        <f t="shared" si="12"/>
        <v>16.739999999999998</v>
      </c>
      <c r="X158" s="9"/>
      <c r="Y158" s="9"/>
      <c r="Z158" s="9"/>
      <c r="AA158" s="9"/>
    </row>
    <row r="159" spans="1:27" ht="13.5" customHeight="1" outlineLevel="1" x14ac:dyDescent="0.25">
      <c r="A159" s="366"/>
      <c r="B159" s="53"/>
      <c r="C159" s="175">
        <v>0.15</v>
      </c>
      <c r="D159" s="176">
        <v>0.15</v>
      </c>
      <c r="E159" s="121">
        <v>4.9000000000000004</v>
      </c>
      <c r="F159" s="112">
        <f t="shared" si="115"/>
        <v>0.11025</v>
      </c>
      <c r="G159" s="112">
        <f t="shared" si="116"/>
        <v>0.73499999999999999</v>
      </c>
      <c r="H159" s="238">
        <v>240</v>
      </c>
      <c r="I159" s="114">
        <f t="shared" ref="I159:I161" si="136">ROUND(H159*1.1667,0)</f>
        <v>280</v>
      </c>
      <c r="J159" s="115">
        <f t="shared" ref="J159:J161" si="137">ROUND((I159*0.992)*1.21,0)*(C159*D159*E159)</f>
        <v>37.043999999999997</v>
      </c>
      <c r="K159" s="116">
        <f t="shared" si="117"/>
        <v>50.4</v>
      </c>
      <c r="L159" s="117">
        <f t="shared" si="133"/>
        <v>20</v>
      </c>
      <c r="M159" s="178">
        <f t="shared" si="119"/>
        <v>2.2050000000000001</v>
      </c>
      <c r="N159" s="119">
        <f t="shared" si="120"/>
        <v>14.7</v>
      </c>
      <c r="O159" s="182"/>
      <c r="P159" s="121" t="str">
        <f t="shared" si="121"/>
        <v/>
      </c>
      <c r="Q159" s="122"/>
      <c r="R159" s="180"/>
      <c r="S159" s="121">
        <f t="shared" si="122"/>
        <v>0</v>
      </c>
      <c r="T159" s="181">
        <v>20</v>
      </c>
      <c r="U159" s="125">
        <f t="shared" si="123"/>
        <v>740.87999999999988</v>
      </c>
      <c r="V159" s="9" t="str">
        <f t="shared" si="130"/>
        <v/>
      </c>
      <c r="W159" s="9" t="str">
        <f t="shared" si="12"/>
        <v/>
      </c>
      <c r="X159" s="9"/>
      <c r="Y159" s="9"/>
      <c r="Z159" s="9"/>
      <c r="AA159" s="9"/>
    </row>
    <row r="160" spans="1:27" ht="13.5" customHeight="1" outlineLevel="1" x14ac:dyDescent="0.25">
      <c r="A160" s="366"/>
      <c r="B160" s="53"/>
      <c r="C160" s="175">
        <v>0.15</v>
      </c>
      <c r="D160" s="176">
        <v>0.15</v>
      </c>
      <c r="E160" s="121">
        <v>6</v>
      </c>
      <c r="F160" s="112">
        <f t="shared" si="115"/>
        <v>0.13500000000000001</v>
      </c>
      <c r="G160" s="112">
        <f t="shared" si="116"/>
        <v>0.89999999999999991</v>
      </c>
      <c r="H160" s="177">
        <v>240</v>
      </c>
      <c r="I160" s="114">
        <f t="shared" si="136"/>
        <v>280</v>
      </c>
      <c r="J160" s="115">
        <f t="shared" si="137"/>
        <v>45.36</v>
      </c>
      <c r="K160" s="116">
        <f t="shared" si="117"/>
        <v>50.400000000000006</v>
      </c>
      <c r="L160" s="117">
        <f t="shared" si="133"/>
        <v>18</v>
      </c>
      <c r="M160" s="178">
        <f t="shared" si="119"/>
        <v>2.4300000000000002</v>
      </c>
      <c r="N160" s="119">
        <f t="shared" si="120"/>
        <v>16.2</v>
      </c>
      <c r="O160" s="182">
        <v>1</v>
      </c>
      <c r="P160" s="121">
        <f t="shared" si="121"/>
        <v>0.13500000000000001</v>
      </c>
      <c r="Q160" s="122">
        <v>45</v>
      </c>
      <c r="R160" s="180"/>
      <c r="S160" s="121">
        <f t="shared" si="122"/>
        <v>0</v>
      </c>
      <c r="T160" s="181">
        <v>19</v>
      </c>
      <c r="U160" s="125">
        <f t="shared" si="123"/>
        <v>816.48</v>
      </c>
      <c r="V160" s="9">
        <f t="shared" si="130"/>
        <v>12.599999999999994</v>
      </c>
      <c r="W160" s="9">
        <f t="shared" si="12"/>
        <v>32.400000000000006</v>
      </c>
      <c r="X160" s="9"/>
      <c r="Y160" s="9"/>
      <c r="Z160" s="9"/>
      <c r="AA160" s="9"/>
    </row>
    <row r="161" spans="1:27" ht="13.5" customHeight="1" outlineLevel="1" x14ac:dyDescent="0.25">
      <c r="A161" s="366"/>
      <c r="B161" s="53"/>
      <c r="C161" s="175">
        <v>0.15</v>
      </c>
      <c r="D161" s="176">
        <v>0.2</v>
      </c>
      <c r="E161" s="121">
        <v>4.9000000000000004</v>
      </c>
      <c r="F161" s="112">
        <f t="shared" si="115"/>
        <v>0.14699999999999999</v>
      </c>
      <c r="G161" s="112">
        <f t="shared" si="116"/>
        <v>0.98000000000000009</v>
      </c>
      <c r="H161" s="177">
        <v>240</v>
      </c>
      <c r="I161" s="114">
        <f t="shared" si="136"/>
        <v>280</v>
      </c>
      <c r="J161" s="115">
        <f t="shared" si="137"/>
        <v>49.391999999999996</v>
      </c>
      <c r="K161" s="116">
        <f t="shared" si="117"/>
        <v>50.399999999999991</v>
      </c>
      <c r="L161" s="117">
        <f t="shared" si="133"/>
        <v>26</v>
      </c>
      <c r="M161" s="178">
        <f t="shared" si="119"/>
        <v>3.8219999999999996</v>
      </c>
      <c r="N161" s="119">
        <f t="shared" si="120"/>
        <v>25.480000000000004</v>
      </c>
      <c r="O161" s="182"/>
      <c r="P161" s="121" t="str">
        <f t="shared" si="121"/>
        <v/>
      </c>
      <c r="Q161" s="122"/>
      <c r="R161" s="180"/>
      <c r="S161" s="121">
        <f t="shared" si="122"/>
        <v>0</v>
      </c>
      <c r="T161" s="181">
        <v>26</v>
      </c>
      <c r="U161" s="125">
        <f t="shared" si="123"/>
        <v>1284.192</v>
      </c>
      <c r="V161" s="9" t="str">
        <f t="shared" si="130"/>
        <v/>
      </c>
      <c r="W161" s="9" t="str">
        <f t="shared" si="12"/>
        <v/>
      </c>
      <c r="X161" s="9"/>
      <c r="Y161" s="9"/>
      <c r="Z161" s="9"/>
      <c r="AA161" s="9"/>
    </row>
    <row r="162" spans="1:27" ht="13.5" customHeight="1" outlineLevel="1" x14ac:dyDescent="0.25">
      <c r="A162" s="366"/>
      <c r="B162" s="53" t="s">
        <v>98</v>
      </c>
      <c r="C162" s="175">
        <v>0.15</v>
      </c>
      <c r="D162" s="176">
        <v>0.2</v>
      </c>
      <c r="E162" s="121">
        <v>6</v>
      </c>
      <c r="F162" s="112">
        <f t="shared" si="115"/>
        <v>0.18</v>
      </c>
      <c r="G162" s="112">
        <f t="shared" si="116"/>
        <v>1.2000000000000002</v>
      </c>
      <c r="H162" s="177">
        <v>240</v>
      </c>
      <c r="I162" s="114">
        <f>ROUND(H162*1.1667,0)*0.9</f>
        <v>252</v>
      </c>
      <c r="J162" s="115">
        <f>ROUND((I162*0.873)*1.21,0)*(C162*D162*E162)</f>
        <v>47.879999999999995</v>
      </c>
      <c r="K162" s="116">
        <f t="shared" si="117"/>
        <v>39.899999999999991</v>
      </c>
      <c r="L162" s="117">
        <f t="shared" si="133"/>
        <v>2</v>
      </c>
      <c r="M162" s="178">
        <f t="shared" si="119"/>
        <v>0.36</v>
      </c>
      <c r="N162" s="119">
        <f t="shared" si="120"/>
        <v>2.4000000000000004</v>
      </c>
      <c r="O162" s="182"/>
      <c r="P162" s="121" t="str">
        <f t="shared" si="121"/>
        <v/>
      </c>
      <c r="Q162" s="122"/>
      <c r="R162" s="180"/>
      <c r="S162" s="121">
        <f t="shared" si="122"/>
        <v>0</v>
      </c>
      <c r="T162" s="181">
        <v>2</v>
      </c>
      <c r="U162" s="125">
        <f t="shared" si="123"/>
        <v>95.759999999999991</v>
      </c>
      <c r="V162" s="9" t="str">
        <f t="shared" si="130"/>
        <v/>
      </c>
      <c r="W162" s="9" t="str">
        <f t="shared" si="12"/>
        <v/>
      </c>
      <c r="X162" s="9"/>
      <c r="Y162" s="9"/>
      <c r="Z162" s="9"/>
      <c r="AA162" s="9"/>
    </row>
    <row r="163" spans="1:27" ht="13.5" customHeight="1" outlineLevel="1" x14ac:dyDescent="0.25">
      <c r="A163" s="366"/>
      <c r="B163" s="53"/>
      <c r="C163" s="175">
        <v>0.15</v>
      </c>
      <c r="D163" s="176">
        <v>0.25</v>
      </c>
      <c r="E163" s="121">
        <v>6</v>
      </c>
      <c r="F163" s="112">
        <f t="shared" si="115"/>
        <v>0.22499999999999998</v>
      </c>
      <c r="G163" s="112">
        <f t="shared" si="116"/>
        <v>1.5</v>
      </c>
      <c r="H163" s="177">
        <v>240</v>
      </c>
      <c r="I163" s="114">
        <f t="shared" ref="I163:I170" si="138">ROUND(H163*1.1667,0)</f>
        <v>280</v>
      </c>
      <c r="J163" s="115">
        <f t="shared" ref="J163:J165" si="139">ROUND((I163*0.992)*1.21,0)*(C163*D163*E163)</f>
        <v>75.599999999999994</v>
      </c>
      <c r="K163" s="116">
        <f t="shared" si="117"/>
        <v>50.4</v>
      </c>
      <c r="L163" s="117">
        <f t="shared" si="133"/>
        <v>20</v>
      </c>
      <c r="M163" s="178">
        <f t="shared" si="119"/>
        <v>4.5</v>
      </c>
      <c r="N163" s="119">
        <f t="shared" si="120"/>
        <v>30</v>
      </c>
      <c r="O163" s="182"/>
      <c r="P163" s="121" t="str">
        <f t="shared" si="121"/>
        <v/>
      </c>
      <c r="Q163" s="122"/>
      <c r="R163" s="180"/>
      <c r="S163" s="121">
        <f t="shared" si="122"/>
        <v>0</v>
      </c>
      <c r="T163" s="181">
        <v>20</v>
      </c>
      <c r="U163" s="125">
        <f t="shared" si="123"/>
        <v>1512</v>
      </c>
      <c r="V163" s="9" t="str">
        <f t="shared" si="130"/>
        <v/>
      </c>
      <c r="W163" s="9" t="str">
        <f t="shared" si="12"/>
        <v/>
      </c>
      <c r="X163" s="9"/>
      <c r="Y163" s="9"/>
      <c r="Z163" s="9"/>
      <c r="AA163" s="9"/>
    </row>
    <row r="164" spans="1:27" ht="13.5" customHeight="1" outlineLevel="1" x14ac:dyDescent="0.25">
      <c r="A164" s="366"/>
      <c r="B164" s="53"/>
      <c r="C164" s="175">
        <v>0.2</v>
      </c>
      <c r="D164" s="176">
        <v>0.2</v>
      </c>
      <c r="E164" s="121">
        <v>6</v>
      </c>
      <c r="F164" s="112">
        <f t="shared" si="115"/>
        <v>0.24000000000000005</v>
      </c>
      <c r="G164" s="112">
        <f t="shared" si="116"/>
        <v>1.2000000000000002</v>
      </c>
      <c r="H164" s="177">
        <v>240</v>
      </c>
      <c r="I164" s="114">
        <f t="shared" si="138"/>
        <v>280</v>
      </c>
      <c r="J164" s="115">
        <f t="shared" si="139"/>
        <v>80.640000000000015</v>
      </c>
      <c r="K164" s="116">
        <f t="shared" si="117"/>
        <v>67.2</v>
      </c>
      <c r="L164" s="117">
        <f t="shared" si="133"/>
        <v>17</v>
      </c>
      <c r="M164" s="178">
        <f t="shared" si="119"/>
        <v>4.080000000000001</v>
      </c>
      <c r="N164" s="119">
        <f t="shared" si="120"/>
        <v>20.400000000000002</v>
      </c>
      <c r="O164" s="182"/>
      <c r="P164" s="121" t="str">
        <f t="shared" si="121"/>
        <v/>
      </c>
      <c r="Q164" s="122"/>
      <c r="R164" s="180"/>
      <c r="S164" s="121">
        <f t="shared" si="122"/>
        <v>0</v>
      </c>
      <c r="T164" s="181">
        <v>17</v>
      </c>
      <c r="U164" s="125">
        <f t="shared" si="123"/>
        <v>1370.8800000000003</v>
      </c>
      <c r="V164" s="9" t="str">
        <f t="shared" si="130"/>
        <v/>
      </c>
      <c r="W164" s="9" t="str">
        <f t="shared" si="12"/>
        <v/>
      </c>
      <c r="X164" s="9"/>
      <c r="Y164" s="9"/>
      <c r="Z164" s="9"/>
      <c r="AA164" s="9"/>
    </row>
    <row r="165" spans="1:27" ht="13.5" customHeight="1" outlineLevel="1" x14ac:dyDescent="0.25">
      <c r="A165" s="366"/>
      <c r="B165" s="53" t="s">
        <v>99</v>
      </c>
      <c r="C165" s="175">
        <v>0.05</v>
      </c>
      <c r="D165" s="176">
        <v>0.05</v>
      </c>
      <c r="E165" s="121">
        <v>1.5</v>
      </c>
      <c r="F165" s="112">
        <f t="shared" si="115"/>
        <v>3.7500000000000007E-3</v>
      </c>
      <c r="G165" s="112">
        <f t="shared" si="116"/>
        <v>7.5000000000000011E-2</v>
      </c>
      <c r="H165" s="177">
        <v>255</v>
      </c>
      <c r="I165" s="114">
        <f t="shared" si="138"/>
        <v>298</v>
      </c>
      <c r="J165" s="115">
        <f t="shared" si="139"/>
        <v>1.3425000000000002</v>
      </c>
      <c r="K165" s="116">
        <f t="shared" si="117"/>
        <v>17.900000000000002</v>
      </c>
      <c r="L165" s="117">
        <f t="shared" si="133"/>
        <v>127</v>
      </c>
      <c r="M165" s="178">
        <f t="shared" si="119"/>
        <v>0.47625000000000012</v>
      </c>
      <c r="N165" s="119">
        <f t="shared" si="120"/>
        <v>9.5250000000000021</v>
      </c>
      <c r="O165" s="195"/>
      <c r="P165" s="121" t="str">
        <f t="shared" si="121"/>
        <v/>
      </c>
      <c r="Q165" s="122"/>
      <c r="R165" s="180"/>
      <c r="S165" s="121">
        <f t="shared" si="122"/>
        <v>0</v>
      </c>
      <c r="T165" s="181">
        <v>127</v>
      </c>
      <c r="U165" s="125">
        <f t="shared" si="123"/>
        <v>170.49750000000003</v>
      </c>
      <c r="V165" s="9" t="str">
        <f t="shared" si="130"/>
        <v/>
      </c>
      <c r="W165" s="9" t="str">
        <f t="shared" si="12"/>
        <v/>
      </c>
      <c r="X165" s="9"/>
      <c r="Y165" s="9"/>
      <c r="Z165" s="9"/>
      <c r="AA165" s="9"/>
    </row>
    <row r="166" spans="1:27" ht="13.5" customHeight="1" outlineLevel="1" x14ac:dyDescent="0.25">
      <c r="A166" s="366"/>
      <c r="B166" s="53" t="s">
        <v>99</v>
      </c>
      <c r="C166" s="175">
        <v>7.0000000000000007E-2</v>
      </c>
      <c r="D166" s="176">
        <v>7.0000000000000007E-2</v>
      </c>
      <c r="E166" s="121">
        <v>1.8</v>
      </c>
      <c r="F166" s="112">
        <f t="shared" si="115"/>
        <v>8.8200000000000014E-3</v>
      </c>
      <c r="G166" s="112">
        <f t="shared" si="116"/>
        <v>0.12600000000000003</v>
      </c>
      <c r="H166" s="177">
        <v>255</v>
      </c>
      <c r="I166" s="114">
        <f t="shared" si="138"/>
        <v>298</v>
      </c>
      <c r="J166" s="115">
        <f t="shared" ref="J166:J170" si="140">ROUND((I166*0.855)*1.21,0)*(C166*D166*E166)</f>
        <v>2.7165600000000003</v>
      </c>
      <c r="K166" s="116">
        <f t="shared" si="117"/>
        <v>21.56</v>
      </c>
      <c r="L166" s="117">
        <f t="shared" si="133"/>
        <v>69</v>
      </c>
      <c r="M166" s="178">
        <f t="shared" si="119"/>
        <v>0.60858000000000012</v>
      </c>
      <c r="N166" s="119">
        <f t="shared" si="120"/>
        <v>8.6940000000000026</v>
      </c>
      <c r="O166" s="195"/>
      <c r="P166" s="121" t="str">
        <f t="shared" si="121"/>
        <v/>
      </c>
      <c r="Q166" s="122"/>
      <c r="R166" s="180"/>
      <c r="S166" s="121">
        <f t="shared" si="122"/>
        <v>0</v>
      </c>
      <c r="T166" s="181">
        <v>69</v>
      </c>
      <c r="U166" s="125">
        <f t="shared" si="123"/>
        <v>187.44264000000001</v>
      </c>
      <c r="V166" s="9" t="str">
        <f t="shared" si="130"/>
        <v/>
      </c>
      <c r="W166" s="9" t="str">
        <f t="shared" si="12"/>
        <v/>
      </c>
      <c r="X166" s="9"/>
      <c r="Y166" s="9"/>
      <c r="Z166" s="9"/>
      <c r="AA166" s="9"/>
    </row>
    <row r="167" spans="1:27" ht="13.5" customHeight="1" outlineLevel="1" x14ac:dyDescent="0.25">
      <c r="A167" s="366"/>
      <c r="B167" s="53" t="s">
        <v>99</v>
      </c>
      <c r="C167" s="175">
        <v>8.5000000000000006E-2</v>
      </c>
      <c r="D167" s="176">
        <v>8.5000000000000006E-2</v>
      </c>
      <c r="E167" s="121">
        <v>1.8</v>
      </c>
      <c r="F167" s="112">
        <f t="shared" si="115"/>
        <v>1.3005000000000003E-2</v>
      </c>
      <c r="G167" s="112">
        <f t="shared" si="116"/>
        <v>0.15300000000000002</v>
      </c>
      <c r="H167" s="177">
        <v>255</v>
      </c>
      <c r="I167" s="114">
        <f t="shared" si="138"/>
        <v>298</v>
      </c>
      <c r="J167" s="115">
        <f t="shared" si="140"/>
        <v>4.0055400000000008</v>
      </c>
      <c r="K167" s="116">
        <f t="shared" si="117"/>
        <v>26.18</v>
      </c>
      <c r="L167" s="117">
        <f t="shared" si="133"/>
        <v>78</v>
      </c>
      <c r="M167" s="178">
        <f t="shared" si="119"/>
        <v>1.0143900000000001</v>
      </c>
      <c r="N167" s="119">
        <f t="shared" si="120"/>
        <v>11.934000000000001</v>
      </c>
      <c r="O167" s="195"/>
      <c r="P167" s="121" t="str">
        <f t="shared" si="121"/>
        <v/>
      </c>
      <c r="Q167" s="122"/>
      <c r="R167" s="180"/>
      <c r="S167" s="121">
        <f t="shared" si="122"/>
        <v>0</v>
      </c>
      <c r="T167" s="181">
        <v>78</v>
      </c>
      <c r="U167" s="125">
        <f t="shared" si="123"/>
        <v>312.43212000000005</v>
      </c>
      <c r="V167" s="9" t="str">
        <f t="shared" si="130"/>
        <v/>
      </c>
      <c r="W167" s="9" t="str">
        <f t="shared" si="12"/>
        <v/>
      </c>
      <c r="X167" s="9"/>
      <c r="Y167" s="9"/>
      <c r="Z167" s="9"/>
      <c r="AA167" s="9"/>
    </row>
    <row r="168" spans="1:27" ht="13.5" customHeight="1" outlineLevel="1" x14ac:dyDescent="0.25">
      <c r="A168" s="366"/>
      <c r="B168" s="53" t="s">
        <v>99</v>
      </c>
      <c r="C168" s="175">
        <v>0.09</v>
      </c>
      <c r="D168" s="176">
        <v>0.09</v>
      </c>
      <c r="E168" s="121">
        <v>1.8</v>
      </c>
      <c r="F168" s="112">
        <f t="shared" si="115"/>
        <v>1.4579999999999999E-2</v>
      </c>
      <c r="G168" s="112">
        <f t="shared" si="116"/>
        <v>0.16200000000000001</v>
      </c>
      <c r="H168" s="177">
        <v>255</v>
      </c>
      <c r="I168" s="114">
        <f t="shared" si="138"/>
        <v>298</v>
      </c>
      <c r="J168" s="115">
        <f t="shared" si="140"/>
        <v>4.49064</v>
      </c>
      <c r="K168" s="116">
        <f t="shared" si="117"/>
        <v>27.72</v>
      </c>
      <c r="L168" s="117">
        <f t="shared" si="133"/>
        <v>85</v>
      </c>
      <c r="M168" s="178">
        <f t="shared" si="119"/>
        <v>1.2392999999999998</v>
      </c>
      <c r="N168" s="119">
        <f t="shared" si="120"/>
        <v>13.77</v>
      </c>
      <c r="O168" s="195"/>
      <c r="P168" s="121" t="str">
        <f t="shared" si="121"/>
        <v/>
      </c>
      <c r="Q168" s="122"/>
      <c r="R168" s="180"/>
      <c r="S168" s="121">
        <f t="shared" si="122"/>
        <v>0</v>
      </c>
      <c r="T168" s="181">
        <v>85</v>
      </c>
      <c r="U168" s="125">
        <f t="shared" si="123"/>
        <v>381.70440000000002</v>
      </c>
      <c r="V168" s="9" t="str">
        <f t="shared" si="130"/>
        <v/>
      </c>
      <c r="W168" s="9" t="str">
        <f t="shared" si="12"/>
        <v/>
      </c>
      <c r="X168" s="9"/>
      <c r="Y168" s="9"/>
      <c r="Z168" s="9"/>
      <c r="AA168" s="9"/>
    </row>
    <row r="169" spans="1:27" ht="13.5" customHeight="1" outlineLevel="1" x14ac:dyDescent="0.25">
      <c r="A169" s="366"/>
      <c r="B169" s="53" t="s">
        <v>99</v>
      </c>
      <c r="C169" s="175">
        <v>0.1</v>
      </c>
      <c r="D169" s="176">
        <v>0.1</v>
      </c>
      <c r="E169" s="121">
        <v>1.8</v>
      </c>
      <c r="F169" s="112">
        <f t="shared" si="115"/>
        <v>1.8000000000000006E-2</v>
      </c>
      <c r="G169" s="112">
        <f t="shared" si="116"/>
        <v>0.18000000000000002</v>
      </c>
      <c r="H169" s="177">
        <v>255</v>
      </c>
      <c r="I169" s="114">
        <f t="shared" si="138"/>
        <v>298</v>
      </c>
      <c r="J169" s="115">
        <f t="shared" si="140"/>
        <v>5.5440000000000014</v>
      </c>
      <c r="K169" s="116">
        <f t="shared" si="117"/>
        <v>30.800000000000004</v>
      </c>
      <c r="L169" s="117">
        <f t="shared" si="133"/>
        <v>303</v>
      </c>
      <c r="M169" s="178">
        <f t="shared" si="119"/>
        <v>5.4540000000000015</v>
      </c>
      <c r="N169" s="119">
        <f t="shared" si="120"/>
        <v>54.540000000000006</v>
      </c>
      <c r="O169" s="195"/>
      <c r="P169" s="121" t="str">
        <f t="shared" si="121"/>
        <v/>
      </c>
      <c r="Q169" s="122"/>
      <c r="R169" s="180"/>
      <c r="S169" s="121">
        <f t="shared" si="122"/>
        <v>0</v>
      </c>
      <c r="T169" s="181">
        <v>303</v>
      </c>
      <c r="U169" s="125">
        <f t="shared" si="123"/>
        <v>1679.8320000000003</v>
      </c>
      <c r="V169" s="9" t="str">
        <f t="shared" si="130"/>
        <v/>
      </c>
      <c r="W169" s="9" t="str">
        <f t="shared" si="12"/>
        <v/>
      </c>
      <c r="X169" s="9"/>
      <c r="Y169" s="9"/>
      <c r="Z169" s="9"/>
      <c r="AA169" s="9"/>
    </row>
    <row r="170" spans="1:27" ht="13.5" customHeight="1" outlineLevel="1" x14ac:dyDescent="0.25">
      <c r="A170" s="366"/>
      <c r="B170" s="184" t="s">
        <v>100</v>
      </c>
      <c r="C170" s="175">
        <v>0.05</v>
      </c>
      <c r="D170" s="176">
        <v>0.1</v>
      </c>
      <c r="E170" s="121">
        <v>3.6</v>
      </c>
      <c r="F170" s="112">
        <f t="shared" si="115"/>
        <v>1.8000000000000006E-2</v>
      </c>
      <c r="G170" s="112">
        <f t="shared" si="116"/>
        <v>0.36000000000000004</v>
      </c>
      <c r="H170" s="177">
        <v>255</v>
      </c>
      <c r="I170" s="114">
        <f t="shared" si="138"/>
        <v>298</v>
      </c>
      <c r="J170" s="115">
        <f t="shared" si="140"/>
        <v>5.5440000000000014</v>
      </c>
      <c r="K170" s="116">
        <f t="shared" si="117"/>
        <v>15.400000000000002</v>
      </c>
      <c r="L170" s="117">
        <f t="shared" si="133"/>
        <v>292</v>
      </c>
      <c r="M170" s="178">
        <f t="shared" si="119"/>
        <v>5.256000000000002</v>
      </c>
      <c r="N170" s="119">
        <f t="shared" si="120"/>
        <v>105.12000000000002</v>
      </c>
      <c r="O170" s="195"/>
      <c r="P170" s="121" t="str">
        <f t="shared" si="121"/>
        <v/>
      </c>
      <c r="Q170" s="122"/>
      <c r="R170" s="180"/>
      <c r="S170" s="121">
        <f t="shared" si="122"/>
        <v>0</v>
      </c>
      <c r="T170" s="181">
        <v>292</v>
      </c>
      <c r="U170" s="125">
        <f t="shared" si="123"/>
        <v>1618.8480000000004</v>
      </c>
      <c r="V170" s="9" t="str">
        <f t="shared" si="130"/>
        <v/>
      </c>
      <c r="W170" s="9" t="str">
        <f t="shared" si="12"/>
        <v/>
      </c>
      <c r="X170" s="9"/>
      <c r="Y170" s="9"/>
      <c r="Z170" s="9"/>
      <c r="AA170" s="9"/>
    </row>
    <row r="171" spans="1:27" ht="13.5" customHeight="1" outlineLevel="1" x14ac:dyDescent="0.25">
      <c r="A171" s="366"/>
      <c r="B171" s="53" t="s">
        <v>101</v>
      </c>
      <c r="C171" s="175">
        <v>2.5000000000000001E-2</v>
      </c>
      <c r="D171" s="176">
        <v>0.05</v>
      </c>
      <c r="E171" s="121">
        <v>1</v>
      </c>
      <c r="F171" s="112">
        <f t="shared" si="115"/>
        <v>1.2500000000000002E-3</v>
      </c>
      <c r="G171" s="112">
        <f t="shared" si="116"/>
        <v>0.05</v>
      </c>
      <c r="H171" s="177">
        <v>240</v>
      </c>
      <c r="I171" s="114">
        <f>ROUND(H171*0.6,0)</f>
        <v>144</v>
      </c>
      <c r="J171" s="115">
        <f>ROUND((I171*0.992)*1.21,0)*(C171*D171*E171)</f>
        <v>0.21625000000000005</v>
      </c>
      <c r="K171" s="116">
        <f t="shared" si="117"/>
        <v>4.3250000000000011</v>
      </c>
      <c r="L171" s="117">
        <f t="shared" si="133"/>
        <v>995</v>
      </c>
      <c r="M171" s="178">
        <f t="shared" si="119"/>
        <v>1.2437500000000001</v>
      </c>
      <c r="N171" s="119">
        <f t="shared" si="120"/>
        <v>49.75</v>
      </c>
      <c r="O171" s="182"/>
      <c r="P171" s="121" t="str">
        <f t="shared" si="121"/>
        <v/>
      </c>
      <c r="Q171" s="122"/>
      <c r="R171" s="180"/>
      <c r="S171" s="121">
        <f t="shared" si="122"/>
        <v>0</v>
      </c>
      <c r="T171" s="181">
        <v>995</v>
      </c>
      <c r="U171" s="125">
        <f t="shared" si="123"/>
        <v>215.16875000000005</v>
      </c>
      <c r="V171" s="9" t="str">
        <f t="shared" si="130"/>
        <v/>
      </c>
      <c r="W171" s="9" t="str">
        <f t="shared" si="12"/>
        <v/>
      </c>
      <c r="X171" s="9"/>
      <c r="Y171" s="9"/>
      <c r="Z171" s="9"/>
      <c r="AA171" s="9"/>
    </row>
    <row r="172" spans="1:27" ht="13.5" customHeight="1" x14ac:dyDescent="0.25">
      <c r="A172" s="366"/>
      <c r="B172" s="149" t="s">
        <v>56</v>
      </c>
      <c r="C172" s="209"/>
      <c r="D172" s="209"/>
      <c r="E172" s="209"/>
      <c r="F172" s="209"/>
      <c r="G172" s="209"/>
      <c r="H172" s="153">
        <f t="shared" ref="H172:I172" si="141">AVERAGE(H110:H171)</f>
        <v>250.56533904561255</v>
      </c>
      <c r="I172" s="153">
        <f t="shared" si="141"/>
        <v>287.75806451612902</v>
      </c>
      <c r="J172" s="154"/>
      <c r="K172" s="152">
        <f>AVERAGE(K110:K171)</f>
        <v>21.529000000000014</v>
      </c>
      <c r="L172" s="155"/>
      <c r="M172" s="149">
        <f>SUM(M110:M171)</f>
        <v>292.65839000000005</v>
      </c>
      <c r="N172" s="212"/>
      <c r="O172" s="244"/>
      <c r="P172" s="152">
        <f t="shared" ref="P172:Q172" si="142">SUM(P110:P171)</f>
        <v>2.4111799999999999</v>
      </c>
      <c r="Q172" s="154">
        <f t="shared" si="142"/>
        <v>704</v>
      </c>
      <c r="R172" s="245"/>
      <c r="S172" s="152">
        <f>SUM(S110:S171)</f>
        <v>0</v>
      </c>
      <c r="T172" s="162"/>
      <c r="U172" s="246">
        <f>SUM(U110:U171)</f>
        <v>97875.108429999978</v>
      </c>
      <c r="V172" s="9"/>
      <c r="W172" s="9" t="str">
        <f t="shared" si="12"/>
        <v/>
      </c>
      <c r="X172" s="9"/>
      <c r="Y172" s="9"/>
      <c r="Z172" s="9"/>
      <c r="AA172" s="9"/>
    </row>
    <row r="173" spans="1:27" ht="13.5" customHeight="1" x14ac:dyDescent="0.25">
      <c r="A173" s="366"/>
      <c r="B173" s="164" t="s">
        <v>102</v>
      </c>
      <c r="C173" s="164"/>
      <c r="D173" s="164"/>
      <c r="E173" s="164"/>
      <c r="F173" s="164"/>
      <c r="G173" s="164"/>
      <c r="H173" s="164"/>
      <c r="I173" s="167"/>
      <c r="J173" s="168"/>
      <c r="K173" s="164"/>
      <c r="L173" s="164"/>
      <c r="M173" s="164"/>
      <c r="N173" s="169"/>
      <c r="O173" s="188"/>
      <c r="P173" s="164"/>
      <c r="Q173" s="189"/>
      <c r="R173" s="173"/>
      <c r="S173" s="164"/>
      <c r="T173" s="164"/>
      <c r="U173" s="174"/>
      <c r="V173" s="9"/>
      <c r="W173" s="9" t="str">
        <f t="shared" si="12"/>
        <v/>
      </c>
      <c r="X173" s="9"/>
      <c r="Y173" s="9"/>
      <c r="Z173" s="9"/>
      <c r="AA173" s="9"/>
    </row>
    <row r="174" spans="1:27" ht="13.5" customHeight="1" outlineLevel="1" x14ac:dyDescent="0.25">
      <c r="A174" s="366"/>
      <c r="B174" s="53"/>
      <c r="C174" s="175">
        <v>2.1000000000000001E-2</v>
      </c>
      <c r="D174" s="176">
        <v>3.7999999999999999E-2</v>
      </c>
      <c r="E174" s="121">
        <v>4.8</v>
      </c>
      <c r="F174" s="112">
        <f t="shared" ref="F174:F178" si="143">C174*D174*E174</f>
        <v>3.8303999999999999E-3</v>
      </c>
      <c r="G174" s="112">
        <f t="shared" ref="G174:G178" si="144">D174*E174</f>
        <v>0.18239999999999998</v>
      </c>
      <c r="H174" s="177">
        <v>343</v>
      </c>
      <c r="I174" s="114">
        <f t="shared" ref="I174:I178" si="145">ROUND(H174*1.1667,0)</f>
        <v>400</v>
      </c>
      <c r="J174" s="115">
        <f t="shared" ref="J174:J178" si="146">ROUND((I174*0.992)*1.21,0)*(C174*D174*E174)</f>
        <v>1.838592</v>
      </c>
      <c r="K174" s="116">
        <f t="shared" ref="K174:K178" si="147">J174/(D174*E174)</f>
        <v>10.080000000000002</v>
      </c>
      <c r="L174" s="117">
        <f t="shared" ref="L174:L178" si="148">T174+R174-O174</f>
        <v>1036</v>
      </c>
      <c r="M174" s="178">
        <f t="shared" ref="M174:M178" si="149">L174*F174</f>
        <v>3.9682944</v>
      </c>
      <c r="N174" s="119">
        <f t="shared" ref="N174:N178" si="150">L174*G174</f>
        <v>188.96639999999996</v>
      </c>
      <c r="O174" s="182"/>
      <c r="P174" s="121" t="str">
        <f t="shared" ref="P174:P191" si="151">IF(O174="","",(O174*F174))</f>
        <v/>
      </c>
      <c r="Q174" s="122"/>
      <c r="R174" s="180"/>
      <c r="S174" s="121">
        <f t="shared" ref="S174:S178" si="152">R174*F174</f>
        <v>0</v>
      </c>
      <c r="T174" s="181">
        <v>1036</v>
      </c>
      <c r="U174" s="125">
        <f t="shared" ref="U174:U178" si="153">J174*L174</f>
        <v>1904.7813120000001</v>
      </c>
      <c r="V174" s="9" t="str">
        <f t="shared" ref="V174:V178" si="154">IF(O174="","",Q174-(O174*(H174*F174)))</f>
        <v/>
      </c>
      <c r="W174" s="9" t="str">
        <f t="shared" si="12"/>
        <v/>
      </c>
      <c r="X174" s="9"/>
      <c r="Y174" s="9"/>
      <c r="Z174" s="9"/>
      <c r="AA174" s="9"/>
    </row>
    <row r="175" spans="1:27" ht="13.5" customHeight="1" outlineLevel="1" x14ac:dyDescent="0.25">
      <c r="A175" s="366"/>
      <c r="B175" s="53"/>
      <c r="C175" s="175">
        <v>2.5000000000000001E-2</v>
      </c>
      <c r="D175" s="176">
        <v>4.4999999999999998E-2</v>
      </c>
      <c r="E175" s="121">
        <v>2</v>
      </c>
      <c r="F175" s="112">
        <f t="shared" si="143"/>
        <v>2.2499999999999998E-3</v>
      </c>
      <c r="G175" s="112">
        <f t="shared" si="144"/>
        <v>0.09</v>
      </c>
      <c r="H175" s="177">
        <v>343</v>
      </c>
      <c r="I175" s="114">
        <f t="shared" si="145"/>
        <v>400</v>
      </c>
      <c r="J175" s="115">
        <f t="shared" si="146"/>
        <v>1.0799999999999998</v>
      </c>
      <c r="K175" s="116">
        <f t="shared" si="147"/>
        <v>11.999999999999998</v>
      </c>
      <c r="L175" s="117">
        <f t="shared" si="148"/>
        <v>26</v>
      </c>
      <c r="M175" s="178">
        <f t="shared" si="149"/>
        <v>5.8499999999999996E-2</v>
      </c>
      <c r="N175" s="119">
        <f t="shared" si="150"/>
        <v>2.34</v>
      </c>
      <c r="O175" s="182"/>
      <c r="P175" s="121" t="str">
        <f t="shared" si="151"/>
        <v/>
      </c>
      <c r="Q175" s="122"/>
      <c r="R175" s="180"/>
      <c r="S175" s="121">
        <f t="shared" si="152"/>
        <v>0</v>
      </c>
      <c r="T175" s="181">
        <v>26</v>
      </c>
      <c r="U175" s="125">
        <f t="shared" si="153"/>
        <v>28.079999999999995</v>
      </c>
      <c r="V175" s="9" t="str">
        <f t="shared" si="154"/>
        <v/>
      </c>
      <c r="W175" s="9" t="str">
        <f t="shared" si="12"/>
        <v/>
      </c>
      <c r="X175" s="9"/>
      <c r="Y175" s="9"/>
      <c r="Z175" s="9"/>
      <c r="AA175" s="9"/>
    </row>
    <row r="176" spans="1:27" ht="13.5" customHeight="1" outlineLevel="1" x14ac:dyDescent="0.25">
      <c r="A176" s="366"/>
      <c r="B176" s="53"/>
      <c r="C176" s="175">
        <v>2.7E-2</v>
      </c>
      <c r="D176" s="176">
        <v>2.7E-2</v>
      </c>
      <c r="E176" s="121">
        <v>2.4</v>
      </c>
      <c r="F176" s="112">
        <f t="shared" si="143"/>
        <v>1.7495999999999998E-3</v>
      </c>
      <c r="G176" s="112">
        <f t="shared" si="144"/>
        <v>6.4799999999999996E-2</v>
      </c>
      <c r="H176" s="177">
        <v>400</v>
      </c>
      <c r="I176" s="114">
        <f t="shared" si="145"/>
        <v>467</v>
      </c>
      <c r="J176" s="115">
        <f t="shared" si="146"/>
        <v>0.98152559999999989</v>
      </c>
      <c r="K176" s="116">
        <f t="shared" si="147"/>
        <v>15.146999999999998</v>
      </c>
      <c r="L176" s="117">
        <f t="shared" si="148"/>
        <v>1410</v>
      </c>
      <c r="M176" s="178">
        <f t="shared" si="149"/>
        <v>2.4669359999999996</v>
      </c>
      <c r="N176" s="119">
        <f t="shared" si="150"/>
        <v>91.367999999999995</v>
      </c>
      <c r="O176" s="182"/>
      <c r="P176" s="121" t="str">
        <f t="shared" si="151"/>
        <v/>
      </c>
      <c r="Q176" s="122"/>
      <c r="R176" s="180"/>
      <c r="S176" s="121">
        <f t="shared" si="152"/>
        <v>0</v>
      </c>
      <c r="T176" s="181">
        <v>1410</v>
      </c>
      <c r="U176" s="125">
        <f t="shared" si="153"/>
        <v>1383.9510959999998</v>
      </c>
      <c r="V176" s="9" t="str">
        <f t="shared" si="154"/>
        <v/>
      </c>
      <c r="W176" s="9" t="str">
        <f t="shared" si="12"/>
        <v/>
      </c>
      <c r="X176" s="9"/>
      <c r="Y176" s="9"/>
      <c r="Z176" s="9"/>
      <c r="AA176" s="9"/>
    </row>
    <row r="177" spans="1:27" ht="13.5" customHeight="1" outlineLevel="1" x14ac:dyDescent="0.25">
      <c r="A177" s="366"/>
      <c r="B177" s="53"/>
      <c r="C177" s="175">
        <v>4.4999999999999998E-2</v>
      </c>
      <c r="D177" s="176">
        <v>9.5000000000000001E-2</v>
      </c>
      <c r="E177" s="121">
        <v>4.2</v>
      </c>
      <c r="F177" s="112">
        <f t="shared" si="143"/>
        <v>1.7955000000000002E-2</v>
      </c>
      <c r="G177" s="112">
        <f t="shared" si="144"/>
        <v>0.39900000000000002</v>
      </c>
      <c r="H177" s="177">
        <v>343</v>
      </c>
      <c r="I177" s="114">
        <f t="shared" si="145"/>
        <v>400</v>
      </c>
      <c r="J177" s="115">
        <f t="shared" si="146"/>
        <v>8.6184000000000012</v>
      </c>
      <c r="K177" s="116">
        <f t="shared" si="147"/>
        <v>21.6</v>
      </c>
      <c r="L177" s="117">
        <f t="shared" si="148"/>
        <v>185</v>
      </c>
      <c r="M177" s="178">
        <f t="shared" si="149"/>
        <v>3.3216750000000004</v>
      </c>
      <c r="N177" s="119">
        <f t="shared" si="150"/>
        <v>73.814999999999998</v>
      </c>
      <c r="O177" s="182"/>
      <c r="P177" s="121" t="str">
        <f t="shared" si="151"/>
        <v/>
      </c>
      <c r="Q177" s="122"/>
      <c r="R177" s="180"/>
      <c r="S177" s="121">
        <f t="shared" si="152"/>
        <v>0</v>
      </c>
      <c r="T177" s="181">
        <v>185</v>
      </c>
      <c r="U177" s="125">
        <f t="shared" si="153"/>
        <v>1594.4040000000002</v>
      </c>
      <c r="V177" s="9" t="str">
        <f t="shared" si="154"/>
        <v/>
      </c>
      <c r="W177" s="9" t="str">
        <f t="shared" si="12"/>
        <v/>
      </c>
      <c r="X177" s="9"/>
      <c r="Y177" s="9"/>
      <c r="Z177" s="9"/>
      <c r="AA177" s="9"/>
    </row>
    <row r="178" spans="1:27" ht="13.5" customHeight="1" outlineLevel="1" x14ac:dyDescent="0.25">
      <c r="A178" s="366"/>
      <c r="B178" s="53" t="s">
        <v>86</v>
      </c>
      <c r="C178" s="175">
        <v>4.4999999999999998E-2</v>
      </c>
      <c r="D178" s="176">
        <v>0.12</v>
      </c>
      <c r="E178" s="121">
        <v>2.4</v>
      </c>
      <c r="F178" s="112">
        <f t="shared" si="143"/>
        <v>1.2959999999999998E-2</v>
      </c>
      <c r="G178" s="112">
        <f t="shared" si="144"/>
        <v>0.28799999999999998</v>
      </c>
      <c r="H178" s="177">
        <v>343</v>
      </c>
      <c r="I178" s="114">
        <f t="shared" si="145"/>
        <v>400</v>
      </c>
      <c r="J178" s="115">
        <f t="shared" si="146"/>
        <v>6.2207999999999988</v>
      </c>
      <c r="K178" s="116">
        <f t="shared" si="147"/>
        <v>21.599999999999998</v>
      </c>
      <c r="L178" s="117">
        <f t="shared" si="148"/>
        <v>89</v>
      </c>
      <c r="M178" s="178">
        <f t="shared" si="149"/>
        <v>1.1534399999999998</v>
      </c>
      <c r="N178" s="119">
        <f t="shared" si="150"/>
        <v>25.631999999999998</v>
      </c>
      <c r="O178" s="182"/>
      <c r="P178" s="121" t="str">
        <f t="shared" si="151"/>
        <v/>
      </c>
      <c r="Q178" s="122"/>
      <c r="R178" s="180"/>
      <c r="S178" s="121">
        <f t="shared" si="152"/>
        <v>0</v>
      </c>
      <c r="T178" s="181">
        <v>89</v>
      </c>
      <c r="U178" s="125">
        <f t="shared" si="153"/>
        <v>553.6511999999999</v>
      </c>
      <c r="V178" s="9" t="str">
        <f t="shared" si="154"/>
        <v/>
      </c>
      <c r="W178" s="9" t="str">
        <f t="shared" si="12"/>
        <v/>
      </c>
      <c r="X178" s="9"/>
      <c r="Y178" s="9"/>
      <c r="Z178" s="9"/>
      <c r="AA178" s="9"/>
    </row>
    <row r="179" spans="1:27" ht="13.5" customHeight="1" outlineLevel="1" x14ac:dyDescent="0.25">
      <c r="A179" s="366"/>
      <c r="B179" s="247" t="s">
        <v>103</v>
      </c>
      <c r="C179" s="175">
        <v>4.4999999999999998E-2</v>
      </c>
      <c r="D179" s="176">
        <v>0.12</v>
      </c>
      <c r="E179" s="121">
        <v>3.9</v>
      </c>
      <c r="F179" s="112"/>
      <c r="G179" s="112"/>
      <c r="H179" s="177"/>
      <c r="I179" s="114"/>
      <c r="J179" s="115"/>
      <c r="K179" s="116"/>
      <c r="L179" s="117"/>
      <c r="M179" s="178"/>
      <c r="N179" s="119"/>
      <c r="O179" s="182"/>
      <c r="P179" s="121" t="str">
        <f t="shared" si="151"/>
        <v/>
      </c>
      <c r="Q179" s="122"/>
      <c r="R179" s="180"/>
      <c r="S179" s="121"/>
      <c r="T179" s="181"/>
      <c r="U179" s="125"/>
      <c r="V179" s="9"/>
      <c r="W179" s="9" t="str">
        <f t="shared" si="12"/>
        <v/>
      </c>
      <c r="X179" s="9"/>
      <c r="Y179" s="9"/>
      <c r="Z179" s="9"/>
      <c r="AA179" s="9"/>
    </row>
    <row r="180" spans="1:27" ht="13.5" customHeight="1" outlineLevel="1" x14ac:dyDescent="0.25">
      <c r="A180" s="366"/>
      <c r="B180" s="247" t="s">
        <v>103</v>
      </c>
      <c r="C180" s="175">
        <v>4.4999999999999998E-2</v>
      </c>
      <c r="D180" s="176">
        <v>0.12</v>
      </c>
      <c r="E180" s="121">
        <v>4.2</v>
      </c>
      <c r="F180" s="112"/>
      <c r="G180" s="112"/>
      <c r="H180" s="177"/>
      <c r="I180" s="114"/>
      <c r="J180" s="115"/>
      <c r="K180" s="116"/>
      <c r="L180" s="117"/>
      <c r="M180" s="178"/>
      <c r="N180" s="119"/>
      <c r="O180" s="182"/>
      <c r="P180" s="121" t="str">
        <f t="shared" si="151"/>
        <v/>
      </c>
      <c r="Q180" s="122"/>
      <c r="R180" s="180"/>
      <c r="S180" s="121"/>
      <c r="T180" s="181"/>
      <c r="U180" s="125"/>
      <c r="V180" s="9"/>
      <c r="W180" s="9" t="str">
        <f t="shared" si="12"/>
        <v/>
      </c>
      <c r="X180" s="9"/>
      <c r="Y180" s="9"/>
      <c r="Z180" s="9"/>
      <c r="AA180" s="9"/>
    </row>
    <row r="181" spans="1:27" ht="13.5" customHeight="1" outlineLevel="1" x14ac:dyDescent="0.25">
      <c r="A181" s="366"/>
      <c r="B181" s="53"/>
      <c r="C181" s="175">
        <v>4.4999999999999998E-2</v>
      </c>
      <c r="D181" s="176">
        <v>0.12</v>
      </c>
      <c r="E181" s="121">
        <v>5.4</v>
      </c>
      <c r="F181" s="112">
        <f t="shared" ref="F181:F183" si="155">C181*D181*E181</f>
        <v>2.9159999999999998E-2</v>
      </c>
      <c r="G181" s="112">
        <f t="shared" ref="G181:G183" si="156">D181*E181</f>
        <v>0.64800000000000002</v>
      </c>
      <c r="H181" s="177">
        <v>343</v>
      </c>
      <c r="I181" s="114">
        <f t="shared" ref="I181:I183" si="157">ROUND(H181*1.1667,0)</f>
        <v>400</v>
      </c>
      <c r="J181" s="115">
        <f t="shared" ref="J181:J183" si="158">ROUND((I181*0.992)*1.21,0)*(C181*D181*E181)</f>
        <v>13.996799999999999</v>
      </c>
      <c r="K181" s="116">
        <f t="shared" ref="K181:K183" si="159">J181/(D181*E181)</f>
        <v>21.599999999999998</v>
      </c>
      <c r="L181" s="117">
        <f t="shared" ref="L181:L183" si="160">T181+R181-O181</f>
        <v>57</v>
      </c>
      <c r="M181" s="178">
        <f t="shared" ref="M181:M183" si="161">L181*F181</f>
        <v>1.6621199999999998</v>
      </c>
      <c r="N181" s="119">
        <f t="shared" ref="N181:N183" si="162">L181*G181</f>
        <v>36.936</v>
      </c>
      <c r="O181" s="182"/>
      <c r="P181" s="121" t="str">
        <f t="shared" si="151"/>
        <v/>
      </c>
      <c r="Q181" s="122"/>
      <c r="R181" s="180"/>
      <c r="S181" s="121">
        <f t="shared" ref="S181:S183" si="163">R181*F181</f>
        <v>0</v>
      </c>
      <c r="T181" s="181">
        <v>57</v>
      </c>
      <c r="U181" s="125">
        <f t="shared" ref="U181:U183" si="164">J181*L181</f>
        <v>797.81759999999997</v>
      </c>
      <c r="V181" s="9" t="str">
        <f t="shared" ref="V181:V183" si="165">IF(O181="","",Q181-(O181*(H181*F181)))</f>
        <v/>
      </c>
      <c r="W181" s="9" t="str">
        <f t="shared" si="12"/>
        <v/>
      </c>
      <c r="X181" s="9"/>
      <c r="Y181" s="9"/>
      <c r="Z181" s="9"/>
      <c r="AA181" s="9"/>
    </row>
    <row r="182" spans="1:27" ht="13.5" customHeight="1" outlineLevel="1" x14ac:dyDescent="0.25">
      <c r="A182" s="366"/>
      <c r="B182" s="53" t="s">
        <v>86</v>
      </c>
      <c r="C182" s="175">
        <v>4.4999999999999998E-2</v>
      </c>
      <c r="D182" s="176">
        <v>0.14499999999999999</v>
      </c>
      <c r="E182" s="121">
        <v>2.4</v>
      </c>
      <c r="F182" s="112">
        <f t="shared" si="155"/>
        <v>1.5659999999999997E-2</v>
      </c>
      <c r="G182" s="112">
        <f t="shared" si="156"/>
        <v>0.34799999999999998</v>
      </c>
      <c r="H182" s="177">
        <v>343</v>
      </c>
      <c r="I182" s="114">
        <f t="shared" si="157"/>
        <v>400</v>
      </c>
      <c r="J182" s="115">
        <f t="shared" si="158"/>
        <v>7.5167999999999981</v>
      </c>
      <c r="K182" s="116">
        <f t="shared" si="159"/>
        <v>21.599999999999998</v>
      </c>
      <c r="L182" s="117">
        <f t="shared" si="160"/>
        <v>92</v>
      </c>
      <c r="M182" s="178">
        <f t="shared" si="161"/>
        <v>1.4407199999999998</v>
      </c>
      <c r="N182" s="119">
        <f t="shared" si="162"/>
        <v>32.015999999999998</v>
      </c>
      <c r="O182" s="182"/>
      <c r="P182" s="121" t="str">
        <f t="shared" si="151"/>
        <v/>
      </c>
      <c r="Q182" s="122"/>
      <c r="R182" s="180"/>
      <c r="S182" s="121">
        <f t="shared" si="163"/>
        <v>0</v>
      </c>
      <c r="T182" s="181">
        <v>92</v>
      </c>
      <c r="U182" s="125">
        <f t="shared" si="164"/>
        <v>691.54559999999981</v>
      </c>
      <c r="V182" s="9" t="str">
        <f t="shared" si="165"/>
        <v/>
      </c>
      <c r="W182" s="9" t="str">
        <f t="shared" si="12"/>
        <v/>
      </c>
      <c r="X182" s="9"/>
      <c r="Y182" s="9"/>
      <c r="Z182" s="9"/>
      <c r="AA182" s="9"/>
    </row>
    <row r="183" spans="1:27" ht="13.5" customHeight="1" outlineLevel="1" x14ac:dyDescent="0.25">
      <c r="A183" s="366"/>
      <c r="B183" s="53"/>
      <c r="C183" s="175">
        <v>4.4999999999999998E-2</v>
      </c>
      <c r="D183" s="176">
        <v>0.14499999999999999</v>
      </c>
      <c r="E183" s="121">
        <v>4.8</v>
      </c>
      <c r="F183" s="112">
        <f t="shared" si="155"/>
        <v>3.1319999999999994E-2</v>
      </c>
      <c r="G183" s="112">
        <f t="shared" si="156"/>
        <v>0.69599999999999995</v>
      </c>
      <c r="H183" s="177">
        <v>343</v>
      </c>
      <c r="I183" s="114">
        <f t="shared" si="157"/>
        <v>400</v>
      </c>
      <c r="J183" s="115">
        <f t="shared" si="158"/>
        <v>15.033599999999996</v>
      </c>
      <c r="K183" s="116">
        <f t="shared" si="159"/>
        <v>21.599999999999998</v>
      </c>
      <c r="L183" s="117">
        <f t="shared" si="160"/>
        <v>1305</v>
      </c>
      <c r="M183" s="178">
        <f t="shared" si="161"/>
        <v>40.872599999999991</v>
      </c>
      <c r="N183" s="119">
        <f t="shared" si="162"/>
        <v>908.28</v>
      </c>
      <c r="O183" s="182"/>
      <c r="P183" s="121" t="str">
        <f t="shared" si="151"/>
        <v/>
      </c>
      <c r="Q183" s="122"/>
      <c r="R183" s="180"/>
      <c r="S183" s="121">
        <f t="shared" si="163"/>
        <v>0</v>
      </c>
      <c r="T183" s="181">
        <v>1305</v>
      </c>
      <c r="U183" s="125">
        <f t="shared" si="164"/>
        <v>19618.847999999994</v>
      </c>
      <c r="V183" s="9" t="str">
        <f t="shared" si="165"/>
        <v/>
      </c>
      <c r="W183" s="9" t="str">
        <f t="shared" si="12"/>
        <v/>
      </c>
      <c r="X183" s="9"/>
      <c r="Y183" s="9"/>
      <c r="Z183" s="9"/>
      <c r="AA183" s="9"/>
    </row>
    <row r="184" spans="1:27" ht="13.5" customHeight="1" outlineLevel="1" x14ac:dyDescent="0.25">
      <c r="A184" s="366"/>
      <c r="B184" s="247" t="s">
        <v>103</v>
      </c>
      <c r="C184" s="175">
        <v>4.4999999999999998E-2</v>
      </c>
      <c r="D184" s="176">
        <v>0.14499999999999999</v>
      </c>
      <c r="E184" s="121">
        <v>4.8</v>
      </c>
      <c r="F184" s="112"/>
      <c r="G184" s="112"/>
      <c r="H184" s="177"/>
      <c r="I184" s="114"/>
      <c r="J184" s="115"/>
      <c r="K184" s="116"/>
      <c r="L184" s="117"/>
      <c r="M184" s="178"/>
      <c r="N184" s="119"/>
      <c r="O184" s="182"/>
      <c r="P184" s="121" t="str">
        <f t="shared" si="151"/>
        <v/>
      </c>
      <c r="Q184" s="122"/>
      <c r="R184" s="180"/>
      <c r="S184" s="121"/>
      <c r="T184" s="181"/>
      <c r="U184" s="125"/>
      <c r="V184" s="9"/>
      <c r="W184" s="9" t="str">
        <f t="shared" si="12"/>
        <v/>
      </c>
      <c r="X184" s="9"/>
      <c r="Y184" s="9"/>
      <c r="Z184" s="9"/>
      <c r="AA184" s="9"/>
    </row>
    <row r="185" spans="1:27" ht="13.5" customHeight="1" outlineLevel="1" x14ac:dyDescent="0.25">
      <c r="A185" s="366"/>
      <c r="B185" s="247" t="s">
        <v>103</v>
      </c>
      <c r="C185" s="175">
        <v>4.4999999999999998E-2</v>
      </c>
      <c r="D185" s="176">
        <v>0.14499999999999999</v>
      </c>
      <c r="E185" s="121">
        <v>6</v>
      </c>
      <c r="F185" s="112"/>
      <c r="G185" s="112"/>
      <c r="H185" s="177"/>
      <c r="I185" s="114"/>
      <c r="J185" s="115"/>
      <c r="K185" s="116"/>
      <c r="L185" s="117"/>
      <c r="M185" s="178"/>
      <c r="N185" s="119"/>
      <c r="O185" s="182"/>
      <c r="P185" s="121" t="str">
        <f t="shared" si="151"/>
        <v/>
      </c>
      <c r="Q185" s="122"/>
      <c r="R185" s="180"/>
      <c r="S185" s="121"/>
      <c r="T185" s="181"/>
      <c r="U185" s="125"/>
      <c r="V185" s="9"/>
      <c r="W185" s="9" t="str">
        <f t="shared" si="12"/>
        <v/>
      </c>
      <c r="X185" s="9"/>
      <c r="Y185" s="9"/>
      <c r="Z185" s="9"/>
      <c r="AA185" s="9"/>
    </row>
    <row r="186" spans="1:27" ht="13.5" customHeight="1" outlineLevel="1" x14ac:dyDescent="0.25">
      <c r="A186" s="366"/>
      <c r="B186" s="53" t="s">
        <v>86</v>
      </c>
      <c r="C186" s="175">
        <v>4.4999999999999998E-2</v>
      </c>
      <c r="D186" s="176">
        <v>0.14499999999999999</v>
      </c>
      <c r="E186" s="121">
        <v>6</v>
      </c>
      <c r="F186" s="112">
        <f>C186*D186*E186</f>
        <v>3.9149999999999997E-2</v>
      </c>
      <c r="G186" s="112">
        <f>D186*E186</f>
        <v>0.86999999999999988</v>
      </c>
      <c r="H186" s="177">
        <v>343</v>
      </c>
      <c r="I186" s="114">
        <f>ROUND(H186*1.1667,0)</f>
        <v>400</v>
      </c>
      <c r="J186" s="115">
        <f>ROUND((I186*0.992)*1.21,0)*(C186*D186*E186)</f>
        <v>18.791999999999998</v>
      </c>
      <c r="K186" s="116">
        <f>J186/(D186*E186)</f>
        <v>21.6</v>
      </c>
      <c r="L186" s="117">
        <f>T186+R186-O186</f>
        <v>1003</v>
      </c>
      <c r="M186" s="178">
        <f>L186*F186</f>
        <v>39.267449999999997</v>
      </c>
      <c r="N186" s="119">
        <f>L186*G186</f>
        <v>872.6099999999999</v>
      </c>
      <c r="O186" s="182"/>
      <c r="P186" s="121" t="str">
        <f t="shared" si="151"/>
        <v/>
      </c>
      <c r="Q186" s="122"/>
      <c r="R186" s="180"/>
      <c r="S186" s="121">
        <f>R186*F186</f>
        <v>0</v>
      </c>
      <c r="T186" s="181">
        <v>1003</v>
      </c>
      <c r="U186" s="125">
        <f>J186*L186</f>
        <v>18848.375999999997</v>
      </c>
      <c r="V186" s="9" t="str">
        <f>IF(O186="","",Q186-(O186*(H186*F186)))</f>
        <v/>
      </c>
      <c r="W186" s="9" t="str">
        <f t="shared" si="12"/>
        <v/>
      </c>
      <c r="X186" s="9"/>
      <c r="Y186" s="9"/>
      <c r="Z186" s="9"/>
      <c r="AA186" s="9"/>
    </row>
    <row r="187" spans="1:27" ht="13.5" customHeight="1" outlineLevel="1" x14ac:dyDescent="0.25">
      <c r="A187" s="366"/>
      <c r="B187" s="247" t="s">
        <v>103</v>
      </c>
      <c r="C187" s="54">
        <v>4.4999999999999998E-2</v>
      </c>
      <c r="D187" s="55">
        <v>0.19500000000000001</v>
      </c>
      <c r="E187" s="56">
        <v>4.8</v>
      </c>
      <c r="F187" s="112"/>
      <c r="G187" s="112"/>
      <c r="H187" s="177"/>
      <c r="I187" s="114"/>
      <c r="J187" s="115"/>
      <c r="K187" s="116"/>
      <c r="L187" s="117"/>
      <c r="M187" s="178"/>
      <c r="N187" s="119"/>
      <c r="O187" s="182"/>
      <c r="P187" s="121" t="str">
        <f t="shared" si="151"/>
        <v/>
      </c>
      <c r="Q187" s="122"/>
      <c r="R187" s="180"/>
      <c r="S187" s="121"/>
      <c r="T187" s="181"/>
      <c r="U187" s="125"/>
      <c r="V187" s="9"/>
      <c r="W187" s="9" t="str">
        <f t="shared" si="12"/>
        <v/>
      </c>
      <c r="X187" s="9"/>
      <c r="Y187" s="9"/>
      <c r="Z187" s="9"/>
      <c r="AA187" s="9"/>
    </row>
    <row r="188" spans="1:27" ht="13.5" customHeight="1" outlineLevel="1" x14ac:dyDescent="0.25">
      <c r="A188" s="366"/>
      <c r="B188" s="247" t="s">
        <v>103</v>
      </c>
      <c r="C188" s="175">
        <v>4.4999999999999998E-2</v>
      </c>
      <c r="D188" s="176">
        <v>0.19500000000000001</v>
      </c>
      <c r="E188" s="121">
        <v>6</v>
      </c>
      <c r="F188" s="112"/>
      <c r="G188" s="112"/>
      <c r="H188" s="177"/>
      <c r="I188" s="114"/>
      <c r="J188" s="115"/>
      <c r="K188" s="116"/>
      <c r="L188" s="117"/>
      <c r="M188" s="178"/>
      <c r="N188" s="119"/>
      <c r="O188" s="182"/>
      <c r="P188" s="121" t="str">
        <f t="shared" si="151"/>
        <v/>
      </c>
      <c r="Q188" s="122"/>
      <c r="R188" s="180"/>
      <c r="S188" s="121"/>
      <c r="T188" s="181"/>
      <c r="U188" s="125"/>
      <c r="V188" s="9"/>
      <c r="W188" s="9" t="str">
        <f t="shared" si="12"/>
        <v/>
      </c>
      <c r="X188" s="9"/>
      <c r="Y188" s="9"/>
      <c r="Z188" s="9"/>
      <c r="AA188" s="9"/>
    </row>
    <row r="189" spans="1:27" ht="13.5" customHeight="1" outlineLevel="1" x14ac:dyDescent="0.25">
      <c r="A189" s="366"/>
      <c r="B189" s="247" t="s">
        <v>104</v>
      </c>
      <c r="C189" s="175">
        <v>4.4999999999999998E-2</v>
      </c>
      <c r="D189" s="176">
        <v>0.19500000000000001</v>
      </c>
      <c r="E189" s="121">
        <v>6</v>
      </c>
      <c r="F189" s="112"/>
      <c r="G189" s="112"/>
      <c r="H189" s="177"/>
      <c r="I189" s="114"/>
      <c r="J189" s="115"/>
      <c r="K189" s="116"/>
      <c r="L189" s="117"/>
      <c r="M189" s="178"/>
      <c r="N189" s="119"/>
      <c r="O189" s="182"/>
      <c r="P189" s="121" t="str">
        <f t="shared" si="151"/>
        <v/>
      </c>
      <c r="Q189" s="122"/>
      <c r="R189" s="180"/>
      <c r="S189" s="121"/>
      <c r="T189" s="181"/>
      <c r="U189" s="125"/>
      <c r="V189" s="9"/>
      <c r="W189" s="9" t="str">
        <f t="shared" si="12"/>
        <v/>
      </c>
      <c r="X189" s="9"/>
      <c r="Y189" s="9"/>
      <c r="Z189" s="9"/>
      <c r="AA189" s="9"/>
    </row>
    <row r="190" spans="1:27" ht="13.5" customHeight="1" outlineLevel="1" x14ac:dyDescent="0.25">
      <c r="A190" s="366"/>
      <c r="B190" s="248" t="s">
        <v>105</v>
      </c>
      <c r="C190" s="175">
        <v>4.4999999999999998E-2</v>
      </c>
      <c r="D190" s="176">
        <v>0.22</v>
      </c>
      <c r="E190" s="121">
        <v>4.8</v>
      </c>
      <c r="F190" s="112"/>
      <c r="G190" s="112"/>
      <c r="H190" s="177"/>
      <c r="I190" s="114"/>
      <c r="J190" s="115"/>
      <c r="K190" s="116"/>
      <c r="L190" s="117"/>
      <c r="M190" s="178"/>
      <c r="N190" s="119"/>
      <c r="O190" s="182"/>
      <c r="P190" s="121" t="str">
        <f t="shared" si="151"/>
        <v/>
      </c>
      <c r="Q190" s="122"/>
      <c r="R190" s="180"/>
      <c r="S190" s="121"/>
      <c r="T190" s="181"/>
      <c r="U190" s="125"/>
      <c r="V190" s="9"/>
      <c r="W190" s="9" t="str">
        <f t="shared" si="12"/>
        <v/>
      </c>
      <c r="X190" s="9"/>
      <c r="Y190" s="9"/>
      <c r="Z190" s="9"/>
      <c r="AA190" s="9"/>
    </row>
    <row r="191" spans="1:27" ht="13.5" customHeight="1" outlineLevel="1" x14ac:dyDescent="0.25">
      <c r="A191" s="366"/>
      <c r="B191" s="53"/>
      <c r="C191" s="175">
        <v>4.4999999999999998E-2</v>
      </c>
      <c r="D191" s="176">
        <v>0.22</v>
      </c>
      <c r="E191" s="121">
        <v>3.6</v>
      </c>
      <c r="F191" s="112">
        <f t="shared" ref="F191:F194" si="166">C191*D191*E191</f>
        <v>3.5639999999999998E-2</v>
      </c>
      <c r="G191" s="112">
        <f t="shared" ref="G191:G194" si="167">D191*E191</f>
        <v>0.79200000000000004</v>
      </c>
      <c r="H191" s="177">
        <v>343</v>
      </c>
      <c r="I191" s="114">
        <f t="shared" ref="I191:I194" si="168">ROUND(H191*1.1667,0)</f>
        <v>400</v>
      </c>
      <c r="J191" s="115">
        <f t="shared" ref="J191:J194" si="169">ROUND((I191*0.992)*1.21,0)*(C191*D191*E191)</f>
        <v>17.107199999999999</v>
      </c>
      <c r="K191" s="116">
        <f t="shared" ref="K191:K194" si="170">J191/(D191*E191)</f>
        <v>21.599999999999998</v>
      </c>
      <c r="L191" s="117">
        <f t="shared" ref="L191:L194" si="171">T191+R191-O191</f>
        <v>40</v>
      </c>
      <c r="M191" s="178">
        <f t="shared" ref="M191:M194" si="172">L191*F191</f>
        <v>1.4256</v>
      </c>
      <c r="N191" s="119">
        <f t="shared" ref="N191:N194" si="173">L191*G191</f>
        <v>31.68</v>
      </c>
      <c r="O191" s="182"/>
      <c r="P191" s="121" t="str">
        <f t="shared" si="151"/>
        <v/>
      </c>
      <c r="Q191" s="122"/>
      <c r="R191" s="180"/>
      <c r="S191" s="121">
        <f t="shared" ref="S191:S194" si="174">R191*F191</f>
        <v>0</v>
      </c>
      <c r="T191" s="181">
        <v>40</v>
      </c>
      <c r="U191" s="125">
        <f t="shared" ref="U191:U194" si="175">J191*L191</f>
        <v>684.28800000000001</v>
      </c>
      <c r="V191" s="9" t="str">
        <f t="shared" ref="V191:V194" si="176">IF(O191="","",Q191-(O191*(H191*F191)))</f>
        <v/>
      </c>
      <c r="W191" s="9" t="str">
        <f t="shared" si="12"/>
        <v/>
      </c>
      <c r="X191" s="9"/>
      <c r="Y191" s="9"/>
      <c r="Z191" s="9"/>
      <c r="AA191" s="9"/>
    </row>
    <row r="192" spans="1:27" ht="13.5" customHeight="1" outlineLevel="1" x14ac:dyDescent="0.25">
      <c r="A192" s="366"/>
      <c r="B192" s="53"/>
      <c r="C192" s="175">
        <v>4.4999999999999998E-2</v>
      </c>
      <c r="D192" s="176">
        <v>0.22</v>
      </c>
      <c r="E192" s="121">
        <v>6</v>
      </c>
      <c r="F192" s="112">
        <f t="shared" si="166"/>
        <v>5.9399999999999994E-2</v>
      </c>
      <c r="G192" s="112">
        <f t="shared" si="167"/>
        <v>1.32</v>
      </c>
      <c r="H192" s="177">
        <v>343</v>
      </c>
      <c r="I192" s="114">
        <f t="shared" si="168"/>
        <v>400</v>
      </c>
      <c r="J192" s="115">
        <f t="shared" si="169"/>
        <v>28.511999999999997</v>
      </c>
      <c r="K192" s="116">
        <f t="shared" si="170"/>
        <v>21.599999999999998</v>
      </c>
      <c r="L192" s="117">
        <f t="shared" si="171"/>
        <v>45</v>
      </c>
      <c r="M192" s="178">
        <f t="shared" si="172"/>
        <v>2.6729999999999996</v>
      </c>
      <c r="N192" s="119">
        <f t="shared" si="173"/>
        <v>59.400000000000006</v>
      </c>
      <c r="O192" s="182"/>
      <c r="P192" s="121"/>
      <c r="Q192" s="122"/>
      <c r="R192" s="180"/>
      <c r="S192" s="121">
        <f t="shared" si="174"/>
        <v>0</v>
      </c>
      <c r="T192" s="181">
        <v>45</v>
      </c>
      <c r="U192" s="125">
        <f t="shared" si="175"/>
        <v>1283.04</v>
      </c>
      <c r="V192" s="9" t="str">
        <f t="shared" si="176"/>
        <v/>
      </c>
      <c r="W192" s="9" t="str">
        <f t="shared" si="12"/>
        <v/>
      </c>
      <c r="X192" s="9"/>
      <c r="Y192" s="9"/>
      <c r="Z192" s="9"/>
      <c r="AA192" s="9"/>
    </row>
    <row r="193" spans="1:27" ht="13.5" customHeight="1" outlineLevel="1" x14ac:dyDescent="0.25">
      <c r="A193" s="366"/>
      <c r="B193" s="53"/>
      <c r="C193" s="175">
        <v>4.7E-2</v>
      </c>
      <c r="D193" s="176">
        <v>0.2</v>
      </c>
      <c r="E193" s="121">
        <v>6</v>
      </c>
      <c r="F193" s="112">
        <f t="shared" si="166"/>
        <v>5.6400000000000006E-2</v>
      </c>
      <c r="G193" s="112">
        <f t="shared" si="167"/>
        <v>1.2000000000000002</v>
      </c>
      <c r="H193" s="177">
        <v>343</v>
      </c>
      <c r="I193" s="114">
        <f t="shared" si="168"/>
        <v>400</v>
      </c>
      <c r="J193" s="115">
        <f t="shared" si="169"/>
        <v>27.072000000000003</v>
      </c>
      <c r="K193" s="116">
        <f t="shared" si="170"/>
        <v>22.56</v>
      </c>
      <c r="L193" s="117">
        <f t="shared" si="171"/>
        <v>44</v>
      </c>
      <c r="M193" s="178">
        <f t="shared" si="172"/>
        <v>2.4816000000000003</v>
      </c>
      <c r="N193" s="119">
        <f t="shared" si="173"/>
        <v>52.800000000000011</v>
      </c>
      <c r="O193" s="182"/>
      <c r="P193" s="121" t="str">
        <f t="shared" ref="P193:P194" si="177">IF(O193="","",(O193*F193))</f>
        <v/>
      </c>
      <c r="Q193" s="122"/>
      <c r="R193" s="180"/>
      <c r="S193" s="121">
        <f t="shared" si="174"/>
        <v>0</v>
      </c>
      <c r="T193" s="181">
        <v>44</v>
      </c>
      <c r="U193" s="125">
        <f t="shared" si="175"/>
        <v>1191.1680000000001</v>
      </c>
      <c r="V193" s="9" t="str">
        <f t="shared" si="176"/>
        <v/>
      </c>
      <c r="W193" s="9" t="str">
        <f t="shared" si="12"/>
        <v/>
      </c>
      <c r="X193" s="9"/>
      <c r="Y193" s="9"/>
      <c r="Z193" s="9"/>
      <c r="AA193" s="9"/>
    </row>
    <row r="194" spans="1:27" ht="13.5" customHeight="1" outlineLevel="1" x14ac:dyDescent="0.25">
      <c r="A194" s="366"/>
      <c r="B194" s="53"/>
      <c r="C194" s="175">
        <v>7.4999999999999997E-2</v>
      </c>
      <c r="D194" s="176">
        <v>0.19500000000000001</v>
      </c>
      <c r="E194" s="121">
        <v>6</v>
      </c>
      <c r="F194" s="112">
        <f t="shared" si="166"/>
        <v>8.7749999999999995E-2</v>
      </c>
      <c r="G194" s="112">
        <f t="shared" si="167"/>
        <v>1.17</v>
      </c>
      <c r="H194" s="177">
        <v>343</v>
      </c>
      <c r="I194" s="114">
        <f t="shared" si="168"/>
        <v>400</v>
      </c>
      <c r="J194" s="115">
        <f t="shared" si="169"/>
        <v>42.12</v>
      </c>
      <c r="K194" s="116">
        <f t="shared" si="170"/>
        <v>36</v>
      </c>
      <c r="L194" s="117">
        <f t="shared" si="171"/>
        <v>104</v>
      </c>
      <c r="M194" s="178">
        <f t="shared" si="172"/>
        <v>9.1259999999999994</v>
      </c>
      <c r="N194" s="119">
        <f t="shared" si="173"/>
        <v>121.67999999999999</v>
      </c>
      <c r="O194" s="249">
        <v>10</v>
      </c>
      <c r="P194" s="121">
        <f t="shared" si="177"/>
        <v>0.87749999999999995</v>
      </c>
      <c r="Q194" s="250">
        <v>330</v>
      </c>
      <c r="R194" s="180"/>
      <c r="S194" s="121">
        <f t="shared" si="174"/>
        <v>0</v>
      </c>
      <c r="T194" s="181">
        <v>114</v>
      </c>
      <c r="U194" s="125">
        <f t="shared" si="175"/>
        <v>4380.4799999999996</v>
      </c>
      <c r="V194" s="9">
        <f t="shared" si="176"/>
        <v>29.017500000000041</v>
      </c>
      <c r="W194" s="9">
        <f t="shared" si="12"/>
        <v>300.98249999999996</v>
      </c>
      <c r="X194" s="9"/>
      <c r="Y194" s="9"/>
      <c r="Z194" s="9"/>
      <c r="AA194" s="9"/>
    </row>
    <row r="195" spans="1:27" ht="13.5" customHeight="1" x14ac:dyDescent="0.25">
      <c r="A195" s="366"/>
      <c r="B195" s="149" t="s">
        <v>56</v>
      </c>
      <c r="C195" s="209"/>
      <c r="D195" s="209"/>
      <c r="E195" s="209"/>
      <c r="F195" s="209"/>
      <c r="G195" s="209"/>
      <c r="H195" s="153">
        <f t="shared" ref="H195:I195" si="178">AVERAGE(H174:H194)</f>
        <v>347.38461538461536</v>
      </c>
      <c r="I195" s="153">
        <f t="shared" si="178"/>
        <v>405.15384615384613</v>
      </c>
      <c r="J195" s="154"/>
      <c r="K195" s="152">
        <f>AVERAGE(K174:K194)</f>
        <v>20.660538461538462</v>
      </c>
      <c r="L195" s="155"/>
      <c r="M195" s="251">
        <f>SUM(M174:M194)</f>
        <v>109.91793539999999</v>
      </c>
      <c r="N195" s="212"/>
      <c r="O195" s="157"/>
      <c r="P195" s="196">
        <f t="shared" ref="P195:Q195" si="179">SUM(P174:P194)</f>
        <v>0.87749999999999995</v>
      </c>
      <c r="Q195" s="251">
        <f t="shared" si="179"/>
        <v>330</v>
      </c>
      <c r="R195" s="190"/>
      <c r="S195" s="161">
        <f>SUM(S174:S194)</f>
        <v>0</v>
      </c>
      <c r="T195" s="162"/>
      <c r="U195" s="246">
        <f>SUM(U174:U194)</f>
        <v>52960.43080799999</v>
      </c>
      <c r="V195" s="9"/>
      <c r="W195" s="9" t="str">
        <f t="shared" si="12"/>
        <v/>
      </c>
      <c r="X195" s="9"/>
      <c r="Y195" s="9"/>
      <c r="Z195" s="9"/>
      <c r="AA195" s="9"/>
    </row>
    <row r="196" spans="1:27" ht="15" customHeight="1" x14ac:dyDescent="0.25">
      <c r="A196" s="366"/>
      <c r="B196" s="252" t="s">
        <v>106</v>
      </c>
      <c r="C196" s="253"/>
      <c r="D196" s="253"/>
      <c r="E196" s="253"/>
      <c r="F196" s="253"/>
      <c r="G196" s="253"/>
      <c r="H196" s="253"/>
      <c r="I196" s="254">
        <f>AVERAGE(I172,I195)</f>
        <v>346.45595533498761</v>
      </c>
      <c r="J196" s="255"/>
      <c r="K196" s="256">
        <f>AVERAGE(K172,K195)</f>
        <v>21.094769230769238</v>
      </c>
      <c r="L196" s="257"/>
      <c r="M196" s="258">
        <f>SUM(M172+M195)</f>
        <v>402.57632540000003</v>
      </c>
      <c r="N196" s="259"/>
      <c r="O196" s="260"/>
      <c r="P196" s="261">
        <f t="shared" ref="P196:Q196" si="180">SUM(P172+P195)</f>
        <v>3.2886799999999998</v>
      </c>
      <c r="Q196" s="262">
        <f t="shared" si="180"/>
        <v>1034</v>
      </c>
      <c r="R196" s="263"/>
      <c r="S196" s="264">
        <f>SUM(S172+S195)</f>
        <v>0</v>
      </c>
      <c r="T196" s="265"/>
      <c r="U196" s="266">
        <f>U195+U172</f>
        <v>150835.53923799997</v>
      </c>
      <c r="V196" s="9"/>
      <c r="W196" s="9" t="str">
        <f t="shared" si="12"/>
        <v/>
      </c>
      <c r="X196" s="9"/>
      <c r="Y196" s="9"/>
      <c r="Z196" s="9"/>
      <c r="AA196" s="9"/>
    </row>
    <row r="197" spans="1:27" ht="13.5" customHeight="1" x14ac:dyDescent="0.25">
      <c r="A197" s="368"/>
      <c r="B197" s="267"/>
      <c r="C197" s="267"/>
      <c r="D197" s="268"/>
      <c r="E197" s="268"/>
      <c r="F197" s="269"/>
      <c r="G197" s="269"/>
      <c r="H197" s="267"/>
      <c r="I197" s="270"/>
      <c r="J197" s="271"/>
      <c r="K197" s="272"/>
      <c r="L197" s="273"/>
      <c r="M197" s="274"/>
      <c r="N197" s="267"/>
      <c r="O197" s="275"/>
      <c r="P197" s="268"/>
      <c r="Q197" s="276"/>
      <c r="R197" s="277"/>
      <c r="S197" s="268"/>
      <c r="T197" s="278"/>
      <c r="U197" s="279"/>
      <c r="V197" s="9"/>
      <c r="W197" s="9" t="str">
        <f t="shared" si="12"/>
        <v/>
      </c>
      <c r="X197" s="9"/>
      <c r="Y197" s="9"/>
      <c r="Z197" s="9"/>
      <c r="AA197" s="9"/>
    </row>
    <row r="198" spans="1:27" ht="13.5" customHeight="1" x14ac:dyDescent="0.25">
      <c r="A198" s="369"/>
      <c r="B198" s="280" t="s">
        <v>31</v>
      </c>
      <c r="C198" s="60"/>
      <c r="D198" s="61"/>
      <c r="E198" s="60"/>
      <c r="F198" s="281"/>
      <c r="G198" s="281"/>
      <c r="H198" s="60"/>
      <c r="I198" s="282">
        <f>AVERAGE(I100,I108,I196)</f>
        <v>398.73195093198956</v>
      </c>
      <c r="J198" s="64"/>
      <c r="K198" s="62"/>
      <c r="L198" s="283"/>
      <c r="M198" s="62">
        <f>SUM(M100+M108+M196)</f>
        <v>636.70511379999994</v>
      </c>
      <c r="N198" s="284"/>
      <c r="O198" s="63"/>
      <c r="P198" s="62" t="e">
        <f t="shared" ref="P198:Q198" si="181">SUM(P100+P108+P196)</f>
        <v>#VALUE!</v>
      </c>
      <c r="Q198" s="285">
        <f t="shared" si="181"/>
        <v>2104.39</v>
      </c>
      <c r="R198" s="286"/>
      <c r="S198" s="62">
        <f>SUM(S100+S108+S196)</f>
        <v>0</v>
      </c>
      <c r="T198" s="287"/>
      <c r="U198" s="288">
        <f>SUM(U100+U108+U196)</f>
        <v>272756.08157072461</v>
      </c>
      <c r="V198" s="9">
        <f t="shared" ref="V198:W198" si="182">SUM(V2:V197)</f>
        <v>397.9712797000002</v>
      </c>
      <c r="W198" s="9">
        <f t="shared" si="182"/>
        <v>1706.4187203000001</v>
      </c>
      <c r="X198" s="9"/>
      <c r="Y198" s="9"/>
      <c r="Z198" s="9"/>
      <c r="AA198" s="9"/>
    </row>
    <row r="199" spans="1:27" ht="13.5" customHeight="1" x14ac:dyDescent="0.25">
      <c r="A199" s="9"/>
      <c r="B199" s="9"/>
      <c r="C199" s="9"/>
      <c r="D199" s="9"/>
      <c r="E199" s="9"/>
      <c r="F199" s="185"/>
      <c r="G199" s="185"/>
      <c r="H199" s="9"/>
      <c r="I199" s="289"/>
      <c r="J199" s="290"/>
      <c r="K199" s="291"/>
      <c r="L199" s="292"/>
      <c r="M199" s="9"/>
      <c r="N199" s="9"/>
      <c r="O199" s="42"/>
      <c r="P199" s="9"/>
      <c r="Q199" s="43"/>
      <c r="R199" s="293"/>
      <c r="S199" s="291"/>
      <c r="T199" s="294"/>
      <c r="U199" s="295"/>
      <c r="V199" s="9"/>
      <c r="W199" s="9"/>
      <c r="X199" s="9"/>
      <c r="Y199" s="9"/>
      <c r="Z199" s="9"/>
      <c r="AA199" s="9"/>
    </row>
    <row r="200" spans="1:27" ht="13.5" customHeight="1" x14ac:dyDescent="0.25">
      <c r="A200" s="9"/>
      <c r="B200" s="9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7"/>
      <c r="Q200" s="296"/>
      <c r="R200" s="294"/>
      <c r="S200" s="9"/>
      <c r="T200" s="9"/>
      <c r="U200" s="9"/>
      <c r="V200" s="9"/>
      <c r="W200" s="9"/>
      <c r="X200" s="9"/>
      <c r="Y200" s="9"/>
      <c r="Z200" s="298"/>
      <c r="AA200" s="298"/>
    </row>
    <row r="201" spans="1:27" ht="13.5" customHeight="1" x14ac:dyDescent="0.25">
      <c r="A201" s="9"/>
      <c r="B201" s="9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7"/>
      <c r="Q201" s="296"/>
      <c r="R201" s="294"/>
      <c r="S201" s="9"/>
      <c r="T201" s="9"/>
      <c r="U201" s="9"/>
      <c r="V201" s="9"/>
      <c r="W201" s="9"/>
      <c r="X201" s="9"/>
      <c r="Y201" s="9"/>
      <c r="Z201" s="298"/>
      <c r="AA201" s="298"/>
    </row>
    <row r="202" spans="1:27" ht="13.5" customHeight="1" x14ac:dyDescent="0.25">
      <c r="A202" s="9"/>
      <c r="B202" s="9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7"/>
      <c r="Q202" s="296"/>
      <c r="R202" s="294"/>
      <c r="S202" s="9"/>
      <c r="T202" s="9"/>
      <c r="U202" s="9"/>
      <c r="V202" s="9"/>
      <c r="W202" s="9"/>
      <c r="X202" s="9"/>
      <c r="Y202" s="9"/>
      <c r="Z202" s="298"/>
      <c r="AA202" s="298"/>
    </row>
    <row r="203" spans="1:27" ht="13.5" customHeight="1" x14ac:dyDescent="0.25">
      <c r="A203" s="9"/>
      <c r="B203" s="9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7"/>
      <c r="Q203" s="296"/>
      <c r="R203" s="294"/>
      <c r="S203" s="9"/>
      <c r="T203" s="9"/>
      <c r="U203" s="9"/>
      <c r="V203" s="9"/>
      <c r="W203" s="9"/>
      <c r="X203" s="9"/>
      <c r="Y203" s="9"/>
      <c r="Z203" s="298"/>
      <c r="AA203" s="298"/>
    </row>
    <row r="204" spans="1:27" ht="13.5" customHeight="1" x14ac:dyDescent="0.25">
      <c r="A204" s="9"/>
      <c r="B204" s="9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7"/>
      <c r="Q204" s="296"/>
      <c r="R204" s="294"/>
      <c r="S204" s="9"/>
      <c r="T204" s="9"/>
      <c r="U204" s="9"/>
      <c r="V204" s="9"/>
      <c r="W204" s="9"/>
      <c r="X204" s="9"/>
      <c r="Y204" s="9"/>
      <c r="Z204" s="298"/>
      <c r="AA204" s="298"/>
    </row>
    <row r="205" spans="1:27" ht="13.5" customHeight="1" x14ac:dyDescent="0.25">
      <c r="A205" s="9"/>
      <c r="B205" s="9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7"/>
      <c r="Q205" s="296"/>
      <c r="R205" s="294"/>
      <c r="S205" s="9"/>
      <c r="T205" s="9"/>
      <c r="U205" s="9"/>
      <c r="V205" s="9"/>
      <c r="W205" s="9"/>
      <c r="X205" s="9"/>
      <c r="Y205" s="9"/>
      <c r="Z205" s="298"/>
      <c r="AA205" s="298"/>
    </row>
    <row r="206" spans="1:27" ht="13.5" customHeight="1" x14ac:dyDescent="0.25">
      <c r="A206" s="9"/>
      <c r="B206" s="9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7"/>
      <c r="Q206" s="296"/>
      <c r="R206" s="294"/>
      <c r="S206" s="9"/>
      <c r="T206" s="9"/>
      <c r="U206" s="9"/>
      <c r="V206" s="9"/>
      <c r="W206" s="9"/>
      <c r="X206" s="9"/>
      <c r="Y206" s="9"/>
      <c r="Z206" s="298"/>
      <c r="AA206" s="298"/>
    </row>
    <row r="207" spans="1:27" ht="13.5" customHeight="1" x14ac:dyDescent="0.25">
      <c r="A207" s="9"/>
      <c r="B207" s="9"/>
      <c r="C207" s="363" t="s">
        <v>107</v>
      </c>
      <c r="D207" s="361"/>
      <c r="E207" s="361"/>
      <c r="F207" s="361"/>
      <c r="G207" s="361"/>
      <c r="H207" s="361"/>
      <c r="I207" s="361"/>
      <c r="J207" s="361"/>
      <c r="K207" s="361"/>
      <c r="L207" s="359"/>
      <c r="M207" s="363" t="s">
        <v>108</v>
      </c>
      <c r="N207" s="361"/>
      <c r="O207" s="361"/>
      <c r="P207" s="361"/>
      <c r="Q207" s="361"/>
      <c r="R207" s="359"/>
      <c r="S207" s="294"/>
      <c r="T207" s="9"/>
      <c r="U207" s="9"/>
      <c r="V207" s="9"/>
      <c r="W207" s="9"/>
      <c r="X207" s="9"/>
      <c r="Y207" s="9"/>
      <c r="Z207" s="298"/>
      <c r="AA207" s="298"/>
    </row>
    <row r="208" spans="1:27" ht="13.5" customHeight="1" x14ac:dyDescent="0.25">
      <c r="A208" s="9"/>
      <c r="B208" s="9"/>
      <c r="C208" s="299" t="s">
        <v>35</v>
      </c>
      <c r="D208" s="299" t="s">
        <v>24</v>
      </c>
      <c r="E208" s="299" t="s">
        <v>25</v>
      </c>
      <c r="F208" s="299" t="s">
        <v>36</v>
      </c>
      <c r="G208" s="300" t="s">
        <v>37</v>
      </c>
      <c r="H208" s="299"/>
      <c r="I208" s="301" t="s">
        <v>26</v>
      </c>
      <c r="J208" s="302" t="s">
        <v>27</v>
      </c>
      <c r="K208" s="303" t="s">
        <v>109</v>
      </c>
      <c r="L208" s="303" t="s">
        <v>110</v>
      </c>
      <c r="M208" s="299" t="s">
        <v>35</v>
      </c>
      <c r="N208" s="299" t="s">
        <v>24</v>
      </c>
      <c r="O208" s="299" t="s">
        <v>25</v>
      </c>
      <c r="P208" s="364" t="s">
        <v>111</v>
      </c>
      <c r="Q208" s="359"/>
      <c r="R208" s="303" t="s">
        <v>112</v>
      </c>
      <c r="S208" s="42"/>
      <c r="T208" s="43"/>
      <c r="U208" s="293"/>
      <c r="V208" s="291"/>
      <c r="W208" s="294"/>
      <c r="X208" s="295"/>
      <c r="Y208" s="9"/>
      <c r="Z208" s="9"/>
      <c r="AA208" s="9"/>
    </row>
    <row r="209" spans="1:27" ht="13.5" customHeight="1" x14ac:dyDescent="0.25">
      <c r="A209" s="9"/>
      <c r="B209" s="9"/>
      <c r="C209" s="54">
        <v>4.4999999999999998E-2</v>
      </c>
      <c r="D209" s="55">
        <v>4.4999999999999998E-2</v>
      </c>
      <c r="E209" s="183">
        <v>6</v>
      </c>
      <c r="F209" s="112">
        <f t="shared" ref="F209:F210" si="183">C209*D209*E209</f>
        <v>1.2149999999999999E-2</v>
      </c>
      <c r="G209" s="112">
        <f t="shared" ref="G209:G210" si="184">D209*E209</f>
        <v>0.27</v>
      </c>
      <c r="H209" s="177">
        <v>403.13</v>
      </c>
      <c r="I209" s="114">
        <f>ROUND(H209*1.125,0)</f>
        <v>454</v>
      </c>
      <c r="J209" s="115">
        <f t="shared" ref="J209:J210" si="185">ROUND((I209*0.992)*1.21,0)*(C209*D209*E209)</f>
        <v>6.6217499999999996</v>
      </c>
      <c r="K209" s="304">
        <v>40</v>
      </c>
      <c r="L209" s="305">
        <f t="shared" ref="L209:L217" si="186">IF($P$218&gt;=1,I209*((C209*D209*E209)*K209),J209*K209)</f>
        <v>264.87</v>
      </c>
      <c r="M209" s="305">
        <f t="shared" ref="M209:M217" si="187">IF(C209=0,0,C209*MAX(1,ROUNDUP(K209/INT(1.1/D209),0)))</f>
        <v>0.09</v>
      </c>
      <c r="N209" s="305">
        <f t="shared" ref="N209:N217" si="188">IF(D209=0,0,IF(D209*K209&lt;=1.1,D209*K209,INT(1.1/D209)*D209))</f>
        <v>1.08</v>
      </c>
      <c r="O209" s="305">
        <f t="shared" ref="O209:O217" si="189">E209</f>
        <v>6</v>
      </c>
      <c r="P209" s="358">
        <f t="shared" ref="P209:P217" si="190">ROUND((C209*D209*E209)*K209,2)</f>
        <v>0.49</v>
      </c>
      <c r="Q209" s="359"/>
      <c r="R209" s="305">
        <f t="shared" ref="R209:R217" si="191">P209*480</f>
        <v>235.2</v>
      </c>
      <c r="S209" s="42"/>
      <c r="T209" s="43"/>
      <c r="U209" s="293">
        <v>245</v>
      </c>
      <c r="V209" s="291"/>
      <c r="W209" s="9"/>
      <c r="X209" s="295"/>
      <c r="Y209" s="9"/>
      <c r="Z209" s="9"/>
      <c r="AA209" s="9"/>
    </row>
    <row r="210" spans="1:27" ht="13.5" customHeight="1" x14ac:dyDescent="0.25">
      <c r="A210" s="9"/>
      <c r="B210" s="9"/>
      <c r="C210" s="76">
        <v>2.3E-2</v>
      </c>
      <c r="D210" s="77">
        <v>0.1</v>
      </c>
      <c r="E210" s="78">
        <v>4.8</v>
      </c>
      <c r="F210" s="133">
        <f t="shared" si="183"/>
        <v>1.1039999999999999E-2</v>
      </c>
      <c r="G210" s="133">
        <f t="shared" si="184"/>
        <v>0.48</v>
      </c>
      <c r="H210" s="239">
        <v>228.8</v>
      </c>
      <c r="I210" s="114">
        <f>ROUND(H210*1.225,0)</f>
        <v>280</v>
      </c>
      <c r="J210" s="115">
        <f t="shared" si="185"/>
        <v>3.7094399999999998</v>
      </c>
      <c r="K210" s="304">
        <v>40</v>
      </c>
      <c r="L210" s="305">
        <f t="shared" si="186"/>
        <v>148.3776</v>
      </c>
      <c r="M210" s="305">
        <f t="shared" si="187"/>
        <v>9.1999999999999998E-2</v>
      </c>
      <c r="N210" s="305">
        <f t="shared" si="188"/>
        <v>1.1000000000000001</v>
      </c>
      <c r="O210" s="305">
        <f t="shared" si="189"/>
        <v>4.8</v>
      </c>
      <c r="P210" s="358">
        <f t="shared" si="190"/>
        <v>0.44</v>
      </c>
      <c r="Q210" s="359"/>
      <c r="R210" s="305">
        <f t="shared" si="191"/>
        <v>211.2</v>
      </c>
      <c r="S210" s="42"/>
      <c r="T210" s="43"/>
      <c r="U210" s="293">
        <v>145</v>
      </c>
      <c r="V210" s="291"/>
      <c r="W210" s="9"/>
      <c r="X210" s="295"/>
      <c r="Y210" s="9"/>
      <c r="Z210" s="9"/>
      <c r="AA210" s="9"/>
    </row>
    <row r="211" spans="1:27" ht="13.5" customHeight="1" x14ac:dyDescent="0.25">
      <c r="A211" s="9"/>
      <c r="B211" s="9"/>
      <c r="C211" s="175"/>
      <c r="D211" s="176"/>
      <c r="E211" s="121"/>
      <c r="F211" s="112"/>
      <c r="G211" s="112"/>
      <c r="H211" s="177"/>
      <c r="I211" s="114"/>
      <c r="J211" s="115"/>
      <c r="K211" s="304"/>
      <c r="L211" s="305">
        <f t="shared" si="186"/>
        <v>0</v>
      </c>
      <c r="M211" s="305">
        <f t="shared" si="187"/>
        <v>0</v>
      </c>
      <c r="N211" s="305">
        <f t="shared" si="188"/>
        <v>0</v>
      </c>
      <c r="O211" s="305">
        <f t="shared" si="189"/>
        <v>0</v>
      </c>
      <c r="P211" s="358">
        <f t="shared" si="190"/>
        <v>0</v>
      </c>
      <c r="Q211" s="359"/>
      <c r="R211" s="305">
        <f t="shared" si="191"/>
        <v>0</v>
      </c>
      <c r="S211" s="42"/>
      <c r="T211" s="43"/>
      <c r="U211" s="293">
        <f>U209+U210</f>
        <v>390</v>
      </c>
      <c r="V211" s="291"/>
      <c r="W211" s="9"/>
      <c r="X211" s="295"/>
      <c r="Y211" s="9"/>
      <c r="Z211" s="9"/>
      <c r="AA211" s="9"/>
    </row>
    <row r="212" spans="1:27" ht="13.5" customHeight="1" x14ac:dyDescent="0.25">
      <c r="A212" s="9"/>
      <c r="B212" s="9"/>
      <c r="C212" s="54"/>
      <c r="D212" s="55"/>
      <c r="E212" s="56"/>
      <c r="F212" s="112"/>
      <c r="G212" s="112"/>
      <c r="H212" s="177"/>
      <c r="I212" s="114"/>
      <c r="J212" s="115"/>
      <c r="K212" s="304"/>
      <c r="L212" s="305">
        <f t="shared" si="186"/>
        <v>0</v>
      </c>
      <c r="M212" s="305">
        <f t="shared" si="187"/>
        <v>0</v>
      </c>
      <c r="N212" s="305">
        <f t="shared" si="188"/>
        <v>0</v>
      </c>
      <c r="O212" s="305">
        <f t="shared" si="189"/>
        <v>0</v>
      </c>
      <c r="P212" s="358">
        <f t="shared" si="190"/>
        <v>0</v>
      </c>
      <c r="Q212" s="359"/>
      <c r="R212" s="305">
        <f t="shared" si="191"/>
        <v>0</v>
      </c>
      <c r="S212" s="42"/>
      <c r="T212" s="43"/>
      <c r="U212" s="293"/>
      <c r="V212" s="291"/>
      <c r="W212" s="9"/>
      <c r="X212" s="295"/>
      <c r="Y212" s="9"/>
      <c r="Z212" s="9"/>
      <c r="AA212" s="9"/>
    </row>
    <row r="213" spans="1:27" ht="13.5" customHeight="1" x14ac:dyDescent="0.25">
      <c r="A213" s="9"/>
      <c r="B213" s="9"/>
      <c r="C213" s="76"/>
      <c r="D213" s="77"/>
      <c r="E213" s="78"/>
      <c r="F213" s="133"/>
      <c r="G213" s="133"/>
      <c r="H213" s="239"/>
      <c r="I213" s="114"/>
      <c r="J213" s="115"/>
      <c r="K213" s="304"/>
      <c r="L213" s="305">
        <f t="shared" si="186"/>
        <v>0</v>
      </c>
      <c r="M213" s="305">
        <f t="shared" si="187"/>
        <v>0</v>
      </c>
      <c r="N213" s="305">
        <f t="shared" si="188"/>
        <v>0</v>
      </c>
      <c r="O213" s="305">
        <f t="shared" si="189"/>
        <v>0</v>
      </c>
      <c r="P213" s="358">
        <f t="shared" si="190"/>
        <v>0</v>
      </c>
      <c r="Q213" s="359"/>
      <c r="R213" s="305">
        <f t="shared" si="191"/>
        <v>0</v>
      </c>
      <c r="S213" s="42"/>
      <c r="T213" s="43"/>
      <c r="U213" s="293"/>
      <c r="V213" s="291"/>
      <c r="W213" s="9"/>
      <c r="X213" s="295"/>
      <c r="Y213" s="9"/>
      <c r="Z213" s="9"/>
      <c r="AA213" s="9"/>
    </row>
    <row r="214" spans="1:27" ht="13.5" customHeight="1" x14ac:dyDescent="0.25">
      <c r="A214" s="9"/>
      <c r="B214" s="9"/>
      <c r="C214" s="54"/>
      <c r="D214" s="55"/>
      <c r="E214" s="56"/>
      <c r="F214" s="306"/>
      <c r="G214" s="306"/>
      <c r="H214" s="306"/>
      <c r="I214" s="306"/>
      <c r="J214" s="202"/>
      <c r="K214" s="304"/>
      <c r="L214" s="305">
        <f t="shared" si="186"/>
        <v>0</v>
      </c>
      <c r="M214" s="305">
        <f t="shared" si="187"/>
        <v>0</v>
      </c>
      <c r="N214" s="305">
        <f t="shared" si="188"/>
        <v>0</v>
      </c>
      <c r="O214" s="305">
        <f t="shared" si="189"/>
        <v>0</v>
      </c>
      <c r="P214" s="358">
        <f t="shared" si="190"/>
        <v>0</v>
      </c>
      <c r="Q214" s="359"/>
      <c r="R214" s="305">
        <f t="shared" si="191"/>
        <v>0</v>
      </c>
      <c r="S214" s="42"/>
      <c r="T214" s="43"/>
      <c r="U214" s="293"/>
      <c r="V214" s="291"/>
      <c r="W214" s="9"/>
      <c r="X214" s="295"/>
      <c r="Y214" s="9"/>
      <c r="Z214" s="9"/>
      <c r="AA214" s="9"/>
    </row>
    <row r="215" spans="1:27" ht="13.5" customHeight="1" x14ac:dyDescent="0.25">
      <c r="A215" s="9"/>
      <c r="B215" s="9"/>
      <c r="C215" s="131"/>
      <c r="D215" s="111"/>
      <c r="E215" s="132"/>
      <c r="F215" s="306"/>
      <c r="G215" s="306"/>
      <c r="H215" s="306"/>
      <c r="I215" s="306"/>
      <c r="J215" s="202"/>
      <c r="K215" s="304"/>
      <c r="L215" s="305">
        <f t="shared" si="186"/>
        <v>0</v>
      </c>
      <c r="M215" s="305">
        <f t="shared" si="187"/>
        <v>0</v>
      </c>
      <c r="N215" s="305">
        <f t="shared" si="188"/>
        <v>0</v>
      </c>
      <c r="O215" s="305">
        <f t="shared" si="189"/>
        <v>0</v>
      </c>
      <c r="P215" s="358">
        <f t="shared" si="190"/>
        <v>0</v>
      </c>
      <c r="Q215" s="359"/>
      <c r="R215" s="305">
        <f t="shared" si="191"/>
        <v>0</v>
      </c>
      <c r="S215" s="42"/>
      <c r="T215" s="43"/>
      <c r="U215" s="293"/>
      <c r="V215" s="291"/>
      <c r="W215" s="9"/>
      <c r="X215" s="295"/>
      <c r="Y215" s="9"/>
      <c r="Z215" s="9"/>
      <c r="AA215" s="9"/>
    </row>
    <row r="216" spans="1:27" ht="13.5" customHeight="1" x14ac:dyDescent="0.25">
      <c r="A216" s="9"/>
      <c r="B216" s="9"/>
      <c r="C216" s="54"/>
      <c r="D216" s="55"/>
      <c r="E216" s="56"/>
      <c r="F216" s="127"/>
      <c r="G216" s="127"/>
      <c r="H216" s="113"/>
      <c r="I216" s="306"/>
      <c r="J216" s="202"/>
      <c r="K216" s="307"/>
      <c r="L216" s="305">
        <f t="shared" si="186"/>
        <v>0</v>
      </c>
      <c r="M216" s="305">
        <f t="shared" si="187"/>
        <v>0</v>
      </c>
      <c r="N216" s="305">
        <f t="shared" si="188"/>
        <v>0</v>
      </c>
      <c r="O216" s="305">
        <f t="shared" si="189"/>
        <v>0</v>
      </c>
      <c r="P216" s="358">
        <f t="shared" si="190"/>
        <v>0</v>
      </c>
      <c r="Q216" s="359"/>
      <c r="R216" s="305">
        <f t="shared" si="191"/>
        <v>0</v>
      </c>
      <c r="S216" s="42"/>
      <c r="T216" s="43"/>
      <c r="U216" s="293"/>
      <c r="V216" s="291"/>
      <c r="W216" s="9"/>
      <c r="X216" s="295"/>
      <c r="Y216" s="9"/>
      <c r="Z216" s="9"/>
      <c r="AA216" s="9"/>
    </row>
    <row r="217" spans="1:27" ht="13.5" customHeight="1" x14ac:dyDescent="0.25">
      <c r="A217" s="9"/>
      <c r="B217" s="9"/>
      <c r="C217" s="110"/>
      <c r="D217" s="55"/>
      <c r="E217" s="56"/>
      <c r="F217" s="306"/>
      <c r="G217" s="306"/>
      <c r="H217" s="306"/>
      <c r="I217" s="306"/>
      <c r="J217" s="202"/>
      <c r="K217" s="307"/>
      <c r="L217" s="305">
        <f t="shared" si="186"/>
        <v>0</v>
      </c>
      <c r="M217" s="305">
        <f t="shared" si="187"/>
        <v>0</v>
      </c>
      <c r="N217" s="305">
        <f t="shared" si="188"/>
        <v>0</v>
      </c>
      <c r="O217" s="305">
        <f t="shared" si="189"/>
        <v>0</v>
      </c>
      <c r="P217" s="358">
        <f t="shared" si="190"/>
        <v>0</v>
      </c>
      <c r="Q217" s="359"/>
      <c r="R217" s="305">
        <f t="shared" si="191"/>
        <v>0</v>
      </c>
      <c r="S217" s="42"/>
      <c r="T217" s="43"/>
      <c r="U217" s="293"/>
      <c r="V217" s="291"/>
      <c r="W217" s="9"/>
      <c r="X217" s="295"/>
      <c r="Y217" s="9"/>
      <c r="Z217" s="9"/>
      <c r="AA217" s="9"/>
    </row>
    <row r="218" spans="1:27" ht="13.5" customHeight="1" x14ac:dyDescent="0.25">
      <c r="A218" s="9"/>
      <c r="B218" s="9"/>
      <c r="C218" s="360" t="s">
        <v>13</v>
      </c>
      <c r="D218" s="361"/>
      <c r="E218" s="361"/>
      <c r="F218" s="361"/>
      <c r="G218" s="361"/>
      <c r="H218" s="361"/>
      <c r="I218" s="361"/>
      <c r="J218" s="361"/>
      <c r="K218" s="359"/>
      <c r="L218" s="308">
        <f t="shared" ref="L218:M218" si="192">SUM(L209:L217)</f>
        <v>413.24760000000003</v>
      </c>
      <c r="M218" s="308">
        <f t="shared" si="192"/>
        <v>0.182</v>
      </c>
      <c r="N218" s="308">
        <f t="shared" ref="N218:O218" si="193">MAX(N209:N217)</f>
        <v>1.1000000000000001</v>
      </c>
      <c r="O218" s="308">
        <f t="shared" si="193"/>
        <v>6</v>
      </c>
      <c r="P218" s="362">
        <f>SUM(P209:P217)</f>
        <v>0.92999999999999994</v>
      </c>
      <c r="Q218" s="359"/>
      <c r="R218" s="308">
        <f>SUM(R209:R217)</f>
        <v>446.4</v>
      </c>
      <c r="S218" s="42"/>
      <c r="T218" s="43"/>
      <c r="U218" s="293"/>
      <c r="V218" s="291"/>
      <c r="W218" s="294"/>
      <c r="X218" s="295"/>
      <c r="Y218" s="9"/>
      <c r="Z218" s="9"/>
      <c r="AA218" s="9"/>
    </row>
    <row r="219" spans="1:27" ht="13.5" customHeight="1" x14ac:dyDescent="0.25">
      <c r="A219" s="9"/>
      <c r="B219" s="9"/>
      <c r="C219" s="376" t="s">
        <v>113</v>
      </c>
      <c r="D219" s="349"/>
      <c r="E219" s="349"/>
      <c r="F219" s="349"/>
      <c r="G219" s="349"/>
      <c r="H219" s="349"/>
      <c r="I219" s="349"/>
      <c r="J219" s="349"/>
      <c r="K219" s="349"/>
      <c r="L219" s="309"/>
      <c r="M219" s="9"/>
      <c r="N219" s="9"/>
      <c r="O219" s="42"/>
      <c r="P219" s="310"/>
      <c r="Q219" s="293"/>
      <c r="R219" s="291"/>
      <c r="S219" s="294"/>
      <c r="T219" s="295"/>
      <c r="U219" s="9"/>
      <c r="V219" s="9"/>
      <c r="W219" s="294"/>
      <c r="X219" s="9"/>
      <c r="Y219" s="9"/>
      <c r="Z219" s="298"/>
      <c r="AA219" s="298"/>
    </row>
    <row r="220" spans="1:27" ht="13.5" customHeight="1" x14ac:dyDescent="0.25">
      <c r="A220" s="9"/>
      <c r="B220" s="9"/>
      <c r="C220" s="9"/>
      <c r="D220" s="9"/>
      <c r="E220" s="9"/>
      <c r="F220" s="185"/>
      <c r="G220" s="185"/>
      <c r="H220" s="9"/>
      <c r="I220" s="311"/>
      <c r="J220" s="310"/>
      <c r="K220" s="291" t="s">
        <v>13</v>
      </c>
      <c r="L220" s="309">
        <f>L218+L219</f>
        <v>413.24760000000003</v>
      </c>
      <c r="M220" s="9"/>
      <c r="N220" s="9"/>
      <c r="O220" s="42"/>
      <c r="P220" s="310"/>
      <c r="Q220" s="291"/>
      <c r="R220" s="291"/>
      <c r="S220" s="294"/>
      <c r="T220" s="295"/>
      <c r="U220" s="9"/>
      <c r="V220" s="9"/>
      <c r="W220" s="294"/>
      <c r="X220" s="9"/>
      <c r="Y220" s="9"/>
      <c r="Z220" s="298"/>
      <c r="AA220" s="298"/>
    </row>
    <row r="221" spans="1:27" ht="13.5" customHeight="1" x14ac:dyDescent="0.25">
      <c r="A221" s="9"/>
      <c r="B221" s="9"/>
      <c r="C221" s="9"/>
      <c r="D221" s="9"/>
      <c r="E221" s="9"/>
      <c r="F221" s="185"/>
      <c r="G221" s="185"/>
      <c r="H221" s="9"/>
      <c r="I221" s="311"/>
      <c r="J221" s="310"/>
      <c r="K221" s="291"/>
      <c r="L221" s="309"/>
      <c r="M221" s="9"/>
      <c r="N221" s="9"/>
      <c r="O221" s="42"/>
      <c r="P221" s="310"/>
      <c r="Q221" s="293"/>
      <c r="R221" s="291"/>
      <c r="S221" s="294"/>
      <c r="T221" s="295"/>
      <c r="U221" s="9"/>
      <c r="V221" s="9"/>
      <c r="W221" s="9"/>
      <c r="X221" s="9"/>
      <c r="Y221" s="9"/>
      <c r="Z221" s="298"/>
      <c r="AA221" s="298"/>
    </row>
    <row r="222" spans="1:27" ht="13.5" customHeight="1" x14ac:dyDescent="0.25">
      <c r="A222" s="9"/>
      <c r="B222" s="9"/>
      <c r="C222" s="363" t="s">
        <v>114</v>
      </c>
      <c r="D222" s="361"/>
      <c r="E222" s="361"/>
      <c r="F222" s="361"/>
      <c r="G222" s="361"/>
      <c r="H222" s="361"/>
      <c r="I222" s="361"/>
      <c r="J222" s="361"/>
      <c r="K222" s="361"/>
      <c r="L222" s="359"/>
      <c r="M222" s="363" t="s">
        <v>108</v>
      </c>
      <c r="N222" s="361"/>
      <c r="O222" s="361"/>
      <c r="P222" s="361"/>
      <c r="Q222" s="361"/>
      <c r="R222" s="359"/>
      <c r="S222" s="294"/>
      <c r="T222" s="295"/>
      <c r="U222" s="9"/>
      <c r="V222" s="9"/>
      <c r="W222" s="9"/>
      <c r="X222" s="9"/>
      <c r="Y222" s="9"/>
      <c r="Z222" s="298"/>
      <c r="AA222" s="298"/>
    </row>
    <row r="223" spans="1:27" ht="13.5" customHeight="1" x14ac:dyDescent="0.25">
      <c r="A223" s="9"/>
      <c r="B223" s="9"/>
      <c r="C223" s="299" t="s">
        <v>35</v>
      </c>
      <c r="D223" s="299" t="s">
        <v>24</v>
      </c>
      <c r="E223" s="299" t="s">
        <v>25</v>
      </c>
      <c r="F223" s="299" t="s">
        <v>36</v>
      </c>
      <c r="G223" s="300" t="s">
        <v>37</v>
      </c>
      <c r="H223" s="299"/>
      <c r="I223" s="301" t="s">
        <v>26</v>
      </c>
      <c r="J223" s="302" t="s">
        <v>27</v>
      </c>
      <c r="K223" s="303" t="s">
        <v>109</v>
      </c>
      <c r="L223" s="303" t="s">
        <v>110</v>
      </c>
      <c r="M223" s="299" t="s">
        <v>35</v>
      </c>
      <c r="N223" s="299" t="s">
        <v>24</v>
      </c>
      <c r="O223" s="299" t="s">
        <v>25</v>
      </c>
      <c r="P223" s="364" t="s">
        <v>111</v>
      </c>
      <c r="Q223" s="359"/>
      <c r="R223" s="303" t="s">
        <v>112</v>
      </c>
      <c r="S223" s="294"/>
      <c r="T223" s="295"/>
      <c r="U223" s="9"/>
      <c r="V223" s="9"/>
      <c r="W223" s="9"/>
      <c r="X223" s="9"/>
      <c r="Y223" s="9"/>
      <c r="Z223" s="298"/>
      <c r="AA223" s="298"/>
    </row>
    <row r="224" spans="1:27" ht="13.5" customHeight="1" x14ac:dyDescent="0.25">
      <c r="A224" s="9"/>
      <c r="B224" s="9"/>
      <c r="C224" s="54">
        <v>1.7999999999999999E-2</v>
      </c>
      <c r="D224" s="55">
        <v>0.14499999999999999</v>
      </c>
      <c r="E224" s="56">
        <v>6</v>
      </c>
      <c r="F224" s="112">
        <f>C224*D224*E224</f>
        <v>1.5659999999999997E-2</v>
      </c>
      <c r="G224" s="112">
        <f>D224*E224</f>
        <v>0.86999999999999988</v>
      </c>
      <c r="H224" s="177">
        <v>427.02</v>
      </c>
      <c r="I224" s="114">
        <f>ROUND(H224*1.063,0)</f>
        <v>454</v>
      </c>
      <c r="J224" s="115">
        <f>ROUND((I224*0.992)*1.21,0)*(C224*D224*E224)</f>
        <v>8.5346999999999991</v>
      </c>
      <c r="K224" s="304">
        <v>24</v>
      </c>
      <c r="L224" s="305">
        <f t="shared" ref="L224:L232" si="194">I224*((C224*D224*E224)*K224)</f>
        <v>170.63135999999997</v>
      </c>
      <c r="M224" s="305">
        <f t="shared" ref="M224:M232" si="195">IF(C224=0,0,C224*MAX(1,ROUNDUP(K224/INT(1.1/D224),0)))</f>
        <v>7.1999999999999995E-2</v>
      </c>
      <c r="N224" s="305">
        <f t="shared" ref="N224:N232" si="196">IF(D224=0,0,IF(D224*K224&lt;=1.1,D224*K224,INT(1.1/D224)*D224))</f>
        <v>1.0149999999999999</v>
      </c>
      <c r="O224" s="305">
        <f t="shared" ref="O224:O232" si="197">E224</f>
        <v>6</v>
      </c>
      <c r="P224" s="358">
        <f t="shared" ref="P224:P232" si="198">ROUND((C224*D224*E224)*K224,2)</f>
        <v>0.38</v>
      </c>
      <c r="Q224" s="359"/>
      <c r="R224" s="305">
        <f t="shared" ref="R224:R232" si="199">P224*480</f>
        <v>182.4</v>
      </c>
      <c r="S224" s="294"/>
      <c r="T224" s="295"/>
      <c r="U224" s="9"/>
      <c r="V224" s="9"/>
      <c r="W224" s="9"/>
      <c r="X224" s="9"/>
      <c r="Y224" s="9"/>
      <c r="Z224" s="298"/>
      <c r="AA224" s="298"/>
    </row>
    <row r="225" spans="1:27" ht="13.5" customHeight="1" x14ac:dyDescent="0.25">
      <c r="A225" s="9"/>
      <c r="B225" s="9"/>
      <c r="C225" s="175"/>
      <c r="D225" s="176"/>
      <c r="E225" s="121"/>
      <c r="F225" s="112"/>
      <c r="G225" s="112"/>
      <c r="H225" s="238"/>
      <c r="I225" s="114"/>
      <c r="J225" s="115"/>
      <c r="K225" s="304"/>
      <c r="L225" s="305">
        <f t="shared" si="194"/>
        <v>0</v>
      </c>
      <c r="M225" s="305">
        <f t="shared" si="195"/>
        <v>0</v>
      </c>
      <c r="N225" s="305">
        <f t="shared" si="196"/>
        <v>0</v>
      </c>
      <c r="O225" s="305">
        <f t="shared" si="197"/>
        <v>0</v>
      </c>
      <c r="P225" s="358">
        <f t="shared" si="198"/>
        <v>0</v>
      </c>
      <c r="Q225" s="359"/>
      <c r="R225" s="305">
        <f t="shared" si="199"/>
        <v>0</v>
      </c>
      <c r="S225" s="294"/>
      <c r="T225" s="295"/>
      <c r="U225" s="9"/>
      <c r="V225" s="9"/>
      <c r="W225" s="9"/>
      <c r="X225" s="9"/>
      <c r="Y225" s="9"/>
      <c r="Z225" s="298"/>
      <c r="AA225" s="298"/>
    </row>
    <row r="226" spans="1:27" ht="13.5" customHeight="1" x14ac:dyDescent="0.25">
      <c r="A226" s="9"/>
      <c r="B226" s="9"/>
      <c r="C226" s="76"/>
      <c r="D226" s="77"/>
      <c r="E226" s="78"/>
      <c r="F226" s="133"/>
      <c r="G226" s="133"/>
      <c r="H226" s="239"/>
      <c r="I226" s="114"/>
      <c r="J226" s="115"/>
      <c r="K226" s="304"/>
      <c r="L226" s="305">
        <f t="shared" si="194"/>
        <v>0</v>
      </c>
      <c r="M226" s="305">
        <f t="shared" si="195"/>
        <v>0</v>
      </c>
      <c r="N226" s="305">
        <f t="shared" si="196"/>
        <v>0</v>
      </c>
      <c r="O226" s="305">
        <f t="shared" si="197"/>
        <v>0</v>
      </c>
      <c r="P226" s="358">
        <f t="shared" si="198"/>
        <v>0</v>
      </c>
      <c r="Q226" s="359"/>
      <c r="R226" s="305">
        <f t="shared" si="199"/>
        <v>0</v>
      </c>
      <c r="S226" s="294"/>
      <c r="T226" s="295"/>
      <c r="U226" s="9"/>
      <c r="V226" s="9"/>
      <c r="W226" s="9"/>
      <c r="X226" s="9"/>
      <c r="Y226" s="9"/>
      <c r="Z226" s="298"/>
      <c r="AA226" s="298"/>
    </row>
    <row r="227" spans="1:27" ht="13.5" customHeight="1" x14ac:dyDescent="0.25">
      <c r="A227" s="9"/>
      <c r="B227" s="9"/>
      <c r="C227" s="54"/>
      <c r="D227" s="55"/>
      <c r="E227" s="56"/>
      <c r="F227" s="112"/>
      <c r="G227" s="112"/>
      <c r="H227" s="177"/>
      <c r="I227" s="114"/>
      <c r="J227" s="115"/>
      <c r="K227" s="304"/>
      <c r="L227" s="305">
        <f t="shared" si="194"/>
        <v>0</v>
      </c>
      <c r="M227" s="305">
        <f t="shared" si="195"/>
        <v>0</v>
      </c>
      <c r="N227" s="305">
        <f t="shared" si="196"/>
        <v>0</v>
      </c>
      <c r="O227" s="305">
        <f t="shared" si="197"/>
        <v>0</v>
      </c>
      <c r="P227" s="358">
        <f t="shared" si="198"/>
        <v>0</v>
      </c>
      <c r="Q227" s="359"/>
      <c r="R227" s="305">
        <f t="shared" si="199"/>
        <v>0</v>
      </c>
      <c r="S227" s="294"/>
      <c r="T227" s="295"/>
      <c r="U227" s="9"/>
      <c r="V227" s="9"/>
      <c r="W227" s="9"/>
      <c r="X227" s="9"/>
      <c r="Y227" s="9"/>
      <c r="Z227" s="298"/>
      <c r="AA227" s="298"/>
    </row>
    <row r="228" spans="1:27" ht="13.5" customHeight="1" x14ac:dyDescent="0.25">
      <c r="A228" s="9"/>
      <c r="B228" s="9"/>
      <c r="C228" s="54"/>
      <c r="D228" s="55"/>
      <c r="E228" s="56"/>
      <c r="F228" s="112"/>
      <c r="G228" s="112"/>
      <c r="H228" s="177"/>
      <c r="I228" s="114"/>
      <c r="J228" s="115"/>
      <c r="K228" s="304"/>
      <c r="L228" s="305">
        <f t="shared" si="194"/>
        <v>0</v>
      </c>
      <c r="M228" s="305">
        <f t="shared" si="195"/>
        <v>0</v>
      </c>
      <c r="N228" s="305">
        <f t="shared" si="196"/>
        <v>0</v>
      </c>
      <c r="O228" s="305">
        <f t="shared" si="197"/>
        <v>0</v>
      </c>
      <c r="P228" s="358">
        <f t="shared" si="198"/>
        <v>0</v>
      </c>
      <c r="Q228" s="359"/>
      <c r="R228" s="305">
        <f t="shared" si="199"/>
        <v>0</v>
      </c>
      <c r="S228" s="294"/>
      <c r="T228" s="295"/>
      <c r="U228" s="9"/>
      <c r="V228" s="9"/>
      <c r="W228" s="9"/>
      <c r="X228" s="9"/>
      <c r="Y228" s="9"/>
      <c r="Z228" s="298"/>
      <c r="AA228" s="298"/>
    </row>
    <row r="229" spans="1:27" ht="13.5" customHeight="1" x14ac:dyDescent="0.25">
      <c r="A229" s="9"/>
      <c r="B229" s="9"/>
      <c r="C229" s="54"/>
      <c r="D229" s="55"/>
      <c r="E229" s="56"/>
      <c r="F229" s="112"/>
      <c r="G229" s="112"/>
      <c r="H229" s="177"/>
      <c r="I229" s="114"/>
      <c r="J229" s="115"/>
      <c r="K229" s="304"/>
      <c r="L229" s="305">
        <f t="shared" si="194"/>
        <v>0</v>
      </c>
      <c r="M229" s="305">
        <f t="shared" si="195"/>
        <v>0</v>
      </c>
      <c r="N229" s="305">
        <f t="shared" si="196"/>
        <v>0</v>
      </c>
      <c r="O229" s="305">
        <f t="shared" si="197"/>
        <v>0</v>
      </c>
      <c r="P229" s="358">
        <f t="shared" si="198"/>
        <v>0</v>
      </c>
      <c r="Q229" s="359"/>
      <c r="R229" s="305">
        <f t="shared" si="199"/>
        <v>0</v>
      </c>
      <c r="S229" s="294"/>
      <c r="T229" s="295"/>
      <c r="U229" s="9"/>
      <c r="V229" s="9"/>
      <c r="W229" s="9"/>
      <c r="X229" s="9"/>
      <c r="Y229" s="9"/>
      <c r="Z229" s="298"/>
      <c r="AA229" s="298"/>
    </row>
    <row r="230" spans="1:27" ht="13.5" customHeight="1" x14ac:dyDescent="0.25">
      <c r="A230" s="9"/>
      <c r="B230" s="9"/>
      <c r="C230" s="175"/>
      <c r="D230" s="176"/>
      <c r="E230" s="121"/>
      <c r="F230" s="112"/>
      <c r="G230" s="112"/>
      <c r="H230" s="113"/>
      <c r="I230" s="114"/>
      <c r="J230" s="115"/>
      <c r="K230" s="304"/>
      <c r="L230" s="305">
        <f t="shared" si="194"/>
        <v>0</v>
      </c>
      <c r="M230" s="305">
        <f t="shared" si="195"/>
        <v>0</v>
      </c>
      <c r="N230" s="305">
        <f t="shared" si="196"/>
        <v>0</v>
      </c>
      <c r="O230" s="305">
        <f t="shared" si="197"/>
        <v>0</v>
      </c>
      <c r="P230" s="358">
        <f t="shared" si="198"/>
        <v>0</v>
      </c>
      <c r="Q230" s="359"/>
      <c r="R230" s="305">
        <f t="shared" si="199"/>
        <v>0</v>
      </c>
      <c r="S230" s="294"/>
      <c r="T230" s="295"/>
      <c r="U230" s="9"/>
      <c r="V230" s="9"/>
      <c r="W230" s="9"/>
      <c r="X230" s="9"/>
      <c r="Y230" s="9"/>
      <c r="Z230" s="298"/>
      <c r="AA230" s="298"/>
    </row>
    <row r="231" spans="1:27" ht="13.5" customHeight="1" x14ac:dyDescent="0.25">
      <c r="A231" s="9"/>
      <c r="B231" s="9"/>
      <c r="C231" s="54"/>
      <c r="D231" s="55"/>
      <c r="E231" s="56"/>
      <c r="F231" s="112"/>
      <c r="G231" s="112"/>
      <c r="H231" s="177"/>
      <c r="I231" s="114"/>
      <c r="J231" s="115"/>
      <c r="K231" s="307"/>
      <c r="L231" s="305">
        <f t="shared" si="194"/>
        <v>0</v>
      </c>
      <c r="M231" s="305">
        <f t="shared" si="195"/>
        <v>0</v>
      </c>
      <c r="N231" s="305">
        <f t="shared" si="196"/>
        <v>0</v>
      </c>
      <c r="O231" s="305">
        <f t="shared" si="197"/>
        <v>0</v>
      </c>
      <c r="P231" s="358">
        <f t="shared" si="198"/>
        <v>0</v>
      </c>
      <c r="Q231" s="359"/>
      <c r="R231" s="305">
        <f t="shared" si="199"/>
        <v>0</v>
      </c>
      <c r="S231" s="294"/>
      <c r="T231" s="295"/>
      <c r="U231" s="9"/>
      <c r="V231" s="9"/>
      <c r="W231" s="9"/>
      <c r="X231" s="9"/>
      <c r="Y231" s="9"/>
      <c r="Z231" s="298"/>
      <c r="AA231" s="298"/>
    </row>
    <row r="232" spans="1:27" ht="13.5" customHeight="1" x14ac:dyDescent="0.25">
      <c r="A232" s="9"/>
      <c r="B232" s="9"/>
      <c r="C232" s="54"/>
      <c r="D232" s="55"/>
      <c r="E232" s="56"/>
      <c r="F232" s="112"/>
      <c r="G232" s="112"/>
      <c r="H232" s="177"/>
      <c r="I232" s="114"/>
      <c r="J232" s="115"/>
      <c r="K232" s="307"/>
      <c r="L232" s="305">
        <f t="shared" si="194"/>
        <v>0</v>
      </c>
      <c r="M232" s="305">
        <f t="shared" si="195"/>
        <v>0</v>
      </c>
      <c r="N232" s="305">
        <f t="shared" si="196"/>
        <v>0</v>
      </c>
      <c r="O232" s="305">
        <f t="shared" si="197"/>
        <v>0</v>
      </c>
      <c r="P232" s="358">
        <f t="shared" si="198"/>
        <v>0</v>
      </c>
      <c r="Q232" s="359"/>
      <c r="R232" s="305">
        <f t="shared" si="199"/>
        <v>0</v>
      </c>
      <c r="S232" s="294"/>
      <c r="T232" s="295"/>
      <c r="U232" s="9"/>
      <c r="V232" s="9"/>
      <c r="W232" s="9"/>
      <c r="X232" s="9"/>
      <c r="Y232" s="9"/>
      <c r="Z232" s="298"/>
      <c r="AA232" s="298"/>
    </row>
    <row r="233" spans="1:27" ht="13.5" customHeight="1" x14ac:dyDescent="0.25">
      <c r="A233" s="9"/>
      <c r="B233" s="9"/>
      <c r="C233" s="360" t="s">
        <v>13</v>
      </c>
      <c r="D233" s="361"/>
      <c r="E233" s="361"/>
      <c r="F233" s="361"/>
      <c r="G233" s="361"/>
      <c r="H233" s="361"/>
      <c r="I233" s="361"/>
      <c r="J233" s="361"/>
      <c r="K233" s="359"/>
      <c r="L233" s="308">
        <f t="shared" ref="L233:M233" si="200">SUM(L224:L232)</f>
        <v>170.63135999999997</v>
      </c>
      <c r="M233" s="308">
        <f t="shared" si="200"/>
        <v>7.1999999999999995E-2</v>
      </c>
      <c r="N233" s="308">
        <f t="shared" ref="N233:O233" si="201">MAX(N224:N232)</f>
        <v>1.0149999999999999</v>
      </c>
      <c r="O233" s="308">
        <f t="shared" si="201"/>
        <v>6</v>
      </c>
      <c r="P233" s="362">
        <f>SUM(P224:P232)</f>
        <v>0.38</v>
      </c>
      <c r="Q233" s="359"/>
      <c r="R233" s="308">
        <f>SUM(R224:R232)</f>
        <v>182.4</v>
      </c>
      <c r="S233" s="294"/>
      <c r="T233" s="295"/>
      <c r="U233" s="9"/>
      <c r="V233" s="9"/>
      <c r="W233" s="9"/>
      <c r="X233" s="9"/>
      <c r="Y233" s="9"/>
      <c r="Z233" s="298"/>
      <c r="AA233" s="298"/>
    </row>
    <row r="234" spans="1:27" ht="13.5" customHeight="1" x14ac:dyDescent="0.25">
      <c r="A234" s="9"/>
      <c r="B234" s="9"/>
      <c r="C234" s="9"/>
      <c r="D234" s="9"/>
      <c r="E234" s="9"/>
      <c r="F234" s="185"/>
      <c r="G234" s="185"/>
      <c r="H234" s="9"/>
      <c r="I234" s="311"/>
      <c r="J234" s="310"/>
      <c r="K234" s="291" t="s">
        <v>113</v>
      </c>
      <c r="L234" s="309"/>
      <c r="M234" s="9"/>
      <c r="N234" s="9"/>
      <c r="O234" s="42"/>
      <c r="P234" s="310"/>
      <c r="Q234" s="293"/>
      <c r="R234" s="291"/>
      <c r="S234" s="294"/>
      <c r="T234" s="295"/>
      <c r="U234" s="9"/>
      <c r="V234" s="9"/>
      <c r="W234" s="9"/>
      <c r="X234" s="9"/>
      <c r="Y234" s="9"/>
      <c r="Z234" s="298"/>
      <c r="AA234" s="298"/>
    </row>
    <row r="235" spans="1:27" ht="13.5" customHeight="1" x14ac:dyDescent="0.25">
      <c r="A235" s="9"/>
      <c r="B235" s="9"/>
      <c r="C235" s="9"/>
      <c r="D235" s="9"/>
      <c r="E235" s="9"/>
      <c r="F235" s="185"/>
      <c r="G235" s="185"/>
      <c r="H235" s="9"/>
      <c r="I235" s="311"/>
      <c r="J235" s="310"/>
      <c r="K235" s="291" t="s">
        <v>115</v>
      </c>
      <c r="L235" s="309">
        <f>L233+L234</f>
        <v>170.63135999999997</v>
      </c>
      <c r="M235" s="9"/>
      <c r="N235" s="9"/>
      <c r="O235" s="42"/>
      <c r="P235" s="310"/>
      <c r="Q235" s="293"/>
      <c r="R235" s="291"/>
      <c r="S235" s="294"/>
      <c r="T235" s="295"/>
      <c r="U235" s="9"/>
      <c r="V235" s="9"/>
      <c r="W235" s="9"/>
      <c r="X235" s="9"/>
      <c r="Y235" s="9"/>
      <c r="Z235" s="298"/>
      <c r="AA235" s="298"/>
    </row>
    <row r="236" spans="1:27" ht="13.5" customHeight="1" x14ac:dyDescent="0.25">
      <c r="A236" s="9"/>
      <c r="B236" s="9"/>
      <c r="C236" s="9"/>
      <c r="D236" s="9"/>
      <c r="E236" s="9"/>
      <c r="F236" s="185"/>
      <c r="G236" s="185"/>
      <c r="H236" s="9"/>
      <c r="I236" s="311"/>
      <c r="J236" s="310"/>
      <c r="K236" s="291"/>
      <c r="L236" s="309"/>
      <c r="M236" s="9"/>
      <c r="N236" s="9"/>
      <c r="O236" s="42"/>
      <c r="P236" s="310"/>
      <c r="Q236" s="293"/>
      <c r="R236" s="291"/>
      <c r="S236" s="294"/>
      <c r="T236" s="295"/>
      <c r="U236" s="9"/>
      <c r="V236" s="9"/>
      <c r="W236" s="9"/>
      <c r="X236" s="9"/>
      <c r="Y236" s="9"/>
      <c r="Z236" s="298"/>
      <c r="AA236" s="298"/>
    </row>
    <row r="237" spans="1:27" ht="13.5" customHeight="1" x14ac:dyDescent="0.25">
      <c r="A237" s="9"/>
      <c r="B237" s="9"/>
      <c r="C237" s="363" t="s">
        <v>107</v>
      </c>
      <c r="D237" s="361"/>
      <c r="E237" s="361"/>
      <c r="F237" s="361"/>
      <c r="G237" s="361"/>
      <c r="H237" s="361"/>
      <c r="I237" s="361"/>
      <c r="J237" s="361"/>
      <c r="K237" s="361"/>
      <c r="L237" s="359"/>
      <c r="M237" s="363" t="s">
        <v>108</v>
      </c>
      <c r="N237" s="361"/>
      <c r="O237" s="361"/>
      <c r="P237" s="361"/>
      <c r="Q237" s="361"/>
      <c r="R237" s="359"/>
      <c r="S237" s="294"/>
      <c r="T237" s="295"/>
      <c r="U237" s="9"/>
      <c r="V237" s="9"/>
      <c r="W237" s="9"/>
      <c r="X237" s="9"/>
      <c r="Y237" s="9"/>
      <c r="Z237" s="298"/>
      <c r="AA237" s="298"/>
    </row>
    <row r="238" spans="1:27" ht="13.5" customHeight="1" x14ac:dyDescent="0.25">
      <c r="A238" s="9"/>
      <c r="B238" s="9"/>
      <c r="C238" s="299" t="s">
        <v>35</v>
      </c>
      <c r="D238" s="299" t="s">
        <v>24</v>
      </c>
      <c r="E238" s="299" t="s">
        <v>25</v>
      </c>
      <c r="F238" s="299" t="s">
        <v>36</v>
      </c>
      <c r="G238" s="300" t="s">
        <v>37</v>
      </c>
      <c r="H238" s="299"/>
      <c r="I238" s="301" t="s">
        <v>26</v>
      </c>
      <c r="J238" s="302" t="s">
        <v>27</v>
      </c>
      <c r="K238" s="303" t="s">
        <v>109</v>
      </c>
      <c r="L238" s="303" t="s">
        <v>110</v>
      </c>
      <c r="M238" s="299" t="s">
        <v>35</v>
      </c>
      <c r="N238" s="299" t="s">
        <v>24</v>
      </c>
      <c r="O238" s="299" t="s">
        <v>25</v>
      </c>
      <c r="P238" s="364" t="s">
        <v>111</v>
      </c>
      <c r="Q238" s="359"/>
      <c r="R238" s="303" t="s">
        <v>112</v>
      </c>
      <c r="S238" s="294"/>
      <c r="T238" s="295"/>
      <c r="U238" s="9"/>
      <c r="V238" s="9"/>
      <c r="W238" s="9"/>
      <c r="X238" s="9"/>
      <c r="Y238" s="9"/>
      <c r="Z238" s="298"/>
      <c r="AA238" s="298"/>
    </row>
    <row r="239" spans="1:27" ht="13.5" customHeight="1" x14ac:dyDescent="0.25">
      <c r="A239" s="9"/>
      <c r="B239" s="9"/>
      <c r="C239" s="175"/>
      <c r="D239" s="176"/>
      <c r="E239" s="121"/>
      <c r="F239" s="112"/>
      <c r="G239" s="112"/>
      <c r="H239" s="177"/>
      <c r="I239" s="114"/>
      <c r="J239" s="115"/>
      <c r="K239" s="304"/>
      <c r="L239" s="305">
        <f t="shared" ref="L239:L247" si="202">IF($P$248&gt;=1,I239*((C239*D239*E239)*K239),J239*K239)</f>
        <v>0</v>
      </c>
      <c r="M239" s="305">
        <f t="shared" ref="M239:M247" si="203">IF(C239=0,0,C239*MAX(1,ROUNDUP(K239/INT(1.1/D239),0)))</f>
        <v>0</v>
      </c>
      <c r="N239" s="305">
        <f t="shared" ref="N239:N247" si="204">IF(D239=0,0,IF(D239*K239&lt;=1.1,D239*K239,INT(1.1/D239)*D239))</f>
        <v>0</v>
      </c>
      <c r="O239" s="305">
        <f t="shared" ref="O239:O247" si="205">E239</f>
        <v>0</v>
      </c>
      <c r="P239" s="358">
        <f t="shared" ref="P239:P247" si="206">ROUND((C239*D239*E239)*K239,2)</f>
        <v>0</v>
      </c>
      <c r="Q239" s="359"/>
      <c r="R239" s="305">
        <f t="shared" ref="R239:R247" si="207">P239*480</f>
        <v>0</v>
      </c>
      <c r="S239" s="294"/>
      <c r="T239" s="295"/>
      <c r="U239" s="9"/>
      <c r="V239" s="9"/>
      <c r="W239" s="9"/>
      <c r="X239" s="9"/>
      <c r="Y239" s="9"/>
      <c r="Z239" s="298"/>
      <c r="AA239" s="298"/>
    </row>
    <row r="240" spans="1:27" ht="13.5" customHeight="1" x14ac:dyDescent="0.25">
      <c r="A240" s="9"/>
      <c r="B240" s="9"/>
      <c r="C240" s="175"/>
      <c r="D240" s="176"/>
      <c r="E240" s="121"/>
      <c r="F240" s="112"/>
      <c r="G240" s="112"/>
      <c r="H240" s="177"/>
      <c r="I240" s="114"/>
      <c r="J240" s="115"/>
      <c r="K240" s="304"/>
      <c r="L240" s="305">
        <f t="shared" si="202"/>
        <v>0</v>
      </c>
      <c r="M240" s="305">
        <f t="shared" si="203"/>
        <v>0</v>
      </c>
      <c r="N240" s="305">
        <f t="shared" si="204"/>
        <v>0</v>
      </c>
      <c r="O240" s="305">
        <f t="shared" si="205"/>
        <v>0</v>
      </c>
      <c r="P240" s="358">
        <f t="shared" si="206"/>
        <v>0</v>
      </c>
      <c r="Q240" s="359"/>
      <c r="R240" s="305">
        <f t="shared" si="207"/>
        <v>0</v>
      </c>
      <c r="S240" s="294"/>
      <c r="T240" s="295"/>
      <c r="U240" s="9"/>
      <c r="V240" s="9"/>
      <c r="W240" s="9"/>
      <c r="X240" s="9"/>
      <c r="Y240" s="9"/>
      <c r="Z240" s="298"/>
      <c r="AA240" s="298"/>
    </row>
    <row r="241" spans="1:27" ht="13.5" customHeight="1" x14ac:dyDescent="0.25">
      <c r="A241" s="9"/>
      <c r="B241" s="9"/>
      <c r="C241" s="175"/>
      <c r="D241" s="176"/>
      <c r="E241" s="121"/>
      <c r="F241" s="112"/>
      <c r="G241" s="112"/>
      <c r="H241" s="177"/>
      <c r="I241" s="114"/>
      <c r="J241" s="115"/>
      <c r="K241" s="304"/>
      <c r="L241" s="305">
        <f t="shared" si="202"/>
        <v>0</v>
      </c>
      <c r="M241" s="305">
        <f t="shared" si="203"/>
        <v>0</v>
      </c>
      <c r="N241" s="305">
        <f t="shared" si="204"/>
        <v>0</v>
      </c>
      <c r="O241" s="305">
        <f t="shared" si="205"/>
        <v>0</v>
      </c>
      <c r="P241" s="358">
        <f t="shared" si="206"/>
        <v>0</v>
      </c>
      <c r="Q241" s="359"/>
      <c r="R241" s="305">
        <f t="shared" si="207"/>
        <v>0</v>
      </c>
      <c r="S241" s="294"/>
      <c r="T241" s="295"/>
      <c r="U241" s="9"/>
      <c r="V241" s="9"/>
      <c r="W241" s="9"/>
      <c r="X241" s="9"/>
      <c r="Y241" s="9"/>
      <c r="Z241" s="298"/>
      <c r="AA241" s="298"/>
    </row>
    <row r="242" spans="1:27" ht="13.5" customHeight="1" x14ac:dyDescent="0.25">
      <c r="A242" s="9"/>
      <c r="B242" s="9"/>
      <c r="C242" s="175"/>
      <c r="D242" s="176"/>
      <c r="E242" s="121"/>
      <c r="F242" s="112"/>
      <c r="G242" s="112"/>
      <c r="H242" s="177"/>
      <c r="I242" s="114"/>
      <c r="J242" s="115"/>
      <c r="K242" s="304"/>
      <c r="L242" s="305">
        <f t="shared" si="202"/>
        <v>0</v>
      </c>
      <c r="M242" s="305">
        <f t="shared" si="203"/>
        <v>0</v>
      </c>
      <c r="N242" s="305">
        <f t="shared" si="204"/>
        <v>0</v>
      </c>
      <c r="O242" s="305">
        <f t="shared" si="205"/>
        <v>0</v>
      </c>
      <c r="P242" s="358">
        <f t="shared" si="206"/>
        <v>0</v>
      </c>
      <c r="Q242" s="359"/>
      <c r="R242" s="305">
        <f t="shared" si="207"/>
        <v>0</v>
      </c>
      <c r="S242" s="294"/>
      <c r="T242" s="295"/>
      <c r="U242" s="9"/>
      <c r="V242" s="9"/>
      <c r="W242" s="9"/>
      <c r="X242" s="9"/>
      <c r="Y242" s="9"/>
      <c r="Z242" s="298"/>
      <c r="AA242" s="298"/>
    </row>
    <row r="243" spans="1:27" ht="13.5" customHeight="1" x14ac:dyDescent="0.25">
      <c r="A243" s="9"/>
      <c r="B243" s="9"/>
      <c r="C243" s="175"/>
      <c r="D243" s="176"/>
      <c r="E243" s="121"/>
      <c r="F243" s="112"/>
      <c r="G243" s="112"/>
      <c r="H243" s="177"/>
      <c r="I243" s="114"/>
      <c r="J243" s="115"/>
      <c r="K243" s="304"/>
      <c r="L243" s="305">
        <f t="shared" si="202"/>
        <v>0</v>
      </c>
      <c r="M243" s="305">
        <f t="shared" si="203"/>
        <v>0</v>
      </c>
      <c r="N243" s="305">
        <f t="shared" si="204"/>
        <v>0</v>
      </c>
      <c r="O243" s="305">
        <f t="shared" si="205"/>
        <v>0</v>
      </c>
      <c r="P243" s="358">
        <f t="shared" si="206"/>
        <v>0</v>
      </c>
      <c r="Q243" s="359"/>
      <c r="R243" s="305">
        <f t="shared" si="207"/>
        <v>0</v>
      </c>
      <c r="S243" s="294"/>
      <c r="T243" s="295"/>
      <c r="U243" s="9"/>
      <c r="V243" s="9"/>
      <c r="W243" s="9"/>
      <c r="X243" s="9"/>
      <c r="Y243" s="9"/>
      <c r="Z243" s="298"/>
      <c r="AA243" s="298"/>
    </row>
    <row r="244" spans="1:27" ht="13.5" customHeight="1" x14ac:dyDescent="0.25">
      <c r="A244" s="9"/>
      <c r="B244" s="9"/>
      <c r="C244" s="175"/>
      <c r="D244" s="176"/>
      <c r="E244" s="121"/>
      <c r="F244" s="112"/>
      <c r="G244" s="112"/>
      <c r="H244" s="177"/>
      <c r="I244" s="114"/>
      <c r="J244" s="115"/>
      <c r="K244" s="304"/>
      <c r="L244" s="305">
        <f t="shared" si="202"/>
        <v>0</v>
      </c>
      <c r="M244" s="305">
        <f t="shared" si="203"/>
        <v>0</v>
      </c>
      <c r="N244" s="305">
        <f t="shared" si="204"/>
        <v>0</v>
      </c>
      <c r="O244" s="305">
        <f t="shared" si="205"/>
        <v>0</v>
      </c>
      <c r="P244" s="358">
        <f t="shared" si="206"/>
        <v>0</v>
      </c>
      <c r="Q244" s="359"/>
      <c r="R244" s="305">
        <f t="shared" si="207"/>
        <v>0</v>
      </c>
      <c r="S244" s="294"/>
      <c r="T244" s="295"/>
      <c r="U244" s="9"/>
      <c r="V244" s="9"/>
      <c r="W244" s="9"/>
      <c r="X244" s="9"/>
      <c r="Y244" s="9"/>
      <c r="Z244" s="298"/>
      <c r="AA244" s="298"/>
    </row>
    <row r="245" spans="1:27" ht="13.5" customHeight="1" x14ac:dyDescent="0.25">
      <c r="A245" s="9"/>
      <c r="B245" s="9"/>
      <c r="C245" s="175"/>
      <c r="D245" s="176"/>
      <c r="E245" s="121"/>
      <c r="F245" s="112"/>
      <c r="G245" s="112"/>
      <c r="H245" s="177"/>
      <c r="I245" s="114"/>
      <c r="J245" s="115"/>
      <c r="K245" s="304"/>
      <c r="L245" s="305">
        <f t="shared" si="202"/>
        <v>0</v>
      </c>
      <c r="M245" s="305">
        <f t="shared" si="203"/>
        <v>0</v>
      </c>
      <c r="N245" s="305">
        <f t="shared" si="204"/>
        <v>0</v>
      </c>
      <c r="O245" s="305">
        <f t="shared" si="205"/>
        <v>0</v>
      </c>
      <c r="P245" s="358">
        <f t="shared" si="206"/>
        <v>0</v>
      </c>
      <c r="Q245" s="359"/>
      <c r="R245" s="305">
        <f t="shared" si="207"/>
        <v>0</v>
      </c>
      <c r="S245" s="294"/>
      <c r="T245" s="295"/>
      <c r="U245" s="9"/>
      <c r="V245" s="9"/>
      <c r="W245" s="9"/>
      <c r="X245" s="9"/>
      <c r="Y245" s="9"/>
      <c r="Z245" s="298"/>
      <c r="AA245" s="298"/>
    </row>
    <row r="246" spans="1:27" ht="13.5" customHeight="1" x14ac:dyDescent="0.25">
      <c r="A246" s="9"/>
      <c r="B246" s="9"/>
      <c r="C246" s="175"/>
      <c r="D246" s="176"/>
      <c r="E246" s="121"/>
      <c r="F246" s="112"/>
      <c r="G246" s="112"/>
      <c r="H246" s="177"/>
      <c r="I246" s="114"/>
      <c r="J246" s="115"/>
      <c r="K246" s="304"/>
      <c r="L246" s="305">
        <f t="shared" si="202"/>
        <v>0</v>
      </c>
      <c r="M246" s="305">
        <f t="shared" si="203"/>
        <v>0</v>
      </c>
      <c r="N246" s="305">
        <f t="shared" si="204"/>
        <v>0</v>
      </c>
      <c r="O246" s="305">
        <f t="shared" si="205"/>
        <v>0</v>
      </c>
      <c r="P246" s="358">
        <f t="shared" si="206"/>
        <v>0</v>
      </c>
      <c r="Q246" s="359"/>
      <c r="R246" s="305">
        <f t="shared" si="207"/>
        <v>0</v>
      </c>
      <c r="S246" s="294"/>
      <c r="T246" s="295"/>
      <c r="U246" s="9"/>
      <c r="V246" s="9"/>
      <c r="W246" s="9"/>
      <c r="X246" s="9"/>
      <c r="Y246" s="9"/>
      <c r="Z246" s="298"/>
      <c r="AA246" s="298"/>
    </row>
    <row r="247" spans="1:27" ht="13.5" customHeight="1" x14ac:dyDescent="0.25">
      <c r="A247" s="9"/>
      <c r="B247" s="9"/>
      <c r="C247" s="175"/>
      <c r="D247" s="176"/>
      <c r="E247" s="121"/>
      <c r="F247" s="112"/>
      <c r="G247" s="112"/>
      <c r="H247" s="177"/>
      <c r="I247" s="114"/>
      <c r="J247" s="115"/>
      <c r="K247" s="304"/>
      <c r="L247" s="305">
        <f t="shared" si="202"/>
        <v>0</v>
      </c>
      <c r="M247" s="305">
        <f t="shared" si="203"/>
        <v>0</v>
      </c>
      <c r="N247" s="305">
        <f t="shared" si="204"/>
        <v>0</v>
      </c>
      <c r="O247" s="305">
        <f t="shared" si="205"/>
        <v>0</v>
      </c>
      <c r="P247" s="358">
        <f t="shared" si="206"/>
        <v>0</v>
      </c>
      <c r="Q247" s="359"/>
      <c r="R247" s="305">
        <f t="shared" si="207"/>
        <v>0</v>
      </c>
      <c r="S247" s="294"/>
      <c r="T247" s="295"/>
      <c r="U247" s="9"/>
      <c r="V247" s="9"/>
      <c r="W247" s="9"/>
      <c r="X247" s="9"/>
      <c r="Y247" s="9"/>
      <c r="Z247" s="298"/>
      <c r="AA247" s="298"/>
    </row>
    <row r="248" spans="1:27" ht="13.5" customHeight="1" x14ac:dyDescent="0.25">
      <c r="A248" s="9"/>
      <c r="B248" s="9"/>
      <c r="C248" s="360" t="s">
        <v>13</v>
      </c>
      <c r="D248" s="361"/>
      <c r="E248" s="361"/>
      <c r="F248" s="361"/>
      <c r="G248" s="361"/>
      <c r="H248" s="361"/>
      <c r="I248" s="361"/>
      <c r="J248" s="361"/>
      <c r="K248" s="359"/>
      <c r="L248" s="308">
        <f t="shared" ref="L248:M248" si="208">SUM(L239:L247)</f>
        <v>0</v>
      </c>
      <c r="M248" s="308">
        <f t="shared" si="208"/>
        <v>0</v>
      </c>
      <c r="N248" s="308">
        <f t="shared" ref="N248:O248" si="209">MAX(N239:N247)</f>
        <v>0</v>
      </c>
      <c r="O248" s="308">
        <f t="shared" si="209"/>
        <v>0</v>
      </c>
      <c r="P248" s="362">
        <f>SUM(P239:P247)</f>
        <v>0</v>
      </c>
      <c r="Q248" s="359"/>
      <c r="R248" s="308">
        <f>SUM(R239:R247)</f>
        <v>0</v>
      </c>
      <c r="S248" s="294"/>
      <c r="T248" s="295"/>
      <c r="U248" s="9"/>
      <c r="V248" s="9"/>
      <c r="W248" s="9"/>
      <c r="X248" s="9"/>
      <c r="Y248" s="9"/>
      <c r="Z248" s="298"/>
      <c r="AA248" s="298"/>
    </row>
    <row r="249" spans="1:27" ht="13.5" customHeight="1" x14ac:dyDescent="0.25">
      <c r="A249" s="9"/>
      <c r="B249" s="9"/>
      <c r="C249" s="9"/>
      <c r="D249" s="9"/>
      <c r="E249" s="9"/>
      <c r="F249" s="185"/>
      <c r="G249" s="185"/>
      <c r="H249" s="9"/>
      <c r="I249" s="311"/>
      <c r="J249" s="310"/>
      <c r="K249" s="291" t="s">
        <v>113</v>
      </c>
      <c r="L249" s="309"/>
      <c r="M249" s="9"/>
      <c r="N249" s="9"/>
      <c r="O249" s="42"/>
      <c r="P249" s="310"/>
      <c r="Q249" s="293"/>
      <c r="R249" s="291"/>
      <c r="S249" s="294"/>
      <c r="T249" s="295"/>
      <c r="U249" s="9"/>
      <c r="V249" s="9"/>
      <c r="W249" s="9"/>
      <c r="X249" s="9"/>
      <c r="Y249" s="9"/>
      <c r="Z249" s="298"/>
      <c r="AA249" s="298"/>
    </row>
    <row r="250" spans="1:27" ht="13.5" customHeight="1" x14ac:dyDescent="0.25">
      <c r="A250" s="9"/>
      <c r="B250" s="9"/>
      <c r="C250" s="9"/>
      <c r="D250" s="9"/>
      <c r="E250" s="9"/>
      <c r="F250" s="185"/>
      <c r="G250" s="185"/>
      <c r="H250" s="9"/>
      <c r="I250" s="311"/>
      <c r="J250" s="310"/>
      <c r="K250" s="291" t="s">
        <v>115</v>
      </c>
      <c r="L250" s="309">
        <f>L248+L249</f>
        <v>0</v>
      </c>
      <c r="M250" s="9"/>
      <c r="N250" s="9"/>
      <c r="O250" s="42"/>
      <c r="P250" s="310"/>
      <c r="Q250" s="293"/>
      <c r="R250" s="291"/>
      <c r="S250" s="294"/>
      <c r="T250" s="295"/>
      <c r="U250" s="9"/>
      <c r="V250" s="9"/>
      <c r="W250" s="9"/>
      <c r="X250" s="9"/>
      <c r="Y250" s="9"/>
      <c r="Z250" s="298"/>
      <c r="AA250" s="298"/>
    </row>
    <row r="251" spans="1:27" ht="13.5" customHeight="1" x14ac:dyDescent="0.25">
      <c r="A251" s="9"/>
      <c r="B251" s="9"/>
      <c r="C251" s="312"/>
      <c r="D251" s="312"/>
      <c r="E251" s="313"/>
      <c r="F251" s="314"/>
      <c r="G251" s="314"/>
      <c r="H251" s="315"/>
      <c r="I251" s="316"/>
      <c r="J251" s="317"/>
      <c r="K251" s="318"/>
      <c r="L251" s="309"/>
      <c r="M251" s="9"/>
      <c r="N251" s="9"/>
      <c r="O251" s="42"/>
      <c r="P251" s="310"/>
      <c r="Q251" s="293"/>
      <c r="R251" s="291"/>
      <c r="S251" s="294"/>
      <c r="T251" s="295"/>
      <c r="U251" s="9"/>
      <c r="V251" s="9"/>
      <c r="W251" s="9"/>
      <c r="X251" s="9"/>
      <c r="Y251" s="9"/>
      <c r="Z251" s="298"/>
      <c r="AA251" s="298"/>
    </row>
    <row r="252" spans="1:27" ht="13.5" customHeight="1" x14ac:dyDescent="0.25">
      <c r="A252" s="9"/>
      <c r="B252" s="9"/>
      <c r="C252" s="312"/>
      <c r="D252" s="312"/>
      <c r="E252" s="313"/>
      <c r="F252" s="314"/>
      <c r="G252" s="314"/>
      <c r="H252" s="315"/>
      <c r="I252" s="316"/>
      <c r="J252" s="317"/>
      <c r="K252" s="318"/>
      <c r="L252" s="309"/>
      <c r="M252" s="9"/>
      <c r="N252" s="9"/>
      <c r="O252" s="42"/>
      <c r="P252" s="310"/>
      <c r="Q252" s="293"/>
      <c r="R252" s="291"/>
      <c r="S252" s="294"/>
      <c r="T252" s="295"/>
      <c r="U252" s="9"/>
      <c r="V252" s="9"/>
      <c r="W252" s="9"/>
      <c r="X252" s="9"/>
      <c r="Y252" s="9"/>
      <c r="Z252" s="298"/>
      <c r="AA252" s="298"/>
    </row>
    <row r="253" spans="1:27" ht="13.5" customHeight="1" x14ac:dyDescent="0.25">
      <c r="A253" s="9"/>
      <c r="B253" s="9"/>
      <c r="C253" s="312"/>
      <c r="D253" s="312"/>
      <c r="E253" s="313"/>
      <c r="F253" s="314"/>
      <c r="G253" s="314"/>
      <c r="H253" s="315"/>
      <c r="I253" s="316"/>
      <c r="J253" s="317"/>
      <c r="K253" s="318"/>
      <c r="L253" s="309"/>
      <c r="M253" s="9"/>
      <c r="N253" s="9"/>
      <c r="O253" s="42"/>
      <c r="P253" s="310"/>
      <c r="Q253" s="293"/>
      <c r="R253" s="291"/>
      <c r="S253" s="294"/>
      <c r="T253" s="295"/>
      <c r="U253" s="9"/>
      <c r="V253" s="9"/>
      <c r="W253" s="9"/>
      <c r="X253" s="9"/>
      <c r="Y253" s="9"/>
      <c r="Z253" s="298"/>
      <c r="AA253" s="298"/>
    </row>
    <row r="254" spans="1:27" ht="13.5" customHeight="1" x14ac:dyDescent="0.25">
      <c r="A254" s="9"/>
      <c r="B254" s="9"/>
      <c r="C254" s="312"/>
      <c r="D254" s="312"/>
      <c r="E254" s="313"/>
      <c r="F254" s="314"/>
      <c r="G254" s="314"/>
      <c r="H254" s="315"/>
      <c r="I254" s="316" t="s">
        <v>116</v>
      </c>
      <c r="J254" s="317" t="s">
        <v>117</v>
      </c>
      <c r="K254" s="318"/>
      <c r="L254" s="309"/>
      <c r="M254" s="9"/>
      <c r="N254" s="9"/>
      <c r="O254" s="42"/>
      <c r="P254" s="310"/>
      <c r="Q254" s="293"/>
      <c r="R254" s="291"/>
      <c r="S254" s="294"/>
      <c r="T254" s="295"/>
      <c r="U254" s="9"/>
      <c r="V254" s="9"/>
      <c r="W254" s="9"/>
      <c r="X254" s="9"/>
      <c r="Y254" s="9"/>
      <c r="Z254" s="298"/>
      <c r="AA254" s="298"/>
    </row>
    <row r="255" spans="1:27" ht="13.5" customHeight="1" x14ac:dyDescent="0.25">
      <c r="A255" s="9"/>
      <c r="B255" s="9"/>
      <c r="C255" s="110">
        <f t="shared" ref="C255:D255" si="210">C257+0.004</f>
        <v>4.9000000000000002E-2</v>
      </c>
      <c r="D255" s="110">
        <f t="shared" si="210"/>
        <v>4.9000000000000002E-2</v>
      </c>
      <c r="E255" s="56">
        <f>E257</f>
        <v>6</v>
      </c>
      <c r="F255" s="112"/>
      <c r="G255" s="112"/>
      <c r="H255" s="113"/>
      <c r="I255" s="319">
        <v>300</v>
      </c>
      <c r="J255" s="320">
        <f>J257</f>
        <v>82.304526748971199</v>
      </c>
      <c r="K255" s="116">
        <f>J255*(C255*D255*E255)</f>
        <v>1.1856790123456793</v>
      </c>
      <c r="L255" s="309">
        <f>I255*K255</f>
        <v>355.70370370370381</v>
      </c>
      <c r="M255" s="9"/>
      <c r="N255" s="9"/>
      <c r="O255" s="42"/>
      <c r="P255" s="310"/>
      <c r="Q255" s="293"/>
      <c r="R255" s="291"/>
      <c r="S255" s="294"/>
      <c r="T255" s="295"/>
      <c r="U255" s="9"/>
      <c r="V255" s="9"/>
      <c r="W255" s="9"/>
      <c r="X255" s="9"/>
      <c r="Y255" s="9"/>
      <c r="Z255" s="298"/>
      <c r="AA255" s="298"/>
    </row>
    <row r="256" spans="1:27" ht="13.5" customHeight="1" x14ac:dyDescent="0.25">
      <c r="A256" s="9"/>
      <c r="B256" s="9"/>
      <c r="C256" s="312"/>
      <c r="D256" s="321"/>
      <c r="E256" s="313"/>
      <c r="F256" s="314"/>
      <c r="G256" s="314"/>
      <c r="H256" s="315"/>
      <c r="I256" s="322"/>
      <c r="J256" s="323"/>
      <c r="K256" s="318"/>
      <c r="L256" s="309"/>
      <c r="M256" s="9"/>
      <c r="N256" s="9"/>
      <c r="O256" s="42"/>
      <c r="P256" s="310"/>
      <c r="Q256" s="293"/>
      <c r="R256" s="291"/>
      <c r="S256" s="294"/>
      <c r="T256" s="295"/>
      <c r="U256" s="9"/>
      <c r="V256" s="9"/>
      <c r="W256" s="9"/>
      <c r="X256" s="9"/>
      <c r="Y256" s="9"/>
      <c r="Z256" s="298"/>
      <c r="AA256" s="298"/>
    </row>
    <row r="257" spans="1:27" ht="13.5" customHeight="1" x14ac:dyDescent="0.25">
      <c r="A257" s="9"/>
      <c r="B257" s="9"/>
      <c r="C257" s="54">
        <v>4.4999999999999998E-2</v>
      </c>
      <c r="D257" s="55">
        <v>4.4999999999999998E-2</v>
      </c>
      <c r="E257" s="183">
        <v>6</v>
      </c>
      <c r="F257" s="112"/>
      <c r="G257" s="112"/>
      <c r="H257" s="113"/>
      <c r="I257" s="319">
        <f>L255+L257</f>
        <v>455.70370370370381</v>
      </c>
      <c r="J257" s="320">
        <f>1/(C257*D257*E257)</f>
        <v>82.304526748971199</v>
      </c>
      <c r="K257" s="116"/>
      <c r="L257" s="309">
        <v>100</v>
      </c>
      <c r="M257" s="9"/>
      <c r="N257" s="9"/>
      <c r="O257" s="42"/>
      <c r="P257" s="310"/>
      <c r="Q257" s="293"/>
      <c r="R257" s="291"/>
      <c r="S257" s="294"/>
      <c r="T257" s="295"/>
      <c r="U257" s="9"/>
      <c r="V257" s="9"/>
      <c r="W257" s="9"/>
      <c r="X257" s="9"/>
      <c r="Y257" s="9"/>
      <c r="Z257" s="298"/>
      <c r="AA257" s="298"/>
    </row>
    <row r="258" spans="1:27" ht="13.5" customHeight="1" x14ac:dyDescent="0.25">
      <c r="A258" s="9"/>
      <c r="B258" s="9"/>
      <c r="C258" s="9"/>
      <c r="D258" s="9"/>
      <c r="E258" s="9"/>
      <c r="F258" s="185"/>
      <c r="G258" s="185"/>
      <c r="H258" s="9"/>
      <c r="I258" s="311"/>
      <c r="J258" s="310"/>
      <c r="K258" s="291"/>
      <c r="L258" s="309"/>
      <c r="M258" s="9"/>
      <c r="N258" s="9"/>
      <c r="O258" s="42"/>
      <c r="P258" s="310"/>
      <c r="Q258" s="293"/>
      <c r="R258" s="291"/>
      <c r="S258" s="294"/>
      <c r="T258" s="295"/>
      <c r="U258" s="9"/>
      <c r="V258" s="9"/>
      <c r="W258" s="9"/>
      <c r="X258" s="9"/>
      <c r="Y258" s="9"/>
      <c r="Z258" s="298"/>
      <c r="AA258" s="298"/>
    </row>
    <row r="259" spans="1:27" ht="13.5" customHeight="1" x14ac:dyDescent="0.25">
      <c r="A259" s="9"/>
      <c r="B259" s="9"/>
      <c r="C259" s="9"/>
      <c r="D259" s="9"/>
      <c r="E259" s="9"/>
      <c r="F259" s="185"/>
      <c r="G259" s="185"/>
      <c r="H259" s="9"/>
      <c r="I259" s="311"/>
      <c r="J259" s="310"/>
      <c r="K259" s="291"/>
      <c r="L259" s="309"/>
      <c r="M259" s="9"/>
      <c r="N259" s="9"/>
      <c r="O259" s="42"/>
      <c r="P259" s="310"/>
      <c r="Q259" s="293"/>
      <c r="R259" s="291"/>
      <c r="S259" s="294"/>
      <c r="T259" s="295"/>
      <c r="U259" s="9"/>
      <c r="V259" s="9"/>
      <c r="W259" s="9"/>
      <c r="X259" s="9"/>
      <c r="Y259" s="9"/>
      <c r="Z259" s="298"/>
      <c r="AA259" s="298"/>
    </row>
    <row r="260" spans="1:27" ht="13.5" customHeight="1" x14ac:dyDescent="0.25">
      <c r="A260" s="9"/>
      <c r="B260" s="9"/>
      <c r="C260" s="9"/>
      <c r="D260" s="9"/>
      <c r="E260" s="9"/>
      <c r="F260" s="185"/>
      <c r="G260" s="185"/>
      <c r="H260" s="9"/>
      <c r="I260" s="311"/>
      <c r="J260" s="310"/>
      <c r="K260" s="291"/>
      <c r="L260" s="309"/>
      <c r="M260" s="9"/>
      <c r="N260" s="9"/>
      <c r="O260" s="42"/>
      <c r="P260" s="310"/>
      <c r="Q260" s="293"/>
      <c r="R260" s="291"/>
      <c r="S260" s="294"/>
      <c r="T260" s="295"/>
      <c r="U260" s="9"/>
      <c r="V260" s="9"/>
      <c r="W260" s="9"/>
      <c r="X260" s="9"/>
      <c r="Y260" s="9"/>
      <c r="Z260" s="298"/>
      <c r="AA260" s="298"/>
    </row>
    <row r="261" spans="1:27" ht="13.5" customHeight="1" x14ac:dyDescent="0.25">
      <c r="A261" s="9"/>
      <c r="B261" s="9"/>
      <c r="C261" s="9"/>
      <c r="D261" s="9"/>
      <c r="E261" s="9"/>
      <c r="F261" s="185"/>
      <c r="G261" s="185"/>
      <c r="H261" s="9"/>
      <c r="I261" s="311"/>
      <c r="J261" s="310"/>
      <c r="K261" s="291"/>
      <c r="L261" s="309"/>
      <c r="M261" s="9"/>
      <c r="N261" s="9"/>
      <c r="O261" s="42"/>
      <c r="P261" s="310"/>
      <c r="Q261" s="293"/>
      <c r="R261" s="291"/>
      <c r="S261" s="294"/>
      <c r="T261" s="295"/>
      <c r="U261" s="9"/>
      <c r="V261" s="9"/>
      <c r="W261" s="9"/>
      <c r="X261" s="9"/>
      <c r="Y261" s="9"/>
      <c r="Z261" s="298"/>
      <c r="AA261" s="298"/>
    </row>
    <row r="262" spans="1:27" ht="13.5" customHeight="1" x14ac:dyDescent="0.25">
      <c r="A262" s="9"/>
      <c r="B262" s="9"/>
      <c r="C262" s="9"/>
      <c r="D262" s="9"/>
      <c r="E262" s="9"/>
      <c r="F262" s="185"/>
      <c r="G262" s="185"/>
      <c r="H262" s="9"/>
      <c r="I262" s="311"/>
      <c r="J262" s="310"/>
      <c r="K262" s="291"/>
      <c r="L262" s="309"/>
      <c r="M262" s="9"/>
      <c r="N262" s="9"/>
      <c r="O262" s="42"/>
      <c r="P262" s="310"/>
      <c r="Q262" s="293"/>
      <c r="R262" s="291"/>
      <c r="S262" s="294"/>
      <c r="T262" s="295"/>
      <c r="U262" s="9"/>
      <c r="V262" s="9"/>
      <c r="W262" s="9"/>
      <c r="X262" s="9"/>
      <c r="Y262" s="9"/>
      <c r="Z262" s="298"/>
      <c r="AA262" s="298"/>
    </row>
    <row r="263" spans="1:27" ht="13.5" customHeight="1" x14ac:dyDescent="0.25">
      <c r="A263" s="9"/>
      <c r="B263" s="9"/>
      <c r="C263" s="9"/>
      <c r="D263" s="9"/>
      <c r="E263" s="9"/>
      <c r="F263" s="185"/>
      <c r="G263" s="185"/>
      <c r="H263" s="9"/>
      <c r="I263" s="311"/>
      <c r="J263" s="310"/>
      <c r="K263" s="291"/>
      <c r="L263" s="309"/>
      <c r="M263" s="9"/>
      <c r="N263" s="9"/>
      <c r="O263" s="42"/>
      <c r="P263" s="310"/>
      <c r="Q263" s="293"/>
      <c r="R263" s="291"/>
      <c r="S263" s="294"/>
      <c r="T263" s="295"/>
      <c r="U263" s="9"/>
      <c r="V263" s="9"/>
      <c r="W263" s="9"/>
      <c r="X263" s="9"/>
      <c r="Y263" s="9"/>
      <c r="Z263" s="298"/>
      <c r="AA263" s="298"/>
    </row>
    <row r="264" spans="1:27" ht="13.5" customHeight="1" x14ac:dyDescent="0.25">
      <c r="A264" s="9"/>
      <c r="B264" s="9"/>
      <c r="C264" s="9"/>
      <c r="D264" s="9"/>
      <c r="E264" s="9"/>
      <c r="F264" s="185"/>
      <c r="G264" s="185"/>
      <c r="H264" s="9"/>
      <c r="I264" s="311"/>
      <c r="J264" s="310"/>
      <c r="K264" s="291"/>
      <c r="L264" s="309"/>
      <c r="M264" s="9"/>
      <c r="N264" s="9"/>
      <c r="O264" s="42"/>
      <c r="P264" s="310"/>
      <c r="Q264" s="293"/>
      <c r="R264" s="291"/>
      <c r="S264" s="294"/>
      <c r="T264" s="295"/>
      <c r="U264" s="9"/>
      <c r="V264" s="9"/>
      <c r="W264" s="9"/>
      <c r="X264" s="9"/>
      <c r="Y264" s="9"/>
      <c r="Z264" s="298"/>
      <c r="AA264" s="298"/>
    </row>
    <row r="265" spans="1:27" ht="13.5" customHeight="1" x14ac:dyDescent="0.25">
      <c r="A265" s="9"/>
      <c r="B265" s="9"/>
      <c r="C265" s="9"/>
      <c r="D265" s="9"/>
      <c r="E265" s="9"/>
      <c r="F265" s="185"/>
      <c r="G265" s="185"/>
      <c r="H265" s="9"/>
      <c r="I265" s="311"/>
      <c r="J265" s="310"/>
      <c r="K265" s="291"/>
      <c r="L265" s="309"/>
      <c r="M265" s="9"/>
      <c r="N265" s="9"/>
      <c r="O265" s="42"/>
      <c r="P265" s="310"/>
      <c r="Q265" s="293"/>
      <c r="R265" s="291"/>
      <c r="S265" s="294"/>
      <c r="T265" s="295"/>
      <c r="U265" s="9"/>
      <c r="V265" s="9"/>
      <c r="W265" s="9"/>
      <c r="X265" s="9"/>
      <c r="Y265" s="9"/>
      <c r="Z265" s="298"/>
      <c r="AA265" s="298"/>
    </row>
    <row r="266" spans="1:27" ht="13.5" customHeight="1" x14ac:dyDescent="0.25">
      <c r="A266" s="9"/>
      <c r="B266" s="9"/>
      <c r="C266" s="9"/>
      <c r="D266" s="9"/>
      <c r="E266" s="9"/>
      <c r="F266" s="185"/>
      <c r="G266" s="185"/>
      <c r="H266" s="9"/>
      <c r="I266" s="311"/>
      <c r="J266" s="310"/>
      <c r="K266" s="291"/>
      <c r="L266" s="309"/>
      <c r="M266" s="9"/>
      <c r="N266" s="9"/>
      <c r="O266" s="42"/>
      <c r="P266" s="310"/>
      <c r="Q266" s="293"/>
      <c r="R266" s="291"/>
      <c r="S266" s="294"/>
      <c r="T266" s="295"/>
      <c r="U266" s="9"/>
      <c r="V266" s="9"/>
      <c r="W266" s="9"/>
      <c r="X266" s="9"/>
      <c r="Y266" s="9"/>
      <c r="Z266" s="298"/>
      <c r="AA266" s="298"/>
    </row>
    <row r="267" spans="1:27" ht="13.5" customHeight="1" x14ac:dyDescent="0.25">
      <c r="A267" s="9"/>
      <c r="B267" s="9"/>
      <c r="C267" s="9"/>
      <c r="D267" s="9"/>
      <c r="E267" s="9"/>
      <c r="F267" s="185"/>
      <c r="G267" s="185"/>
      <c r="H267" s="9"/>
      <c r="I267" s="311"/>
      <c r="J267" s="310"/>
      <c r="K267" s="291"/>
      <c r="L267" s="309"/>
      <c r="M267" s="9"/>
      <c r="N267" s="9"/>
      <c r="O267" s="42"/>
      <c r="P267" s="310"/>
      <c r="Q267" s="293"/>
      <c r="R267" s="291"/>
      <c r="S267" s="294"/>
      <c r="T267" s="295"/>
      <c r="U267" s="9"/>
      <c r="V267" s="9"/>
      <c r="W267" s="9"/>
      <c r="X267" s="9"/>
      <c r="Y267" s="9"/>
      <c r="Z267" s="298"/>
      <c r="AA267" s="298"/>
    </row>
    <row r="268" spans="1:27" ht="13.5" customHeight="1" x14ac:dyDescent="0.25">
      <c r="A268" s="9"/>
      <c r="B268" s="9"/>
      <c r="C268" s="9"/>
      <c r="D268" s="9"/>
      <c r="E268" s="9"/>
      <c r="F268" s="185"/>
      <c r="G268" s="185"/>
      <c r="H268" s="9"/>
      <c r="I268" s="311"/>
      <c r="J268" s="310"/>
      <c r="K268" s="291"/>
      <c r="L268" s="309"/>
      <c r="M268" s="9"/>
      <c r="N268" s="9"/>
      <c r="O268" s="42"/>
      <c r="P268" s="310"/>
      <c r="Q268" s="293"/>
      <c r="R268" s="291"/>
      <c r="S268" s="294"/>
      <c r="T268" s="295"/>
      <c r="U268" s="9"/>
      <c r="V268" s="9"/>
      <c r="W268" s="9"/>
      <c r="X268" s="9"/>
      <c r="Y268" s="9"/>
      <c r="Z268" s="298"/>
      <c r="AA268" s="298"/>
    </row>
    <row r="269" spans="1:27" ht="13.5" customHeight="1" x14ac:dyDescent="0.25">
      <c r="A269" s="9"/>
      <c r="B269" s="9"/>
      <c r="C269" s="9"/>
      <c r="D269" s="9"/>
      <c r="E269" s="9"/>
      <c r="F269" s="185"/>
      <c r="G269" s="185"/>
      <c r="H269" s="9"/>
      <c r="I269" s="311"/>
      <c r="J269" s="310"/>
      <c r="K269" s="291"/>
      <c r="L269" s="309"/>
      <c r="M269" s="9"/>
      <c r="N269" s="9"/>
      <c r="O269" s="42"/>
      <c r="P269" s="310"/>
      <c r="Q269" s="293"/>
      <c r="R269" s="291"/>
      <c r="S269" s="294"/>
      <c r="T269" s="295"/>
      <c r="U269" s="9"/>
      <c r="V269" s="9"/>
      <c r="W269" s="9"/>
      <c r="X269" s="9"/>
      <c r="Y269" s="9"/>
      <c r="Z269" s="298"/>
      <c r="AA269" s="298"/>
    </row>
    <row r="270" spans="1:27" ht="13.5" customHeight="1" x14ac:dyDescent="0.25">
      <c r="A270" s="9"/>
      <c r="B270" s="9"/>
      <c r="C270" s="9"/>
      <c r="D270" s="9"/>
      <c r="E270" s="9"/>
      <c r="F270" s="185"/>
      <c r="G270" s="185"/>
      <c r="H270" s="9"/>
      <c r="I270" s="311"/>
      <c r="J270" s="310"/>
      <c r="K270" s="291"/>
      <c r="L270" s="309"/>
      <c r="M270" s="9"/>
      <c r="N270" s="9"/>
      <c r="O270" s="42"/>
      <c r="P270" s="310"/>
      <c r="Q270" s="293"/>
      <c r="R270" s="291"/>
      <c r="S270" s="294"/>
      <c r="T270" s="295"/>
      <c r="U270" s="9"/>
      <c r="V270" s="9"/>
      <c r="W270" s="9"/>
      <c r="X270" s="9"/>
      <c r="Y270" s="9"/>
      <c r="Z270" s="298"/>
      <c r="AA270" s="298"/>
    </row>
    <row r="271" spans="1:27" ht="13.5" customHeight="1" x14ac:dyDescent="0.25">
      <c r="A271" s="9"/>
      <c r="B271" s="9"/>
      <c r="C271" s="9"/>
      <c r="D271" s="9"/>
      <c r="E271" s="9"/>
      <c r="F271" s="185"/>
      <c r="G271" s="185"/>
      <c r="H271" s="9"/>
      <c r="I271" s="311"/>
      <c r="J271" s="310"/>
      <c r="K271" s="291"/>
      <c r="L271" s="309"/>
      <c r="M271" s="9"/>
      <c r="N271" s="9"/>
      <c r="O271" s="42"/>
      <c r="P271" s="310"/>
      <c r="Q271" s="293"/>
      <c r="R271" s="291"/>
      <c r="S271" s="294"/>
      <c r="T271" s="295"/>
      <c r="U271" s="9"/>
      <c r="V271" s="9"/>
      <c r="W271" s="9"/>
      <c r="X271" s="9"/>
      <c r="Y271" s="9"/>
      <c r="Z271" s="298"/>
      <c r="AA271" s="298"/>
    </row>
    <row r="272" spans="1:27" ht="13.5" customHeight="1" x14ac:dyDescent="0.25">
      <c r="A272" s="9"/>
      <c r="B272" s="9"/>
      <c r="C272" s="9"/>
      <c r="D272" s="9"/>
      <c r="E272" s="9"/>
      <c r="F272" s="185"/>
      <c r="G272" s="185"/>
      <c r="H272" s="9"/>
      <c r="I272" s="311"/>
      <c r="J272" s="310"/>
      <c r="K272" s="291"/>
      <c r="L272" s="309"/>
      <c r="M272" s="9"/>
      <c r="N272" s="9"/>
      <c r="O272" s="42"/>
      <c r="P272" s="310"/>
      <c r="Q272" s="293"/>
      <c r="R272" s="291"/>
      <c r="S272" s="294"/>
      <c r="T272" s="295"/>
      <c r="U272" s="9"/>
      <c r="V272" s="9"/>
      <c r="W272" s="9"/>
      <c r="X272" s="9"/>
      <c r="Y272" s="9"/>
      <c r="Z272" s="298"/>
      <c r="AA272" s="298"/>
    </row>
    <row r="273" spans="1:27" ht="13.5" customHeight="1" x14ac:dyDescent="0.25">
      <c r="A273" s="9"/>
      <c r="B273" s="9"/>
      <c r="C273" s="9"/>
      <c r="D273" s="9"/>
      <c r="E273" s="9"/>
      <c r="F273" s="185"/>
      <c r="G273" s="185"/>
      <c r="H273" s="9"/>
      <c r="I273" s="311"/>
      <c r="J273" s="310"/>
      <c r="K273" s="291"/>
      <c r="L273" s="309"/>
      <c r="M273" s="9"/>
      <c r="N273" s="9"/>
      <c r="O273" s="42"/>
      <c r="P273" s="310"/>
      <c r="Q273" s="293"/>
      <c r="R273" s="291"/>
      <c r="S273" s="294"/>
      <c r="T273" s="295"/>
      <c r="U273" s="9"/>
      <c r="V273" s="9"/>
      <c r="W273" s="9"/>
      <c r="X273" s="9"/>
      <c r="Y273" s="9"/>
      <c r="Z273" s="298"/>
      <c r="AA273" s="298"/>
    </row>
    <row r="274" spans="1:27" ht="13.5" customHeight="1" x14ac:dyDescent="0.25">
      <c r="A274" s="9"/>
      <c r="B274" s="9"/>
      <c r="C274" s="9"/>
      <c r="D274" s="9"/>
      <c r="E274" s="9"/>
      <c r="F274" s="185"/>
      <c r="G274" s="185"/>
      <c r="H274" s="9"/>
      <c r="I274" s="311"/>
      <c r="J274" s="310"/>
      <c r="K274" s="291"/>
      <c r="L274" s="309"/>
      <c r="M274" s="9"/>
      <c r="N274" s="9"/>
      <c r="O274" s="42"/>
      <c r="P274" s="310"/>
      <c r="Q274" s="293"/>
      <c r="R274" s="291"/>
      <c r="S274" s="294"/>
      <c r="T274" s="295"/>
      <c r="U274" s="9"/>
      <c r="V274" s="9"/>
      <c r="W274" s="9"/>
      <c r="X274" s="9"/>
      <c r="Y274" s="9"/>
      <c r="Z274" s="298"/>
      <c r="AA274" s="298"/>
    </row>
    <row r="275" spans="1:27" ht="13.5" customHeight="1" x14ac:dyDescent="0.25">
      <c r="A275" s="9"/>
      <c r="B275" s="9"/>
      <c r="C275" s="9"/>
      <c r="D275" s="9"/>
      <c r="E275" s="9"/>
      <c r="F275" s="185"/>
      <c r="G275" s="185"/>
      <c r="H275" s="9"/>
      <c r="I275" s="311"/>
      <c r="J275" s="310"/>
      <c r="K275" s="291"/>
      <c r="L275" s="309"/>
      <c r="M275" s="9"/>
      <c r="N275" s="9"/>
      <c r="O275" s="42"/>
      <c r="P275" s="310"/>
      <c r="Q275" s="293"/>
      <c r="R275" s="291"/>
      <c r="S275" s="294"/>
      <c r="T275" s="295"/>
      <c r="U275" s="9"/>
      <c r="V275" s="9"/>
      <c r="W275" s="9"/>
      <c r="X275" s="9"/>
      <c r="Y275" s="9"/>
      <c r="Z275" s="298"/>
      <c r="AA275" s="298"/>
    </row>
    <row r="276" spans="1:27" ht="13.5" customHeight="1" x14ac:dyDescent="0.25">
      <c r="A276" s="9"/>
      <c r="B276" s="9"/>
      <c r="C276" s="9"/>
      <c r="D276" s="9"/>
      <c r="E276" s="9"/>
      <c r="F276" s="185"/>
      <c r="G276" s="185"/>
      <c r="H276" s="9"/>
      <c r="I276" s="311"/>
      <c r="J276" s="310"/>
      <c r="K276" s="291"/>
      <c r="L276" s="309"/>
      <c r="M276" s="9"/>
      <c r="N276" s="9"/>
      <c r="O276" s="42"/>
      <c r="P276" s="310"/>
      <c r="Q276" s="293"/>
      <c r="R276" s="291"/>
      <c r="S276" s="294"/>
      <c r="T276" s="295"/>
      <c r="U276" s="9"/>
      <c r="V276" s="9"/>
      <c r="W276" s="9"/>
      <c r="X276" s="9"/>
      <c r="Y276" s="9"/>
      <c r="Z276" s="298"/>
      <c r="AA276" s="298"/>
    </row>
    <row r="277" spans="1:27" ht="13.5" customHeight="1" x14ac:dyDescent="0.25">
      <c r="A277" s="9"/>
      <c r="B277" s="9"/>
      <c r="C277" s="9"/>
      <c r="D277" s="9"/>
      <c r="E277" s="9"/>
      <c r="F277" s="185"/>
      <c r="G277" s="185"/>
      <c r="H277" s="9"/>
      <c r="I277" s="311"/>
      <c r="J277" s="310"/>
      <c r="K277" s="291"/>
      <c r="L277" s="309"/>
      <c r="M277" s="9"/>
      <c r="N277" s="9"/>
      <c r="O277" s="42"/>
      <c r="P277" s="310"/>
      <c r="Q277" s="293"/>
      <c r="R277" s="291"/>
      <c r="S277" s="294"/>
      <c r="T277" s="295"/>
      <c r="U277" s="9"/>
      <c r="V277" s="9"/>
      <c r="W277" s="9"/>
      <c r="X277" s="9"/>
      <c r="Y277" s="9"/>
      <c r="Z277" s="298"/>
      <c r="AA277" s="298"/>
    </row>
    <row r="278" spans="1:27" ht="13.5" customHeight="1" x14ac:dyDescent="0.25">
      <c r="A278" s="9"/>
      <c r="B278" s="9"/>
      <c r="C278" s="9"/>
      <c r="D278" s="9"/>
      <c r="E278" s="9"/>
      <c r="F278" s="185"/>
      <c r="G278" s="185"/>
      <c r="H278" s="9"/>
      <c r="I278" s="311"/>
      <c r="J278" s="310"/>
      <c r="K278" s="291"/>
      <c r="L278" s="309"/>
      <c r="M278" s="9"/>
      <c r="N278" s="9"/>
      <c r="O278" s="42"/>
      <c r="P278" s="310"/>
      <c r="Q278" s="293"/>
      <c r="R278" s="291"/>
      <c r="S278" s="294"/>
      <c r="T278" s="295"/>
      <c r="U278" s="9"/>
      <c r="V278" s="9"/>
      <c r="W278" s="9"/>
      <c r="X278" s="9"/>
      <c r="Y278" s="9"/>
      <c r="Z278" s="298"/>
      <c r="AA278" s="298"/>
    </row>
    <row r="279" spans="1:27" ht="13.5" customHeight="1" x14ac:dyDescent="0.25">
      <c r="A279" s="9"/>
      <c r="B279" s="9"/>
      <c r="C279" s="9"/>
      <c r="D279" s="9"/>
      <c r="E279" s="9"/>
      <c r="F279" s="185"/>
      <c r="G279" s="185"/>
      <c r="H279" s="9"/>
      <c r="I279" s="311"/>
      <c r="J279" s="310"/>
      <c r="K279" s="291"/>
      <c r="L279" s="309"/>
      <c r="M279" s="9"/>
      <c r="N279" s="9"/>
      <c r="O279" s="42"/>
      <c r="P279" s="310"/>
      <c r="Q279" s="293"/>
      <c r="R279" s="291"/>
      <c r="S279" s="294"/>
      <c r="T279" s="295"/>
      <c r="U279" s="9"/>
      <c r="V279" s="9"/>
      <c r="W279" s="9"/>
      <c r="X279" s="9"/>
      <c r="Y279" s="9"/>
      <c r="Z279" s="298"/>
      <c r="AA279" s="298"/>
    </row>
    <row r="280" spans="1:27" ht="13.5" customHeight="1" x14ac:dyDescent="0.25">
      <c r="A280" s="9"/>
      <c r="B280" s="9"/>
      <c r="C280" s="9"/>
      <c r="D280" s="9"/>
      <c r="E280" s="9"/>
      <c r="F280" s="185"/>
      <c r="G280" s="185"/>
      <c r="H280" s="9"/>
      <c r="I280" s="311"/>
      <c r="J280" s="310"/>
      <c r="K280" s="291"/>
      <c r="L280" s="309"/>
      <c r="M280" s="9"/>
      <c r="N280" s="9"/>
      <c r="O280" s="42"/>
      <c r="P280" s="310"/>
      <c r="Q280" s="293"/>
      <c r="R280" s="291"/>
      <c r="S280" s="294"/>
      <c r="T280" s="295"/>
      <c r="U280" s="9"/>
      <c r="V280" s="9"/>
      <c r="W280" s="9"/>
      <c r="X280" s="9"/>
      <c r="Y280" s="9"/>
      <c r="Z280" s="298"/>
      <c r="AA280" s="298"/>
    </row>
    <row r="281" spans="1:27" ht="13.5" customHeight="1" x14ac:dyDescent="0.25">
      <c r="A281" s="9"/>
      <c r="B281" s="9"/>
      <c r="C281" s="9"/>
      <c r="D281" s="9"/>
      <c r="E281" s="9"/>
      <c r="F281" s="185"/>
      <c r="G281" s="185"/>
      <c r="H281" s="9"/>
      <c r="I281" s="311"/>
      <c r="J281" s="310"/>
      <c r="K281" s="291"/>
      <c r="L281" s="309"/>
      <c r="M281" s="9"/>
      <c r="N281" s="9"/>
      <c r="O281" s="42"/>
      <c r="P281" s="310"/>
      <c r="Q281" s="293"/>
      <c r="R281" s="291"/>
      <c r="S281" s="294"/>
      <c r="T281" s="295"/>
      <c r="U281" s="9"/>
      <c r="V281" s="9"/>
      <c r="W281" s="9"/>
      <c r="X281" s="9"/>
      <c r="Y281" s="9"/>
      <c r="Z281" s="298"/>
      <c r="AA281" s="298"/>
    </row>
    <row r="282" spans="1:27" ht="13.5" customHeight="1" x14ac:dyDescent="0.25">
      <c r="A282" s="9"/>
      <c r="B282" s="9"/>
      <c r="C282" s="9"/>
      <c r="D282" s="9"/>
      <c r="E282" s="9"/>
      <c r="F282" s="185"/>
      <c r="G282" s="185"/>
      <c r="H282" s="9"/>
      <c r="I282" s="311"/>
      <c r="J282" s="310"/>
      <c r="K282" s="291"/>
      <c r="L282" s="309"/>
      <c r="M282" s="9"/>
      <c r="N282" s="9"/>
      <c r="O282" s="42"/>
      <c r="P282" s="310"/>
      <c r="Q282" s="293"/>
      <c r="R282" s="291"/>
      <c r="S282" s="294"/>
      <c r="T282" s="295"/>
      <c r="U282" s="9"/>
      <c r="V282" s="9"/>
      <c r="W282" s="9"/>
      <c r="X282" s="9"/>
      <c r="Y282" s="9"/>
      <c r="Z282" s="298"/>
      <c r="AA282" s="298"/>
    </row>
    <row r="283" spans="1:27" ht="13.5" customHeight="1" x14ac:dyDescent="0.25">
      <c r="A283" s="9"/>
      <c r="B283" s="9"/>
      <c r="C283" s="9"/>
      <c r="D283" s="9"/>
      <c r="E283" s="9"/>
      <c r="F283" s="185"/>
      <c r="G283" s="185"/>
      <c r="H283" s="9"/>
      <c r="I283" s="311"/>
      <c r="J283" s="310"/>
      <c r="K283" s="291"/>
      <c r="L283" s="309"/>
      <c r="M283" s="9"/>
      <c r="N283" s="9"/>
      <c r="O283" s="42"/>
      <c r="P283" s="310"/>
      <c r="Q283" s="293"/>
      <c r="R283" s="291"/>
      <c r="S283" s="294"/>
      <c r="T283" s="295"/>
      <c r="U283" s="9"/>
      <c r="V283" s="9"/>
      <c r="W283" s="9"/>
      <c r="X283" s="9"/>
      <c r="Y283" s="9"/>
      <c r="Z283" s="298"/>
      <c r="AA283" s="298"/>
    </row>
    <row r="284" spans="1:27" ht="13.5" customHeight="1" x14ac:dyDescent="0.25">
      <c r="A284" s="9"/>
      <c r="B284" s="9"/>
      <c r="C284" s="9"/>
      <c r="D284" s="9"/>
      <c r="E284" s="9"/>
      <c r="F284" s="185"/>
      <c r="G284" s="185"/>
      <c r="H284" s="9"/>
      <c r="I284" s="311"/>
      <c r="J284" s="310"/>
      <c r="K284" s="291"/>
      <c r="L284" s="309"/>
      <c r="M284" s="9"/>
      <c r="N284" s="9"/>
      <c r="O284" s="42"/>
      <c r="P284" s="310"/>
      <c r="Q284" s="293"/>
      <c r="R284" s="291"/>
      <c r="S284" s="294"/>
      <c r="T284" s="295"/>
      <c r="U284" s="9"/>
      <c r="V284" s="9"/>
      <c r="W284" s="9"/>
      <c r="X284" s="9"/>
      <c r="Y284" s="9"/>
      <c r="Z284" s="298"/>
      <c r="AA284" s="298"/>
    </row>
    <row r="285" spans="1:27" ht="13.5" customHeight="1" x14ac:dyDescent="0.25">
      <c r="A285" s="9"/>
      <c r="B285" s="9"/>
      <c r="C285" s="9"/>
      <c r="D285" s="9"/>
      <c r="E285" s="9"/>
      <c r="F285" s="185"/>
      <c r="G285" s="185"/>
      <c r="H285" s="9"/>
      <c r="I285" s="311"/>
      <c r="J285" s="310"/>
      <c r="K285" s="291"/>
      <c r="L285" s="309"/>
      <c r="M285" s="9"/>
      <c r="N285" s="9"/>
      <c r="O285" s="42"/>
      <c r="P285" s="310"/>
      <c r="Q285" s="293"/>
      <c r="R285" s="291"/>
      <c r="S285" s="294"/>
      <c r="T285" s="295"/>
      <c r="U285" s="9"/>
      <c r="V285" s="9"/>
      <c r="W285" s="9"/>
      <c r="X285" s="9"/>
      <c r="Y285" s="9"/>
      <c r="Z285" s="298"/>
      <c r="AA285" s="298"/>
    </row>
    <row r="286" spans="1:27" ht="13.5" customHeight="1" x14ac:dyDescent="0.25">
      <c r="A286" s="9"/>
      <c r="B286" s="9"/>
      <c r="C286" s="9"/>
      <c r="D286" s="9"/>
      <c r="E286" s="9"/>
      <c r="F286" s="185"/>
      <c r="G286" s="185"/>
      <c r="H286" s="9"/>
      <c r="I286" s="311"/>
      <c r="J286" s="310"/>
      <c r="K286" s="291"/>
      <c r="L286" s="309"/>
      <c r="M286" s="9"/>
      <c r="N286" s="9"/>
      <c r="O286" s="42"/>
      <c r="P286" s="310"/>
      <c r="Q286" s="293"/>
      <c r="R286" s="291"/>
      <c r="S286" s="294"/>
      <c r="T286" s="295"/>
      <c r="U286" s="9"/>
      <c r="V286" s="9"/>
      <c r="W286" s="9"/>
      <c r="X286" s="9"/>
      <c r="Y286" s="9"/>
      <c r="Z286" s="298"/>
      <c r="AA286" s="298"/>
    </row>
    <row r="287" spans="1:27" ht="13.5" customHeight="1" x14ac:dyDescent="0.25">
      <c r="A287" s="9"/>
      <c r="B287" s="9"/>
      <c r="C287" s="9"/>
      <c r="D287" s="9"/>
      <c r="E287" s="9"/>
      <c r="F287" s="185"/>
      <c r="G287" s="185"/>
      <c r="H287" s="9"/>
      <c r="I287" s="311"/>
      <c r="J287" s="310"/>
      <c r="K287" s="291"/>
      <c r="L287" s="309"/>
      <c r="M287" s="9"/>
      <c r="N287" s="9"/>
      <c r="O287" s="42"/>
      <c r="P287" s="310"/>
      <c r="Q287" s="293"/>
      <c r="R287" s="291"/>
      <c r="S287" s="294"/>
      <c r="T287" s="295"/>
      <c r="U287" s="9"/>
      <c r="V287" s="9"/>
      <c r="W287" s="9"/>
      <c r="X287" s="9"/>
      <c r="Y287" s="9"/>
      <c r="Z287" s="298"/>
      <c r="AA287" s="298"/>
    </row>
    <row r="288" spans="1:27" ht="13.5" customHeight="1" x14ac:dyDescent="0.25">
      <c r="A288" s="9"/>
      <c r="B288" s="9"/>
      <c r="C288" s="9"/>
      <c r="D288" s="9"/>
      <c r="E288" s="9"/>
      <c r="F288" s="185"/>
      <c r="G288" s="185"/>
      <c r="H288" s="9"/>
      <c r="I288" s="311"/>
      <c r="J288" s="310"/>
      <c r="K288" s="291"/>
      <c r="L288" s="309"/>
      <c r="M288" s="9"/>
      <c r="N288" s="9"/>
      <c r="O288" s="42"/>
      <c r="P288" s="310"/>
      <c r="Q288" s="293"/>
      <c r="R288" s="291"/>
      <c r="S288" s="294"/>
      <c r="T288" s="295"/>
      <c r="U288" s="9"/>
      <c r="V288" s="9"/>
      <c r="W288" s="9"/>
      <c r="X288" s="9"/>
      <c r="Y288" s="9"/>
      <c r="Z288" s="298"/>
      <c r="AA288" s="298"/>
    </row>
    <row r="289" spans="1:27" ht="13.5" customHeight="1" x14ac:dyDescent="0.25">
      <c r="A289" s="9"/>
      <c r="B289" s="9"/>
      <c r="C289" s="9"/>
      <c r="D289" s="9"/>
      <c r="E289" s="9"/>
      <c r="F289" s="185"/>
      <c r="G289" s="185"/>
      <c r="H289" s="9"/>
      <c r="I289" s="311"/>
      <c r="J289" s="310"/>
      <c r="K289" s="291"/>
      <c r="L289" s="309"/>
      <c r="M289" s="9"/>
      <c r="N289" s="9"/>
      <c r="O289" s="42"/>
      <c r="P289" s="310"/>
      <c r="Q289" s="293"/>
      <c r="R289" s="291"/>
      <c r="S289" s="294"/>
      <c r="T289" s="295"/>
      <c r="U289" s="9"/>
      <c r="V289" s="9"/>
      <c r="W289" s="9"/>
      <c r="X289" s="9"/>
      <c r="Y289" s="9"/>
      <c r="Z289" s="298"/>
      <c r="AA289" s="298"/>
    </row>
    <row r="290" spans="1:27" ht="13.5" customHeight="1" x14ac:dyDescent="0.25">
      <c r="A290" s="9"/>
      <c r="B290" s="9"/>
      <c r="C290" s="9"/>
      <c r="D290" s="9"/>
      <c r="E290" s="9"/>
      <c r="F290" s="185"/>
      <c r="G290" s="185"/>
      <c r="H290" s="9"/>
      <c r="I290" s="311"/>
      <c r="J290" s="310"/>
      <c r="K290" s="291"/>
      <c r="L290" s="309"/>
      <c r="M290" s="9"/>
      <c r="N290" s="9"/>
      <c r="O290" s="42"/>
      <c r="P290" s="310"/>
      <c r="Q290" s="293"/>
      <c r="R290" s="291"/>
      <c r="S290" s="294"/>
      <c r="T290" s="295"/>
      <c r="U290" s="9"/>
      <c r="V290" s="9"/>
      <c r="W290" s="9"/>
      <c r="X290" s="9"/>
      <c r="Y290" s="9"/>
      <c r="Z290" s="298"/>
      <c r="AA290" s="298"/>
    </row>
    <row r="291" spans="1:27" ht="13.5" customHeight="1" x14ac:dyDescent="0.25">
      <c r="A291" s="9"/>
      <c r="B291" s="9"/>
      <c r="C291" s="9"/>
      <c r="D291" s="9"/>
      <c r="E291" s="9"/>
      <c r="F291" s="185"/>
      <c r="G291" s="185"/>
      <c r="H291" s="9"/>
      <c r="I291" s="311"/>
      <c r="J291" s="310"/>
      <c r="K291" s="291"/>
      <c r="L291" s="309"/>
      <c r="M291" s="9"/>
      <c r="N291" s="9"/>
      <c r="O291" s="42"/>
      <c r="P291" s="310"/>
      <c r="Q291" s="293"/>
      <c r="R291" s="291"/>
      <c r="S291" s="294"/>
      <c r="T291" s="295"/>
      <c r="U291" s="9"/>
      <c r="V291" s="9"/>
      <c r="W291" s="9"/>
      <c r="X291" s="9"/>
      <c r="Y291" s="9"/>
      <c r="Z291" s="298"/>
      <c r="AA291" s="298"/>
    </row>
    <row r="292" spans="1:27" ht="13.5" customHeight="1" x14ac:dyDescent="0.25">
      <c r="A292" s="9"/>
      <c r="B292" s="9"/>
      <c r="C292" s="9"/>
      <c r="D292" s="9"/>
      <c r="E292" s="9"/>
      <c r="F292" s="185"/>
      <c r="G292" s="185"/>
      <c r="H292" s="9"/>
      <c r="I292" s="311"/>
      <c r="J292" s="310"/>
      <c r="K292" s="291"/>
      <c r="L292" s="309"/>
      <c r="M292" s="9"/>
      <c r="N292" s="9"/>
      <c r="O292" s="42"/>
      <c r="P292" s="310"/>
      <c r="Q292" s="293"/>
      <c r="R292" s="291"/>
      <c r="S292" s="294"/>
      <c r="T292" s="295"/>
      <c r="U292" s="9"/>
      <c r="V292" s="9"/>
      <c r="W292" s="9"/>
      <c r="X292" s="9"/>
      <c r="Y292" s="9"/>
      <c r="Z292" s="298"/>
      <c r="AA292" s="298"/>
    </row>
    <row r="293" spans="1:27" ht="13.5" customHeight="1" x14ac:dyDescent="0.25">
      <c r="A293" s="9"/>
      <c r="B293" s="9"/>
      <c r="C293" s="9"/>
      <c r="D293" s="9"/>
      <c r="E293" s="9"/>
      <c r="F293" s="185"/>
      <c r="G293" s="185"/>
      <c r="H293" s="9"/>
      <c r="I293" s="311"/>
      <c r="J293" s="310"/>
      <c r="K293" s="291"/>
      <c r="L293" s="309"/>
      <c r="M293" s="9"/>
      <c r="N293" s="9"/>
      <c r="O293" s="42"/>
      <c r="P293" s="310"/>
      <c r="Q293" s="293"/>
      <c r="R293" s="291"/>
      <c r="S293" s="294"/>
      <c r="T293" s="295"/>
      <c r="U293" s="9"/>
      <c r="V293" s="9"/>
      <c r="W293" s="9"/>
      <c r="X293" s="9"/>
      <c r="Y293" s="9"/>
      <c r="Z293" s="298"/>
      <c r="AA293" s="298"/>
    </row>
    <row r="294" spans="1:27" ht="13.5" customHeight="1" x14ac:dyDescent="0.25">
      <c r="A294" s="9"/>
      <c r="B294" s="9"/>
      <c r="C294" s="9"/>
      <c r="D294" s="9"/>
      <c r="E294" s="9"/>
      <c r="F294" s="185"/>
      <c r="G294" s="185"/>
      <c r="H294" s="9"/>
      <c r="I294" s="311"/>
      <c r="J294" s="310"/>
      <c r="K294" s="291"/>
      <c r="L294" s="309"/>
      <c r="M294" s="9"/>
      <c r="N294" s="9"/>
      <c r="O294" s="42"/>
      <c r="P294" s="310"/>
      <c r="Q294" s="293"/>
      <c r="R294" s="291"/>
      <c r="S294" s="294"/>
      <c r="T294" s="295"/>
      <c r="U294" s="9"/>
      <c r="V294" s="9"/>
      <c r="W294" s="9"/>
      <c r="X294" s="9"/>
      <c r="Y294" s="9"/>
      <c r="Z294" s="298"/>
      <c r="AA294" s="298"/>
    </row>
    <row r="295" spans="1:27" ht="13.5" customHeight="1" x14ac:dyDescent="0.25">
      <c r="A295" s="9"/>
      <c r="B295" s="9"/>
      <c r="C295" s="9"/>
      <c r="D295" s="9"/>
      <c r="E295" s="9"/>
      <c r="F295" s="185"/>
      <c r="G295" s="185"/>
      <c r="H295" s="9"/>
      <c r="I295" s="311"/>
      <c r="J295" s="310"/>
      <c r="K295" s="291"/>
      <c r="L295" s="309"/>
      <c r="M295" s="9"/>
      <c r="N295" s="9"/>
      <c r="O295" s="42"/>
      <c r="P295" s="310"/>
      <c r="Q295" s="293"/>
      <c r="R295" s="291"/>
      <c r="S295" s="294"/>
      <c r="T295" s="295"/>
      <c r="U295" s="9"/>
      <c r="V295" s="9"/>
      <c r="W295" s="9"/>
      <c r="X295" s="9"/>
      <c r="Y295" s="9"/>
      <c r="Z295" s="298"/>
      <c r="AA295" s="298"/>
    </row>
    <row r="296" spans="1:27" ht="13.5" customHeight="1" x14ac:dyDescent="0.25">
      <c r="A296" s="9"/>
      <c r="B296" s="9"/>
      <c r="C296" s="9"/>
      <c r="D296" s="9"/>
      <c r="E296" s="9"/>
      <c r="F296" s="185"/>
      <c r="G296" s="185"/>
      <c r="H296" s="9"/>
      <c r="I296" s="311"/>
      <c r="J296" s="310"/>
      <c r="K296" s="291"/>
      <c r="L296" s="309"/>
      <c r="M296" s="9"/>
      <c r="N296" s="9"/>
      <c r="O296" s="42"/>
      <c r="P296" s="310"/>
      <c r="Q296" s="293"/>
      <c r="R296" s="291"/>
      <c r="S296" s="294"/>
      <c r="T296" s="295"/>
      <c r="U296" s="9"/>
      <c r="V296" s="9"/>
      <c r="W296" s="9"/>
      <c r="X296" s="9"/>
      <c r="Y296" s="9"/>
      <c r="Z296" s="298"/>
      <c r="AA296" s="298"/>
    </row>
    <row r="297" spans="1:27" ht="13.5" customHeight="1" x14ac:dyDescent="0.25">
      <c r="A297" s="9"/>
      <c r="B297" s="9"/>
      <c r="C297" s="9"/>
      <c r="D297" s="9"/>
      <c r="E297" s="9"/>
      <c r="F297" s="185"/>
      <c r="G297" s="185"/>
      <c r="H297" s="9"/>
      <c r="I297" s="311"/>
      <c r="J297" s="310"/>
      <c r="K297" s="291"/>
      <c r="L297" s="309"/>
      <c r="M297" s="9"/>
      <c r="N297" s="9"/>
      <c r="O297" s="42"/>
      <c r="P297" s="310"/>
      <c r="Q297" s="293"/>
      <c r="R297" s="291"/>
      <c r="S297" s="294"/>
      <c r="T297" s="295"/>
      <c r="U297" s="9"/>
      <c r="V297" s="9"/>
      <c r="W297" s="9"/>
      <c r="X297" s="9"/>
      <c r="Y297" s="9"/>
      <c r="Z297" s="298"/>
      <c r="AA297" s="298"/>
    </row>
    <row r="298" spans="1:27" ht="13.5" customHeight="1" x14ac:dyDescent="0.25">
      <c r="A298" s="9"/>
      <c r="B298" s="9"/>
      <c r="C298" s="9"/>
      <c r="D298" s="9"/>
      <c r="E298" s="9"/>
      <c r="F298" s="185"/>
      <c r="G298" s="185"/>
      <c r="H298" s="9"/>
      <c r="I298" s="311"/>
      <c r="J298" s="310"/>
      <c r="K298" s="291"/>
      <c r="L298" s="309"/>
      <c r="M298" s="9"/>
      <c r="N298" s="9"/>
      <c r="O298" s="42"/>
      <c r="P298" s="310"/>
      <c r="Q298" s="293"/>
      <c r="R298" s="291"/>
      <c r="S298" s="294"/>
      <c r="T298" s="295"/>
      <c r="U298" s="9"/>
      <c r="V298" s="9"/>
      <c r="W298" s="9"/>
      <c r="X298" s="9"/>
      <c r="Y298" s="9"/>
      <c r="Z298" s="298"/>
      <c r="AA298" s="298"/>
    </row>
    <row r="299" spans="1:27" ht="13.5" customHeight="1" x14ac:dyDescent="0.25">
      <c r="A299" s="9"/>
      <c r="B299" s="9"/>
      <c r="C299" s="9"/>
      <c r="D299" s="9"/>
      <c r="E299" s="9"/>
      <c r="F299" s="185"/>
      <c r="G299" s="185"/>
      <c r="H299" s="9"/>
      <c r="I299" s="311"/>
      <c r="J299" s="310"/>
      <c r="K299" s="291"/>
      <c r="L299" s="309"/>
      <c r="M299" s="9"/>
      <c r="N299" s="9"/>
      <c r="O299" s="42"/>
      <c r="P299" s="310"/>
      <c r="Q299" s="293"/>
      <c r="R299" s="291"/>
      <c r="S299" s="294"/>
      <c r="T299" s="295"/>
      <c r="U299" s="9"/>
      <c r="V299" s="9"/>
      <c r="W299" s="9"/>
      <c r="X299" s="9"/>
      <c r="Y299" s="9"/>
      <c r="Z299" s="298"/>
      <c r="AA299" s="298"/>
    </row>
    <row r="300" spans="1:27" ht="13.5" customHeight="1" x14ac:dyDescent="0.25">
      <c r="A300" s="9"/>
      <c r="B300" s="9"/>
      <c r="C300" s="9"/>
      <c r="D300" s="9"/>
      <c r="E300" s="9"/>
      <c r="F300" s="185"/>
      <c r="G300" s="185"/>
      <c r="H300" s="9"/>
      <c r="I300" s="311"/>
      <c r="J300" s="310"/>
      <c r="K300" s="291"/>
      <c r="L300" s="309"/>
      <c r="M300" s="9"/>
      <c r="N300" s="9"/>
      <c r="O300" s="42"/>
      <c r="P300" s="310"/>
      <c r="Q300" s="293"/>
      <c r="R300" s="291"/>
      <c r="S300" s="294"/>
      <c r="T300" s="295"/>
      <c r="U300" s="9"/>
      <c r="V300" s="9"/>
      <c r="W300" s="9"/>
      <c r="X300" s="9"/>
      <c r="Y300" s="9"/>
      <c r="Z300" s="298"/>
      <c r="AA300" s="298"/>
    </row>
    <row r="301" spans="1:27" ht="13.5" customHeight="1" x14ac:dyDescent="0.25">
      <c r="A301" s="9"/>
      <c r="B301" s="9"/>
      <c r="C301" s="9"/>
      <c r="D301" s="9"/>
      <c r="E301" s="9"/>
      <c r="F301" s="185"/>
      <c r="G301" s="185"/>
      <c r="H301" s="9"/>
      <c r="I301" s="311"/>
      <c r="J301" s="310"/>
      <c r="K301" s="291"/>
      <c r="L301" s="309"/>
      <c r="M301" s="9"/>
      <c r="N301" s="9"/>
      <c r="O301" s="42"/>
      <c r="P301" s="310"/>
      <c r="Q301" s="293"/>
      <c r="R301" s="291"/>
      <c r="S301" s="294"/>
      <c r="T301" s="295"/>
      <c r="U301" s="9"/>
      <c r="V301" s="9"/>
      <c r="W301" s="9"/>
      <c r="X301" s="9"/>
      <c r="Y301" s="9"/>
      <c r="Z301" s="298"/>
      <c r="AA301" s="298"/>
    </row>
    <row r="302" spans="1:27" ht="13.5" customHeight="1" x14ac:dyDescent="0.25">
      <c r="A302" s="9"/>
      <c r="B302" s="9"/>
      <c r="C302" s="9"/>
      <c r="D302" s="9"/>
      <c r="E302" s="9"/>
      <c r="F302" s="185"/>
      <c r="G302" s="185"/>
      <c r="H302" s="9"/>
      <c r="I302" s="311"/>
      <c r="J302" s="310"/>
      <c r="K302" s="291"/>
      <c r="L302" s="309"/>
      <c r="M302" s="9"/>
      <c r="N302" s="9"/>
      <c r="O302" s="42"/>
      <c r="P302" s="310"/>
      <c r="Q302" s="293"/>
      <c r="R302" s="291"/>
      <c r="S302" s="294"/>
      <c r="T302" s="295"/>
      <c r="U302" s="9"/>
      <c r="V302" s="9"/>
      <c r="W302" s="9"/>
      <c r="X302" s="9"/>
      <c r="Y302" s="9"/>
      <c r="Z302" s="298"/>
      <c r="AA302" s="298"/>
    </row>
    <row r="303" spans="1:27" ht="13.5" customHeight="1" x14ac:dyDescent="0.25">
      <c r="A303" s="9"/>
      <c r="B303" s="9"/>
      <c r="C303" s="9"/>
      <c r="D303" s="9"/>
      <c r="E303" s="9"/>
      <c r="F303" s="185"/>
      <c r="G303" s="185"/>
      <c r="H303" s="9"/>
      <c r="I303" s="311"/>
      <c r="J303" s="310"/>
      <c r="K303" s="291"/>
      <c r="L303" s="309"/>
      <c r="M303" s="9"/>
      <c r="N303" s="9"/>
      <c r="O303" s="42"/>
      <c r="P303" s="310"/>
      <c r="Q303" s="293"/>
      <c r="R303" s="291"/>
      <c r="S303" s="294"/>
      <c r="T303" s="295"/>
      <c r="U303" s="9"/>
      <c r="V303" s="9"/>
      <c r="W303" s="9"/>
      <c r="X303" s="9"/>
      <c r="Y303" s="9"/>
      <c r="Z303" s="298"/>
      <c r="AA303" s="298"/>
    </row>
    <row r="304" spans="1:27" ht="13.5" customHeight="1" x14ac:dyDescent="0.25">
      <c r="A304" s="9"/>
      <c r="B304" s="9"/>
      <c r="C304" s="9"/>
      <c r="D304" s="9"/>
      <c r="E304" s="9"/>
      <c r="F304" s="185"/>
      <c r="G304" s="185"/>
      <c r="H304" s="9"/>
      <c r="I304" s="311"/>
      <c r="J304" s="310"/>
      <c r="K304" s="291"/>
      <c r="L304" s="309"/>
      <c r="M304" s="9"/>
      <c r="N304" s="9"/>
      <c r="O304" s="42"/>
      <c r="P304" s="310"/>
      <c r="Q304" s="293"/>
      <c r="R304" s="291"/>
      <c r="S304" s="294"/>
      <c r="T304" s="295"/>
      <c r="U304" s="9"/>
      <c r="V304" s="9"/>
      <c r="W304" s="9"/>
      <c r="X304" s="9"/>
      <c r="Y304" s="9"/>
      <c r="Z304" s="298"/>
      <c r="AA304" s="298"/>
    </row>
    <row r="305" spans="1:27" ht="13.5" customHeight="1" x14ac:dyDescent="0.25">
      <c r="A305" s="9"/>
      <c r="B305" s="9"/>
      <c r="C305" s="9"/>
      <c r="D305" s="9"/>
      <c r="E305" s="9"/>
      <c r="F305" s="185"/>
      <c r="G305" s="185"/>
      <c r="H305" s="9"/>
      <c r="I305" s="311"/>
      <c r="J305" s="310"/>
      <c r="K305" s="291"/>
      <c r="L305" s="309"/>
      <c r="M305" s="9"/>
      <c r="N305" s="9"/>
      <c r="O305" s="42"/>
      <c r="P305" s="310"/>
      <c r="Q305" s="293"/>
      <c r="R305" s="291"/>
      <c r="S305" s="294"/>
      <c r="T305" s="295"/>
      <c r="U305" s="9"/>
      <c r="V305" s="9"/>
      <c r="W305" s="9"/>
      <c r="X305" s="9"/>
      <c r="Y305" s="9"/>
      <c r="Z305" s="298"/>
      <c r="AA305" s="298"/>
    </row>
    <row r="306" spans="1:27" ht="13.5" customHeight="1" x14ac:dyDescent="0.25">
      <c r="A306" s="9"/>
      <c r="B306" s="9"/>
      <c r="C306" s="9"/>
      <c r="D306" s="9"/>
      <c r="E306" s="9"/>
      <c r="F306" s="185"/>
      <c r="G306" s="185"/>
      <c r="H306" s="9"/>
      <c r="I306" s="311"/>
      <c r="J306" s="310"/>
      <c r="K306" s="291"/>
      <c r="L306" s="309"/>
      <c r="M306" s="9"/>
      <c r="N306" s="9"/>
      <c r="O306" s="42"/>
      <c r="P306" s="310"/>
      <c r="Q306" s="293"/>
      <c r="R306" s="291"/>
      <c r="S306" s="294"/>
      <c r="T306" s="295"/>
      <c r="U306" s="9"/>
      <c r="V306" s="9"/>
      <c r="W306" s="9"/>
      <c r="X306" s="9"/>
      <c r="Y306" s="9"/>
      <c r="Z306" s="298"/>
      <c r="AA306" s="298"/>
    </row>
    <row r="307" spans="1:27" ht="13.5" customHeight="1" x14ac:dyDescent="0.25">
      <c r="A307" s="9"/>
      <c r="B307" s="9"/>
      <c r="C307" s="9"/>
      <c r="D307" s="9"/>
      <c r="E307" s="9"/>
      <c r="F307" s="185"/>
      <c r="G307" s="185"/>
      <c r="H307" s="9"/>
      <c r="I307" s="311"/>
      <c r="J307" s="310"/>
      <c r="K307" s="291"/>
      <c r="L307" s="309"/>
      <c r="M307" s="9"/>
      <c r="N307" s="9"/>
      <c r="O307" s="42"/>
      <c r="P307" s="310"/>
      <c r="Q307" s="293"/>
      <c r="R307" s="291"/>
      <c r="S307" s="294"/>
      <c r="T307" s="295"/>
      <c r="U307" s="9"/>
      <c r="V307" s="9"/>
      <c r="W307" s="9"/>
      <c r="X307" s="9"/>
      <c r="Y307" s="9"/>
      <c r="Z307" s="298"/>
      <c r="AA307" s="298"/>
    </row>
    <row r="308" spans="1:27" ht="13.5" customHeight="1" x14ac:dyDescent="0.25">
      <c r="A308" s="9"/>
      <c r="B308" s="9"/>
      <c r="C308" s="9"/>
      <c r="D308" s="9"/>
      <c r="E308" s="9"/>
      <c r="F308" s="185"/>
      <c r="G308" s="185"/>
      <c r="H308" s="9"/>
      <c r="I308" s="311"/>
      <c r="J308" s="310"/>
      <c r="K308" s="291"/>
      <c r="L308" s="309"/>
      <c r="M308" s="9"/>
      <c r="N308" s="9"/>
      <c r="O308" s="42"/>
      <c r="P308" s="310"/>
      <c r="Q308" s="293"/>
      <c r="R308" s="291"/>
      <c r="S308" s="294"/>
      <c r="T308" s="295"/>
      <c r="U308" s="9"/>
      <c r="V308" s="9"/>
      <c r="W308" s="9"/>
      <c r="X308" s="9"/>
      <c r="Y308" s="9"/>
      <c r="Z308" s="298"/>
      <c r="AA308" s="298"/>
    </row>
    <row r="309" spans="1:27" ht="13.5" customHeight="1" x14ac:dyDescent="0.25">
      <c r="A309" s="9"/>
      <c r="B309" s="9"/>
      <c r="C309" s="9"/>
      <c r="D309" s="9"/>
      <c r="E309" s="9"/>
      <c r="F309" s="185"/>
      <c r="G309" s="185"/>
      <c r="H309" s="9"/>
      <c r="I309" s="311"/>
      <c r="J309" s="310"/>
      <c r="K309" s="291"/>
      <c r="L309" s="309"/>
      <c r="M309" s="9"/>
      <c r="N309" s="9"/>
      <c r="O309" s="42"/>
      <c r="P309" s="310"/>
      <c r="Q309" s="293"/>
      <c r="R309" s="291"/>
      <c r="S309" s="294"/>
      <c r="T309" s="295"/>
      <c r="U309" s="9"/>
      <c r="V309" s="9"/>
      <c r="W309" s="9"/>
      <c r="X309" s="9"/>
      <c r="Y309" s="9"/>
      <c r="Z309" s="298"/>
      <c r="AA309" s="298"/>
    </row>
    <row r="310" spans="1:27" ht="13.5" customHeight="1" x14ac:dyDescent="0.25">
      <c r="A310" s="9"/>
      <c r="B310" s="9"/>
      <c r="C310" s="9"/>
      <c r="D310" s="9"/>
      <c r="E310" s="9"/>
      <c r="F310" s="185"/>
      <c r="G310" s="185"/>
      <c r="H310" s="9"/>
      <c r="I310" s="311"/>
      <c r="J310" s="310"/>
      <c r="K310" s="291"/>
      <c r="L310" s="309"/>
      <c r="M310" s="9"/>
      <c r="N310" s="9"/>
      <c r="O310" s="42"/>
      <c r="P310" s="310"/>
      <c r="Q310" s="293"/>
      <c r="R310" s="291"/>
      <c r="S310" s="294"/>
      <c r="T310" s="295"/>
      <c r="U310" s="9"/>
      <c r="V310" s="9"/>
      <c r="W310" s="9"/>
      <c r="X310" s="9"/>
      <c r="Y310" s="9"/>
      <c r="Z310" s="298"/>
      <c r="AA310" s="298"/>
    </row>
    <row r="311" spans="1:27" ht="13.5" customHeight="1" x14ac:dyDescent="0.25">
      <c r="A311" s="9"/>
      <c r="B311" s="9"/>
      <c r="C311" s="9"/>
      <c r="D311" s="9"/>
      <c r="E311" s="9"/>
      <c r="F311" s="185"/>
      <c r="G311" s="185"/>
      <c r="H311" s="9"/>
      <c r="I311" s="311"/>
      <c r="J311" s="310"/>
      <c r="K311" s="291"/>
      <c r="L311" s="309"/>
      <c r="M311" s="9"/>
      <c r="N311" s="9"/>
      <c r="O311" s="42"/>
      <c r="P311" s="310"/>
      <c r="Q311" s="293"/>
      <c r="R311" s="291"/>
      <c r="S311" s="294"/>
      <c r="T311" s="295"/>
      <c r="U311" s="9"/>
      <c r="V311" s="9"/>
      <c r="W311" s="9"/>
      <c r="X311" s="9"/>
      <c r="Y311" s="9"/>
      <c r="Z311" s="298"/>
      <c r="AA311" s="298"/>
    </row>
    <row r="312" spans="1:27" ht="13.5" customHeight="1" x14ac:dyDescent="0.25">
      <c r="A312" s="9"/>
      <c r="B312" s="9"/>
      <c r="C312" s="9"/>
      <c r="D312" s="9"/>
      <c r="E312" s="9"/>
      <c r="F312" s="185"/>
      <c r="G312" s="185"/>
      <c r="H312" s="9"/>
      <c r="I312" s="311"/>
      <c r="J312" s="310"/>
      <c r="K312" s="291"/>
      <c r="L312" s="309"/>
      <c r="M312" s="9"/>
      <c r="N312" s="9"/>
      <c r="O312" s="42"/>
      <c r="P312" s="310"/>
      <c r="Q312" s="293"/>
      <c r="R312" s="291"/>
      <c r="S312" s="294"/>
      <c r="T312" s="295"/>
      <c r="U312" s="9"/>
      <c r="V312" s="9"/>
      <c r="W312" s="9"/>
      <c r="X312" s="9"/>
      <c r="Y312" s="9"/>
      <c r="Z312" s="298"/>
      <c r="AA312" s="298"/>
    </row>
    <row r="313" spans="1:27" ht="13.5" customHeight="1" x14ac:dyDescent="0.25">
      <c r="A313" s="9"/>
      <c r="B313" s="9"/>
      <c r="C313" s="9"/>
      <c r="D313" s="9"/>
      <c r="E313" s="9"/>
      <c r="F313" s="185"/>
      <c r="G313" s="185"/>
      <c r="H313" s="9"/>
      <c r="I313" s="311"/>
      <c r="J313" s="310"/>
      <c r="K313" s="291"/>
      <c r="L313" s="309"/>
      <c r="M313" s="9"/>
      <c r="N313" s="9"/>
      <c r="O313" s="42"/>
      <c r="P313" s="310"/>
      <c r="Q313" s="293"/>
      <c r="R313" s="291"/>
      <c r="S313" s="294"/>
      <c r="T313" s="295"/>
      <c r="U313" s="9"/>
      <c r="V313" s="9"/>
      <c r="W313" s="9"/>
      <c r="X313" s="9"/>
      <c r="Y313" s="9"/>
      <c r="Z313" s="298"/>
      <c r="AA313" s="298"/>
    </row>
    <row r="314" spans="1:27" ht="13.5" customHeight="1" x14ac:dyDescent="0.25">
      <c r="A314" s="9"/>
      <c r="B314" s="9"/>
      <c r="C314" s="9"/>
      <c r="D314" s="9"/>
      <c r="E314" s="9"/>
      <c r="F314" s="185"/>
      <c r="G314" s="185"/>
      <c r="H314" s="9"/>
      <c r="I314" s="311"/>
      <c r="J314" s="310"/>
      <c r="K314" s="291"/>
      <c r="L314" s="309"/>
      <c r="M314" s="9"/>
      <c r="N314" s="9"/>
      <c r="O314" s="42"/>
      <c r="P314" s="310"/>
      <c r="Q314" s="293"/>
      <c r="R314" s="291"/>
      <c r="S314" s="294"/>
      <c r="T314" s="295"/>
      <c r="U314" s="9"/>
      <c r="V314" s="9"/>
      <c r="W314" s="9"/>
      <c r="X314" s="9"/>
      <c r="Y314" s="9"/>
      <c r="Z314" s="298"/>
      <c r="AA314" s="298"/>
    </row>
    <row r="315" spans="1:27" ht="13.5" customHeight="1" x14ac:dyDescent="0.25">
      <c r="A315" s="9"/>
      <c r="B315" s="9"/>
      <c r="C315" s="9"/>
      <c r="D315" s="9"/>
      <c r="E315" s="9"/>
      <c r="F315" s="185"/>
      <c r="G315" s="185"/>
      <c r="H315" s="9"/>
      <c r="I315" s="311"/>
      <c r="J315" s="310"/>
      <c r="K315" s="291"/>
      <c r="L315" s="309"/>
      <c r="M315" s="9"/>
      <c r="N315" s="9"/>
      <c r="O315" s="42"/>
      <c r="P315" s="310"/>
      <c r="Q315" s="293"/>
      <c r="R315" s="291"/>
      <c r="S315" s="294"/>
      <c r="T315" s="295"/>
      <c r="U315" s="9"/>
      <c r="V315" s="9"/>
      <c r="W315" s="9"/>
      <c r="X315" s="9"/>
      <c r="Y315" s="9"/>
      <c r="Z315" s="298"/>
      <c r="AA315" s="298"/>
    </row>
    <row r="316" spans="1:27" ht="13.5" customHeight="1" x14ac:dyDescent="0.25">
      <c r="A316" s="9"/>
      <c r="B316" s="9"/>
      <c r="C316" s="9"/>
      <c r="D316" s="9"/>
      <c r="E316" s="9"/>
      <c r="F316" s="185"/>
      <c r="G316" s="185"/>
      <c r="H316" s="9"/>
      <c r="I316" s="311"/>
      <c r="J316" s="310"/>
      <c r="K316" s="291"/>
      <c r="L316" s="309"/>
      <c r="M316" s="9"/>
      <c r="N316" s="9"/>
      <c r="O316" s="42"/>
      <c r="P316" s="310"/>
      <c r="Q316" s="293"/>
      <c r="R316" s="291"/>
      <c r="S316" s="294"/>
      <c r="T316" s="295"/>
      <c r="U316" s="9"/>
      <c r="V316" s="9"/>
      <c r="W316" s="9"/>
      <c r="X316" s="9"/>
      <c r="Y316" s="9"/>
      <c r="Z316" s="298"/>
      <c r="AA316" s="298"/>
    </row>
    <row r="317" spans="1:27" ht="13.5" customHeight="1" x14ac:dyDescent="0.25">
      <c r="A317" s="9"/>
      <c r="B317" s="9"/>
      <c r="C317" s="9"/>
      <c r="D317" s="9"/>
      <c r="E317" s="9"/>
      <c r="F317" s="185"/>
      <c r="G317" s="185"/>
      <c r="H317" s="9"/>
      <c r="I317" s="311"/>
      <c r="J317" s="310"/>
      <c r="K317" s="291"/>
      <c r="L317" s="309"/>
      <c r="M317" s="9"/>
      <c r="N317" s="9"/>
      <c r="O317" s="42"/>
      <c r="P317" s="310"/>
      <c r="Q317" s="293"/>
      <c r="R317" s="291"/>
      <c r="S317" s="294"/>
      <c r="T317" s="295"/>
      <c r="U317" s="9"/>
      <c r="V317" s="9"/>
      <c r="W317" s="9"/>
      <c r="X317" s="9"/>
      <c r="Y317" s="9"/>
      <c r="Z317" s="298"/>
      <c r="AA317" s="298"/>
    </row>
    <row r="318" spans="1:27" ht="13.5" customHeight="1" x14ac:dyDescent="0.25">
      <c r="A318" s="9"/>
      <c r="B318" s="9"/>
      <c r="C318" s="9"/>
      <c r="D318" s="9"/>
      <c r="E318" s="9"/>
      <c r="F318" s="185"/>
      <c r="G318" s="185"/>
      <c r="H318" s="9"/>
      <c r="I318" s="311"/>
      <c r="J318" s="310"/>
      <c r="K318" s="291"/>
      <c r="L318" s="309"/>
      <c r="M318" s="9"/>
      <c r="N318" s="9"/>
      <c r="O318" s="42"/>
      <c r="P318" s="310"/>
      <c r="Q318" s="293"/>
      <c r="R318" s="291"/>
      <c r="S318" s="294"/>
      <c r="T318" s="295"/>
      <c r="U318" s="9"/>
      <c r="V318" s="9"/>
      <c r="W318" s="9"/>
      <c r="X318" s="9"/>
      <c r="Y318" s="9"/>
      <c r="Z318" s="298"/>
      <c r="AA318" s="298"/>
    </row>
    <row r="319" spans="1:27" ht="13.5" customHeight="1" x14ac:dyDescent="0.25">
      <c r="A319" s="9"/>
      <c r="B319" s="9"/>
      <c r="C319" s="9"/>
      <c r="D319" s="9"/>
      <c r="E319" s="9"/>
      <c r="F319" s="185"/>
      <c r="G319" s="185"/>
      <c r="H319" s="9"/>
      <c r="I319" s="311"/>
      <c r="J319" s="310"/>
      <c r="K319" s="291"/>
      <c r="L319" s="309"/>
      <c r="M319" s="9"/>
      <c r="N319" s="9"/>
      <c r="O319" s="42"/>
      <c r="P319" s="310"/>
      <c r="Q319" s="293"/>
      <c r="R319" s="291"/>
      <c r="S319" s="294"/>
      <c r="T319" s="295"/>
      <c r="U319" s="9"/>
      <c r="V319" s="9"/>
      <c r="W319" s="9"/>
      <c r="X319" s="9"/>
      <c r="Y319" s="9"/>
      <c r="Z319" s="298"/>
      <c r="AA319" s="298"/>
    </row>
    <row r="320" spans="1:27" ht="13.5" customHeight="1" x14ac:dyDescent="0.25">
      <c r="A320" s="9"/>
      <c r="B320" s="9"/>
      <c r="C320" s="9"/>
      <c r="D320" s="9"/>
      <c r="E320" s="9"/>
      <c r="F320" s="185"/>
      <c r="G320" s="185"/>
      <c r="H320" s="9"/>
      <c r="I320" s="311"/>
      <c r="J320" s="310"/>
      <c r="K320" s="291"/>
      <c r="L320" s="309"/>
      <c r="M320" s="9"/>
      <c r="N320" s="9"/>
      <c r="O320" s="42"/>
      <c r="P320" s="310"/>
      <c r="Q320" s="293"/>
      <c r="R320" s="291"/>
      <c r="S320" s="294"/>
      <c r="T320" s="295"/>
      <c r="U320" s="9"/>
      <c r="V320" s="9"/>
      <c r="W320" s="9"/>
      <c r="X320" s="9"/>
      <c r="Y320" s="9"/>
      <c r="Z320" s="298"/>
      <c r="AA320" s="298"/>
    </row>
    <row r="321" spans="1:27" ht="13.5" customHeight="1" x14ac:dyDescent="0.25">
      <c r="A321" s="9"/>
      <c r="B321" s="9"/>
      <c r="C321" s="9"/>
      <c r="D321" s="9"/>
      <c r="E321" s="9"/>
      <c r="F321" s="185"/>
      <c r="G321" s="185"/>
      <c r="H321" s="9"/>
      <c r="I321" s="311"/>
      <c r="J321" s="310"/>
      <c r="K321" s="291"/>
      <c r="L321" s="309"/>
      <c r="M321" s="9"/>
      <c r="N321" s="9"/>
      <c r="O321" s="42"/>
      <c r="P321" s="310"/>
      <c r="Q321" s="293"/>
      <c r="R321" s="291"/>
      <c r="S321" s="294"/>
      <c r="T321" s="295"/>
      <c r="U321" s="9"/>
      <c r="V321" s="9"/>
      <c r="W321" s="9"/>
      <c r="X321" s="9"/>
      <c r="Y321" s="9"/>
      <c r="Z321" s="298"/>
      <c r="AA321" s="298"/>
    </row>
    <row r="322" spans="1:27" ht="13.5" customHeight="1" x14ac:dyDescent="0.25">
      <c r="A322" s="9"/>
      <c r="B322" s="9"/>
      <c r="C322" s="9"/>
      <c r="D322" s="9"/>
      <c r="E322" s="9"/>
      <c r="F322" s="185"/>
      <c r="G322" s="185"/>
      <c r="H322" s="9"/>
      <c r="I322" s="311"/>
      <c r="J322" s="310"/>
      <c r="K322" s="291"/>
      <c r="L322" s="309"/>
      <c r="M322" s="9"/>
      <c r="N322" s="9"/>
      <c r="O322" s="42"/>
      <c r="P322" s="310"/>
      <c r="Q322" s="293"/>
      <c r="R322" s="291"/>
      <c r="S322" s="294"/>
      <c r="T322" s="295"/>
      <c r="U322" s="9"/>
      <c r="V322" s="9"/>
      <c r="W322" s="9"/>
      <c r="X322" s="9"/>
      <c r="Y322" s="9"/>
      <c r="Z322" s="298"/>
      <c r="AA322" s="298"/>
    </row>
    <row r="323" spans="1:27" ht="13.5" customHeight="1" x14ac:dyDescent="0.25">
      <c r="A323" s="9"/>
      <c r="B323" s="9"/>
      <c r="C323" s="9"/>
      <c r="D323" s="9"/>
      <c r="E323" s="9"/>
      <c r="F323" s="185"/>
      <c r="G323" s="185"/>
      <c r="H323" s="9"/>
      <c r="I323" s="311"/>
      <c r="J323" s="310"/>
      <c r="K323" s="291"/>
      <c r="L323" s="309"/>
      <c r="M323" s="9"/>
      <c r="N323" s="9"/>
      <c r="O323" s="42"/>
      <c r="P323" s="310"/>
      <c r="Q323" s="293"/>
      <c r="R323" s="291"/>
      <c r="S323" s="294"/>
      <c r="T323" s="295"/>
      <c r="U323" s="9"/>
      <c r="V323" s="9"/>
      <c r="W323" s="9"/>
      <c r="X323" s="9"/>
      <c r="Y323" s="9"/>
      <c r="Z323" s="298"/>
      <c r="AA323" s="298"/>
    </row>
    <row r="324" spans="1:27" ht="13.5" customHeight="1" x14ac:dyDescent="0.25">
      <c r="A324" s="9"/>
      <c r="B324" s="9"/>
      <c r="C324" s="9"/>
      <c r="D324" s="9"/>
      <c r="E324" s="9"/>
      <c r="F324" s="185"/>
      <c r="G324" s="185"/>
      <c r="H324" s="9"/>
      <c r="I324" s="311"/>
      <c r="J324" s="310"/>
      <c r="K324" s="291"/>
      <c r="L324" s="309"/>
      <c r="M324" s="9"/>
      <c r="N324" s="9"/>
      <c r="O324" s="42"/>
      <c r="P324" s="310"/>
      <c r="Q324" s="293"/>
      <c r="R324" s="291"/>
      <c r="S324" s="294"/>
      <c r="T324" s="295"/>
      <c r="U324" s="9"/>
      <c r="V324" s="9"/>
      <c r="W324" s="9"/>
      <c r="X324" s="9"/>
      <c r="Y324" s="9"/>
      <c r="Z324" s="298"/>
      <c r="AA324" s="298"/>
    </row>
    <row r="325" spans="1:27" ht="13.5" customHeight="1" x14ac:dyDescent="0.25">
      <c r="A325" s="9"/>
      <c r="B325" s="9"/>
      <c r="C325" s="9"/>
      <c r="D325" s="9"/>
      <c r="E325" s="9"/>
      <c r="F325" s="185"/>
      <c r="G325" s="185"/>
      <c r="H325" s="9"/>
      <c r="I325" s="311"/>
      <c r="J325" s="310"/>
      <c r="K325" s="291"/>
      <c r="L325" s="309"/>
      <c r="M325" s="9"/>
      <c r="N325" s="9"/>
      <c r="O325" s="42"/>
      <c r="P325" s="310"/>
      <c r="Q325" s="293"/>
      <c r="R325" s="291"/>
      <c r="S325" s="294"/>
      <c r="T325" s="295"/>
      <c r="U325" s="9"/>
      <c r="V325" s="9"/>
      <c r="W325" s="9"/>
      <c r="X325" s="9"/>
      <c r="Y325" s="9"/>
      <c r="Z325" s="298"/>
      <c r="AA325" s="298"/>
    </row>
    <row r="326" spans="1:27" ht="13.5" customHeight="1" x14ac:dyDescent="0.25">
      <c r="A326" s="9"/>
      <c r="B326" s="9"/>
      <c r="C326" s="9"/>
      <c r="D326" s="9"/>
      <c r="E326" s="9"/>
      <c r="F326" s="185"/>
      <c r="G326" s="185"/>
      <c r="H326" s="9"/>
      <c r="I326" s="311"/>
      <c r="J326" s="310"/>
      <c r="K326" s="291"/>
      <c r="L326" s="309"/>
      <c r="M326" s="9"/>
      <c r="N326" s="9"/>
      <c r="O326" s="42"/>
      <c r="P326" s="310"/>
      <c r="Q326" s="293"/>
      <c r="R326" s="291"/>
      <c r="S326" s="294"/>
      <c r="T326" s="295"/>
      <c r="U326" s="9"/>
      <c r="V326" s="9"/>
      <c r="W326" s="9"/>
      <c r="X326" s="9"/>
      <c r="Y326" s="9"/>
      <c r="Z326" s="298"/>
      <c r="AA326" s="298"/>
    </row>
    <row r="327" spans="1:27" ht="13.5" customHeight="1" x14ac:dyDescent="0.25">
      <c r="A327" s="9"/>
      <c r="B327" s="9"/>
      <c r="C327" s="9"/>
      <c r="D327" s="9"/>
      <c r="E327" s="9"/>
      <c r="F327" s="185"/>
      <c r="G327" s="185"/>
      <c r="H327" s="9"/>
      <c r="I327" s="311"/>
      <c r="J327" s="310"/>
      <c r="K327" s="291"/>
      <c r="L327" s="309"/>
      <c r="M327" s="9"/>
      <c r="N327" s="9"/>
      <c r="O327" s="42"/>
      <c r="P327" s="310"/>
      <c r="Q327" s="293"/>
      <c r="R327" s="291"/>
      <c r="S327" s="294"/>
      <c r="T327" s="295"/>
      <c r="U327" s="9"/>
      <c r="V327" s="9"/>
      <c r="W327" s="9"/>
      <c r="X327" s="9"/>
      <c r="Y327" s="9"/>
      <c r="Z327" s="298"/>
      <c r="AA327" s="298"/>
    </row>
    <row r="328" spans="1:27" ht="13.5" customHeight="1" x14ac:dyDescent="0.25">
      <c r="A328" s="9"/>
      <c r="B328" s="9"/>
      <c r="C328" s="9"/>
      <c r="D328" s="9"/>
      <c r="E328" s="9"/>
      <c r="F328" s="185"/>
      <c r="G328" s="185"/>
      <c r="H328" s="9"/>
      <c r="I328" s="311"/>
      <c r="J328" s="310"/>
      <c r="K328" s="291"/>
      <c r="L328" s="309"/>
      <c r="M328" s="9"/>
      <c r="N328" s="9"/>
      <c r="O328" s="42"/>
      <c r="P328" s="310"/>
      <c r="Q328" s="293"/>
      <c r="R328" s="291"/>
      <c r="S328" s="294"/>
      <c r="T328" s="295"/>
      <c r="U328" s="9"/>
      <c r="V328" s="9"/>
      <c r="W328" s="9"/>
      <c r="X328" s="9"/>
      <c r="Y328" s="9"/>
      <c r="Z328" s="298"/>
      <c r="AA328" s="298"/>
    </row>
    <row r="329" spans="1:27" ht="13.5" customHeight="1" x14ac:dyDescent="0.25">
      <c r="A329" s="9"/>
      <c r="B329" s="9"/>
      <c r="C329" s="9"/>
      <c r="D329" s="9"/>
      <c r="E329" s="9"/>
      <c r="F329" s="185"/>
      <c r="G329" s="185"/>
      <c r="H329" s="9"/>
      <c r="I329" s="311"/>
      <c r="J329" s="310"/>
      <c r="K329" s="291"/>
      <c r="L329" s="309"/>
      <c r="M329" s="9"/>
      <c r="N329" s="9"/>
      <c r="O329" s="42"/>
      <c r="P329" s="310"/>
      <c r="Q329" s="293"/>
      <c r="R329" s="291"/>
      <c r="S329" s="294"/>
      <c r="T329" s="295"/>
      <c r="U329" s="9"/>
      <c r="V329" s="9"/>
      <c r="W329" s="9"/>
      <c r="X329" s="9"/>
      <c r="Y329" s="9"/>
      <c r="Z329" s="298"/>
      <c r="AA329" s="298"/>
    </row>
    <row r="330" spans="1:27" ht="13.5" customHeight="1" x14ac:dyDescent="0.25">
      <c r="A330" s="9"/>
      <c r="B330" s="9"/>
      <c r="C330" s="9"/>
      <c r="D330" s="9"/>
      <c r="E330" s="9"/>
      <c r="F330" s="185"/>
      <c r="G330" s="185"/>
      <c r="H330" s="9"/>
      <c r="I330" s="311"/>
      <c r="J330" s="310"/>
      <c r="K330" s="291"/>
      <c r="L330" s="309"/>
      <c r="M330" s="9"/>
      <c r="N330" s="9"/>
      <c r="O330" s="42"/>
      <c r="P330" s="310"/>
      <c r="Q330" s="293"/>
      <c r="R330" s="291"/>
      <c r="S330" s="294"/>
      <c r="T330" s="295"/>
      <c r="U330" s="9"/>
      <c r="V330" s="9"/>
      <c r="W330" s="9"/>
      <c r="X330" s="9"/>
      <c r="Y330" s="9"/>
      <c r="Z330" s="298"/>
      <c r="AA330" s="298"/>
    </row>
    <row r="331" spans="1:27" ht="13.5" customHeight="1" x14ac:dyDescent="0.25">
      <c r="A331" s="9"/>
      <c r="B331" s="9"/>
      <c r="C331" s="9"/>
      <c r="D331" s="9"/>
      <c r="E331" s="9"/>
      <c r="F331" s="185"/>
      <c r="G331" s="185"/>
      <c r="H331" s="9"/>
      <c r="I331" s="311"/>
      <c r="J331" s="310"/>
      <c r="K331" s="291"/>
      <c r="L331" s="309"/>
      <c r="M331" s="9"/>
      <c r="N331" s="9"/>
      <c r="O331" s="42"/>
      <c r="P331" s="310"/>
      <c r="Q331" s="293"/>
      <c r="R331" s="291"/>
      <c r="S331" s="294"/>
      <c r="T331" s="295"/>
      <c r="U331" s="9"/>
      <c r="V331" s="9"/>
      <c r="W331" s="9"/>
      <c r="X331" s="9"/>
      <c r="Y331" s="9"/>
      <c r="Z331" s="298"/>
      <c r="AA331" s="298"/>
    </row>
    <row r="332" spans="1:27" ht="13.5" customHeight="1" x14ac:dyDescent="0.25">
      <c r="A332" s="9"/>
      <c r="B332" s="9"/>
      <c r="C332" s="9"/>
      <c r="D332" s="9"/>
      <c r="E332" s="9"/>
      <c r="F332" s="185"/>
      <c r="G332" s="185"/>
      <c r="H332" s="9"/>
      <c r="I332" s="311"/>
      <c r="J332" s="310"/>
      <c r="K332" s="291"/>
      <c r="L332" s="309"/>
      <c r="M332" s="9"/>
      <c r="N332" s="9"/>
      <c r="O332" s="42"/>
      <c r="P332" s="310"/>
      <c r="Q332" s="293"/>
      <c r="R332" s="291"/>
      <c r="S332" s="294"/>
      <c r="T332" s="295"/>
      <c r="U332" s="9"/>
      <c r="V332" s="9"/>
      <c r="W332" s="9"/>
      <c r="X332" s="9"/>
      <c r="Y332" s="9"/>
      <c r="Z332" s="298"/>
      <c r="AA332" s="298"/>
    </row>
    <row r="333" spans="1:27" ht="13.5" customHeight="1" x14ac:dyDescent="0.25">
      <c r="A333" s="9"/>
      <c r="B333" s="9"/>
      <c r="C333" s="9"/>
      <c r="D333" s="9"/>
      <c r="E333" s="9"/>
      <c r="F333" s="185"/>
      <c r="G333" s="185"/>
      <c r="H333" s="9"/>
      <c r="I333" s="311"/>
      <c r="J333" s="310"/>
      <c r="K333" s="291"/>
      <c r="L333" s="309"/>
      <c r="M333" s="9"/>
      <c r="N333" s="9"/>
      <c r="O333" s="42"/>
      <c r="P333" s="310"/>
      <c r="Q333" s="293"/>
      <c r="R333" s="291"/>
      <c r="S333" s="294"/>
      <c r="T333" s="295"/>
      <c r="U333" s="9"/>
      <c r="V333" s="9"/>
      <c r="W333" s="9"/>
      <c r="X333" s="9"/>
      <c r="Y333" s="9"/>
      <c r="Z333" s="298"/>
      <c r="AA333" s="298"/>
    </row>
    <row r="334" spans="1:27" ht="13.5" customHeight="1" x14ac:dyDescent="0.25">
      <c r="A334" s="9"/>
      <c r="B334" s="9"/>
      <c r="C334" s="9"/>
      <c r="D334" s="9"/>
      <c r="E334" s="9"/>
      <c r="F334" s="185"/>
      <c r="G334" s="185"/>
      <c r="H334" s="9"/>
      <c r="I334" s="311"/>
      <c r="J334" s="310"/>
      <c r="K334" s="291"/>
      <c r="L334" s="309"/>
      <c r="M334" s="9"/>
      <c r="N334" s="9"/>
      <c r="O334" s="42"/>
      <c r="P334" s="310"/>
      <c r="Q334" s="293"/>
      <c r="R334" s="291"/>
      <c r="S334" s="294"/>
      <c r="T334" s="295"/>
      <c r="U334" s="9"/>
      <c r="V334" s="9"/>
      <c r="W334" s="9"/>
      <c r="X334" s="9"/>
      <c r="Y334" s="9"/>
      <c r="Z334" s="298"/>
      <c r="AA334" s="298"/>
    </row>
    <row r="335" spans="1:27" ht="13.5" customHeight="1" x14ac:dyDescent="0.25">
      <c r="A335" s="9"/>
      <c r="B335" s="9"/>
      <c r="C335" s="9"/>
      <c r="D335" s="9"/>
      <c r="E335" s="9"/>
      <c r="F335" s="185"/>
      <c r="G335" s="185"/>
      <c r="H335" s="9"/>
      <c r="I335" s="311"/>
      <c r="J335" s="310"/>
      <c r="K335" s="291"/>
      <c r="L335" s="309"/>
      <c r="M335" s="9"/>
      <c r="N335" s="9"/>
      <c r="O335" s="42"/>
      <c r="P335" s="310"/>
      <c r="Q335" s="293"/>
      <c r="R335" s="291"/>
      <c r="S335" s="294"/>
      <c r="T335" s="295"/>
      <c r="U335" s="9"/>
      <c r="V335" s="9"/>
      <c r="W335" s="9"/>
      <c r="X335" s="9"/>
      <c r="Y335" s="9"/>
      <c r="Z335" s="298"/>
      <c r="AA335" s="298"/>
    </row>
    <row r="336" spans="1:27" ht="13.5" customHeight="1" x14ac:dyDescent="0.25">
      <c r="A336" s="9"/>
      <c r="B336" s="9"/>
      <c r="C336" s="9"/>
      <c r="D336" s="9"/>
      <c r="E336" s="9"/>
      <c r="F336" s="185"/>
      <c r="G336" s="185"/>
      <c r="H336" s="9"/>
      <c r="I336" s="311"/>
      <c r="J336" s="310"/>
      <c r="K336" s="291"/>
      <c r="L336" s="309"/>
      <c r="M336" s="9"/>
      <c r="N336" s="9"/>
      <c r="O336" s="42"/>
      <c r="P336" s="310"/>
      <c r="Q336" s="293"/>
      <c r="R336" s="291"/>
      <c r="S336" s="294"/>
      <c r="T336" s="295"/>
      <c r="U336" s="9"/>
      <c r="V336" s="9"/>
      <c r="W336" s="9"/>
      <c r="X336" s="9"/>
      <c r="Y336" s="9"/>
      <c r="Z336" s="298"/>
      <c r="AA336" s="298"/>
    </row>
    <row r="337" spans="1:27" ht="13.5" customHeight="1" x14ac:dyDescent="0.25">
      <c r="A337" s="9"/>
      <c r="B337" s="9"/>
      <c r="C337" s="9"/>
      <c r="D337" s="9"/>
      <c r="E337" s="9"/>
      <c r="F337" s="185"/>
      <c r="G337" s="185"/>
      <c r="H337" s="9"/>
      <c r="I337" s="311"/>
      <c r="J337" s="310"/>
      <c r="K337" s="291"/>
      <c r="L337" s="309"/>
      <c r="M337" s="9"/>
      <c r="N337" s="9"/>
      <c r="O337" s="42"/>
      <c r="P337" s="310"/>
      <c r="Q337" s="293"/>
      <c r="R337" s="291"/>
      <c r="S337" s="294"/>
      <c r="T337" s="295"/>
      <c r="U337" s="9"/>
      <c r="V337" s="9"/>
      <c r="W337" s="9"/>
      <c r="X337" s="9"/>
      <c r="Y337" s="9"/>
      <c r="Z337" s="298"/>
      <c r="AA337" s="298"/>
    </row>
    <row r="338" spans="1:27" ht="13.5" customHeight="1" x14ac:dyDescent="0.25">
      <c r="A338" s="9"/>
      <c r="B338" s="9"/>
      <c r="C338" s="9"/>
      <c r="D338" s="9"/>
      <c r="E338" s="9"/>
      <c r="F338" s="185"/>
      <c r="G338" s="185"/>
      <c r="H338" s="9"/>
      <c r="I338" s="311"/>
      <c r="J338" s="310"/>
      <c r="K338" s="291"/>
      <c r="L338" s="309"/>
      <c r="M338" s="9"/>
      <c r="N338" s="9"/>
      <c r="O338" s="42"/>
      <c r="P338" s="310"/>
      <c r="Q338" s="293"/>
      <c r="R338" s="291"/>
      <c r="S338" s="294"/>
      <c r="T338" s="295"/>
      <c r="U338" s="9"/>
      <c r="V338" s="9"/>
      <c r="W338" s="9"/>
      <c r="X338" s="9"/>
      <c r="Y338" s="9"/>
      <c r="Z338" s="298"/>
      <c r="AA338" s="298"/>
    </row>
    <row r="339" spans="1:27" ht="13.5" customHeight="1" x14ac:dyDescent="0.25">
      <c r="A339" s="9"/>
      <c r="B339" s="9"/>
      <c r="C339" s="9"/>
      <c r="D339" s="9"/>
      <c r="E339" s="9"/>
      <c r="F339" s="185"/>
      <c r="G339" s="185"/>
      <c r="H339" s="9"/>
      <c r="I339" s="311"/>
      <c r="J339" s="310"/>
      <c r="K339" s="291"/>
      <c r="L339" s="309"/>
      <c r="M339" s="9"/>
      <c r="N339" s="9"/>
      <c r="O339" s="42"/>
      <c r="P339" s="310"/>
      <c r="Q339" s="293"/>
      <c r="R339" s="291"/>
      <c r="S339" s="294"/>
      <c r="T339" s="295"/>
      <c r="U339" s="9"/>
      <c r="V339" s="9"/>
      <c r="W339" s="9"/>
      <c r="X339" s="9"/>
      <c r="Y339" s="9"/>
      <c r="Z339" s="298"/>
      <c r="AA339" s="298"/>
    </row>
    <row r="340" spans="1:27" ht="13.5" customHeight="1" x14ac:dyDescent="0.25">
      <c r="A340" s="9"/>
      <c r="B340" s="9"/>
      <c r="C340" s="9"/>
      <c r="D340" s="9"/>
      <c r="E340" s="9"/>
      <c r="F340" s="185"/>
      <c r="G340" s="185"/>
      <c r="H340" s="9"/>
      <c r="I340" s="311"/>
      <c r="J340" s="310"/>
      <c r="K340" s="291"/>
      <c r="L340" s="309"/>
      <c r="M340" s="9"/>
      <c r="N340" s="9"/>
      <c r="O340" s="42"/>
      <c r="P340" s="310"/>
      <c r="Q340" s="293"/>
      <c r="R340" s="291"/>
      <c r="S340" s="294"/>
      <c r="T340" s="295"/>
      <c r="U340" s="9"/>
      <c r="V340" s="9"/>
      <c r="W340" s="9"/>
      <c r="X340" s="9"/>
      <c r="Y340" s="9"/>
      <c r="Z340" s="298"/>
      <c r="AA340" s="298"/>
    </row>
    <row r="341" spans="1:27" ht="13.5" customHeight="1" x14ac:dyDescent="0.25">
      <c r="A341" s="9"/>
      <c r="B341" s="9"/>
      <c r="C341" s="9"/>
      <c r="D341" s="9"/>
      <c r="E341" s="9"/>
      <c r="F341" s="185"/>
      <c r="G341" s="185"/>
      <c r="H341" s="9"/>
      <c r="I341" s="311"/>
      <c r="J341" s="310"/>
      <c r="K341" s="291"/>
      <c r="L341" s="309"/>
      <c r="M341" s="9"/>
      <c r="N341" s="9"/>
      <c r="O341" s="42"/>
      <c r="P341" s="310"/>
      <c r="Q341" s="293"/>
      <c r="R341" s="291"/>
      <c r="S341" s="294"/>
      <c r="T341" s="295"/>
      <c r="U341" s="9"/>
      <c r="V341" s="9"/>
      <c r="W341" s="9"/>
      <c r="X341" s="9"/>
      <c r="Y341" s="9"/>
      <c r="Z341" s="298"/>
      <c r="AA341" s="298"/>
    </row>
    <row r="342" spans="1:27" ht="13.5" customHeight="1" x14ac:dyDescent="0.25">
      <c r="A342" s="9"/>
      <c r="B342" s="9"/>
      <c r="C342" s="9"/>
      <c r="D342" s="9"/>
      <c r="E342" s="9"/>
      <c r="F342" s="185"/>
      <c r="G342" s="185"/>
      <c r="H342" s="9"/>
      <c r="I342" s="311"/>
      <c r="J342" s="310"/>
      <c r="K342" s="291"/>
      <c r="L342" s="309"/>
      <c r="M342" s="9"/>
      <c r="N342" s="9"/>
      <c r="O342" s="42"/>
      <c r="P342" s="310"/>
      <c r="Q342" s="293"/>
      <c r="R342" s="291"/>
      <c r="S342" s="294"/>
      <c r="T342" s="295"/>
      <c r="U342" s="9"/>
      <c r="V342" s="9"/>
      <c r="W342" s="9"/>
      <c r="X342" s="9"/>
      <c r="Y342" s="9"/>
      <c r="Z342" s="298"/>
      <c r="AA342" s="298"/>
    </row>
    <row r="343" spans="1:27" ht="13.5" customHeight="1" x14ac:dyDescent="0.25">
      <c r="A343" s="9"/>
      <c r="B343" s="9"/>
      <c r="C343" s="9"/>
      <c r="D343" s="9"/>
      <c r="E343" s="9"/>
      <c r="F343" s="185"/>
      <c r="G343" s="185"/>
      <c r="H343" s="9"/>
      <c r="I343" s="311"/>
      <c r="J343" s="310"/>
      <c r="K343" s="291"/>
      <c r="L343" s="309"/>
      <c r="M343" s="9"/>
      <c r="N343" s="9"/>
      <c r="O343" s="42"/>
      <c r="P343" s="310"/>
      <c r="Q343" s="293"/>
      <c r="R343" s="291"/>
      <c r="S343" s="294"/>
      <c r="T343" s="295"/>
      <c r="U343" s="9"/>
      <c r="V343" s="9"/>
      <c r="W343" s="9"/>
      <c r="X343" s="9"/>
      <c r="Y343" s="9"/>
      <c r="Z343" s="298"/>
      <c r="AA343" s="298"/>
    </row>
    <row r="344" spans="1:27" ht="13.5" customHeight="1" x14ac:dyDescent="0.25">
      <c r="A344" s="9"/>
      <c r="B344" s="9"/>
      <c r="C344" s="9"/>
      <c r="D344" s="9"/>
      <c r="E344" s="9"/>
      <c r="F344" s="185"/>
      <c r="G344" s="185"/>
      <c r="H344" s="9"/>
      <c r="I344" s="311"/>
      <c r="J344" s="310"/>
      <c r="K344" s="291"/>
      <c r="L344" s="309"/>
      <c r="M344" s="9"/>
      <c r="N344" s="9"/>
      <c r="O344" s="42"/>
      <c r="P344" s="310"/>
      <c r="Q344" s="293"/>
      <c r="R344" s="291"/>
      <c r="S344" s="294"/>
      <c r="T344" s="295"/>
      <c r="U344" s="9"/>
      <c r="V344" s="9"/>
      <c r="W344" s="9"/>
      <c r="X344" s="9"/>
      <c r="Y344" s="9"/>
      <c r="Z344" s="298"/>
      <c r="AA344" s="298"/>
    </row>
    <row r="345" spans="1:27" ht="13.5" customHeight="1" x14ac:dyDescent="0.25">
      <c r="A345" s="9"/>
      <c r="B345" s="9"/>
      <c r="C345" s="9"/>
      <c r="D345" s="9"/>
      <c r="E345" s="9"/>
      <c r="F345" s="185"/>
      <c r="G345" s="185"/>
      <c r="H345" s="9"/>
      <c r="I345" s="311"/>
      <c r="J345" s="310"/>
      <c r="K345" s="291"/>
      <c r="L345" s="309"/>
      <c r="M345" s="9"/>
      <c r="N345" s="9"/>
      <c r="O345" s="42"/>
      <c r="P345" s="310"/>
      <c r="Q345" s="293"/>
      <c r="R345" s="291"/>
      <c r="S345" s="294"/>
      <c r="T345" s="295"/>
      <c r="U345" s="9"/>
      <c r="V345" s="9"/>
      <c r="W345" s="9"/>
      <c r="X345" s="9"/>
      <c r="Y345" s="9"/>
      <c r="Z345" s="298"/>
      <c r="AA345" s="298"/>
    </row>
    <row r="346" spans="1:27" ht="13.5" customHeight="1" x14ac:dyDescent="0.25">
      <c r="A346" s="9"/>
      <c r="B346" s="9"/>
      <c r="C346" s="9"/>
      <c r="D346" s="9"/>
      <c r="E346" s="9"/>
      <c r="F346" s="185"/>
      <c r="G346" s="185"/>
      <c r="H346" s="9"/>
      <c r="I346" s="311"/>
      <c r="J346" s="310"/>
      <c r="K346" s="291"/>
      <c r="L346" s="309"/>
      <c r="M346" s="9"/>
      <c r="N346" s="9"/>
      <c r="O346" s="42"/>
      <c r="P346" s="310"/>
      <c r="Q346" s="293"/>
      <c r="R346" s="291"/>
      <c r="S346" s="294"/>
      <c r="T346" s="295"/>
      <c r="U346" s="9"/>
      <c r="V346" s="9"/>
      <c r="W346" s="9"/>
      <c r="X346" s="9"/>
      <c r="Y346" s="9"/>
      <c r="Z346" s="298"/>
      <c r="AA346" s="298"/>
    </row>
    <row r="347" spans="1:27" ht="13.5" customHeight="1" x14ac:dyDescent="0.25">
      <c r="A347" s="9"/>
      <c r="B347" s="9"/>
      <c r="C347" s="9"/>
      <c r="D347" s="9"/>
      <c r="E347" s="9"/>
      <c r="F347" s="185"/>
      <c r="G347" s="185"/>
      <c r="H347" s="9"/>
      <c r="I347" s="311"/>
      <c r="J347" s="310"/>
      <c r="K347" s="291"/>
      <c r="L347" s="309"/>
      <c r="M347" s="9"/>
      <c r="N347" s="9"/>
      <c r="O347" s="42"/>
      <c r="P347" s="310"/>
      <c r="Q347" s="293"/>
      <c r="R347" s="291"/>
      <c r="S347" s="294"/>
      <c r="T347" s="295"/>
      <c r="U347" s="9"/>
      <c r="V347" s="9"/>
      <c r="W347" s="9"/>
      <c r="X347" s="9"/>
      <c r="Y347" s="9"/>
      <c r="Z347" s="298"/>
      <c r="AA347" s="298"/>
    </row>
    <row r="348" spans="1:27" ht="13.5" customHeight="1" x14ac:dyDescent="0.25">
      <c r="A348" s="9"/>
      <c r="B348" s="9"/>
      <c r="C348" s="9"/>
      <c r="D348" s="9"/>
      <c r="E348" s="9"/>
      <c r="F348" s="185"/>
      <c r="G348" s="185"/>
      <c r="H348" s="9"/>
      <c r="I348" s="311"/>
      <c r="J348" s="310"/>
      <c r="K348" s="291"/>
      <c r="L348" s="309"/>
      <c r="M348" s="9"/>
      <c r="N348" s="9"/>
      <c r="O348" s="42"/>
      <c r="P348" s="310"/>
      <c r="Q348" s="293"/>
      <c r="R348" s="291"/>
      <c r="S348" s="294"/>
      <c r="T348" s="295"/>
      <c r="U348" s="9"/>
      <c r="V348" s="9"/>
      <c r="W348" s="9"/>
      <c r="X348" s="9"/>
      <c r="Y348" s="9"/>
      <c r="Z348" s="298"/>
      <c r="AA348" s="298"/>
    </row>
    <row r="349" spans="1:27" ht="13.5" customHeight="1" x14ac:dyDescent="0.25">
      <c r="A349" s="9"/>
      <c r="B349" s="9"/>
      <c r="C349" s="9"/>
      <c r="D349" s="9"/>
      <c r="E349" s="9"/>
      <c r="F349" s="185"/>
      <c r="G349" s="185"/>
      <c r="H349" s="9"/>
      <c r="I349" s="311"/>
      <c r="J349" s="310"/>
      <c r="K349" s="291"/>
      <c r="L349" s="309"/>
      <c r="M349" s="9"/>
      <c r="N349" s="9"/>
      <c r="O349" s="42"/>
      <c r="P349" s="310"/>
      <c r="Q349" s="293"/>
      <c r="R349" s="291"/>
      <c r="S349" s="294"/>
      <c r="T349" s="295"/>
      <c r="U349" s="9"/>
      <c r="V349" s="9"/>
      <c r="W349" s="9"/>
      <c r="X349" s="9"/>
      <c r="Y349" s="9"/>
      <c r="Z349" s="298"/>
      <c r="AA349" s="298"/>
    </row>
    <row r="350" spans="1:27" ht="13.5" customHeight="1" x14ac:dyDescent="0.25">
      <c r="A350" s="9"/>
      <c r="B350" s="9"/>
      <c r="C350" s="9"/>
      <c r="D350" s="9"/>
      <c r="E350" s="9"/>
      <c r="F350" s="185"/>
      <c r="G350" s="185"/>
      <c r="H350" s="9"/>
      <c r="I350" s="311"/>
      <c r="J350" s="310"/>
      <c r="K350" s="291"/>
      <c r="L350" s="309"/>
      <c r="M350" s="9"/>
      <c r="N350" s="9"/>
      <c r="O350" s="42"/>
      <c r="P350" s="310"/>
      <c r="Q350" s="293"/>
      <c r="R350" s="291"/>
      <c r="S350" s="294"/>
      <c r="T350" s="295"/>
      <c r="U350" s="9"/>
      <c r="V350" s="9"/>
      <c r="W350" s="9"/>
      <c r="X350" s="9"/>
      <c r="Y350" s="9"/>
      <c r="Z350" s="298"/>
      <c r="AA350" s="298"/>
    </row>
    <row r="351" spans="1:27" ht="13.5" customHeight="1" x14ac:dyDescent="0.25">
      <c r="A351" s="9"/>
      <c r="B351" s="9"/>
      <c r="C351" s="9"/>
      <c r="D351" s="9"/>
      <c r="E351" s="9"/>
      <c r="F351" s="185"/>
      <c r="G351" s="185"/>
      <c r="H351" s="9"/>
      <c r="I351" s="311"/>
      <c r="J351" s="310"/>
      <c r="K351" s="291"/>
      <c r="L351" s="309"/>
      <c r="M351" s="9"/>
      <c r="N351" s="9"/>
      <c r="O351" s="42"/>
      <c r="P351" s="310"/>
      <c r="Q351" s="293"/>
      <c r="R351" s="291"/>
      <c r="S351" s="294"/>
      <c r="T351" s="295"/>
      <c r="U351" s="9"/>
      <c r="V351" s="9"/>
      <c r="W351" s="9"/>
      <c r="X351" s="9"/>
      <c r="Y351" s="9"/>
      <c r="Z351" s="298"/>
      <c r="AA351" s="298"/>
    </row>
    <row r="352" spans="1:27" ht="13.5" customHeight="1" x14ac:dyDescent="0.25">
      <c r="A352" s="9"/>
      <c r="B352" s="9"/>
      <c r="C352" s="9"/>
      <c r="D352" s="9"/>
      <c r="E352" s="9"/>
      <c r="F352" s="185"/>
      <c r="G352" s="185"/>
      <c r="H352" s="9"/>
      <c r="I352" s="311"/>
      <c r="J352" s="310"/>
      <c r="K352" s="291"/>
      <c r="L352" s="309"/>
      <c r="M352" s="9"/>
      <c r="N352" s="9"/>
      <c r="O352" s="42"/>
      <c r="P352" s="310"/>
      <c r="Q352" s="293"/>
      <c r="R352" s="291"/>
      <c r="S352" s="294"/>
      <c r="T352" s="295"/>
      <c r="U352" s="9"/>
      <c r="V352" s="9"/>
      <c r="W352" s="9"/>
      <c r="X352" s="9"/>
      <c r="Y352" s="9"/>
      <c r="Z352" s="298"/>
      <c r="AA352" s="298"/>
    </row>
    <row r="353" spans="1:27" ht="13.5" customHeight="1" x14ac:dyDescent="0.25">
      <c r="A353" s="9"/>
      <c r="B353" s="9"/>
      <c r="C353" s="9"/>
      <c r="D353" s="9"/>
      <c r="E353" s="9"/>
      <c r="F353" s="185"/>
      <c r="G353" s="185"/>
      <c r="H353" s="9"/>
      <c r="I353" s="311"/>
      <c r="J353" s="310"/>
      <c r="K353" s="291"/>
      <c r="L353" s="309"/>
      <c r="M353" s="9"/>
      <c r="N353" s="9"/>
      <c r="O353" s="42"/>
      <c r="P353" s="310"/>
      <c r="Q353" s="293"/>
      <c r="R353" s="291"/>
      <c r="S353" s="294"/>
      <c r="T353" s="295"/>
      <c r="U353" s="9"/>
      <c r="V353" s="9"/>
      <c r="W353" s="9"/>
      <c r="X353" s="9"/>
      <c r="Y353" s="9"/>
      <c r="Z353" s="298"/>
      <c r="AA353" s="298"/>
    </row>
    <row r="354" spans="1:27" ht="13.5" customHeight="1" x14ac:dyDescent="0.25">
      <c r="A354" s="9"/>
      <c r="B354" s="9"/>
      <c r="C354" s="9"/>
      <c r="D354" s="9"/>
      <c r="E354" s="9"/>
      <c r="F354" s="185"/>
      <c r="G354" s="185"/>
      <c r="H354" s="9"/>
      <c r="I354" s="311"/>
      <c r="J354" s="310"/>
      <c r="K354" s="291"/>
      <c r="L354" s="309"/>
      <c r="M354" s="9"/>
      <c r="N354" s="9"/>
      <c r="O354" s="42"/>
      <c r="P354" s="310"/>
      <c r="Q354" s="293"/>
      <c r="R354" s="291"/>
      <c r="S354" s="294"/>
      <c r="T354" s="295"/>
      <c r="U354" s="9"/>
      <c r="V354" s="9"/>
      <c r="W354" s="9"/>
      <c r="X354" s="9"/>
      <c r="Y354" s="9"/>
      <c r="Z354" s="298"/>
      <c r="AA354" s="298"/>
    </row>
    <row r="355" spans="1:27" ht="13.5" customHeight="1" x14ac:dyDescent="0.25">
      <c r="A355" s="9"/>
      <c r="B355" s="9"/>
      <c r="C355" s="9"/>
      <c r="D355" s="9"/>
      <c r="E355" s="9"/>
      <c r="F355" s="185"/>
      <c r="G355" s="185"/>
      <c r="H355" s="9"/>
      <c r="I355" s="311"/>
      <c r="J355" s="310"/>
      <c r="K355" s="291"/>
      <c r="L355" s="309"/>
      <c r="M355" s="9"/>
      <c r="N355" s="9"/>
      <c r="O355" s="42"/>
      <c r="P355" s="310"/>
      <c r="Q355" s="293"/>
      <c r="R355" s="291"/>
      <c r="S355" s="294"/>
      <c r="T355" s="295"/>
      <c r="U355" s="9"/>
      <c r="V355" s="9"/>
      <c r="W355" s="9"/>
      <c r="X355" s="9"/>
      <c r="Y355" s="9"/>
      <c r="Z355" s="298"/>
      <c r="AA355" s="298"/>
    </row>
    <row r="356" spans="1:27" ht="13.5" customHeight="1" x14ac:dyDescent="0.25">
      <c r="A356" s="9"/>
      <c r="B356" s="9"/>
      <c r="C356" s="9"/>
      <c r="D356" s="9"/>
      <c r="E356" s="9"/>
      <c r="F356" s="185"/>
      <c r="G356" s="185"/>
      <c r="H356" s="9"/>
      <c r="I356" s="311"/>
      <c r="J356" s="310"/>
      <c r="K356" s="291"/>
      <c r="L356" s="309"/>
      <c r="M356" s="9"/>
      <c r="N356" s="9"/>
      <c r="O356" s="42"/>
      <c r="P356" s="310"/>
      <c r="Q356" s="293"/>
      <c r="R356" s="291"/>
      <c r="S356" s="294"/>
      <c r="T356" s="295"/>
      <c r="U356" s="9"/>
      <c r="V356" s="9"/>
      <c r="W356" s="9"/>
      <c r="X356" s="9"/>
      <c r="Y356" s="9"/>
      <c r="Z356" s="298"/>
      <c r="AA356" s="298"/>
    </row>
    <row r="357" spans="1:27" ht="13.5" customHeight="1" x14ac:dyDescent="0.25">
      <c r="A357" s="9"/>
      <c r="B357" s="9"/>
      <c r="C357" s="9"/>
      <c r="D357" s="9"/>
      <c r="E357" s="9"/>
      <c r="F357" s="185"/>
      <c r="G357" s="185"/>
      <c r="H357" s="9"/>
      <c r="I357" s="311"/>
      <c r="J357" s="310"/>
      <c r="K357" s="291"/>
      <c r="L357" s="309"/>
      <c r="M357" s="9"/>
      <c r="N357" s="9"/>
      <c r="O357" s="42"/>
      <c r="P357" s="310"/>
      <c r="Q357" s="293"/>
      <c r="R357" s="291"/>
      <c r="S357" s="294"/>
      <c r="T357" s="295"/>
      <c r="U357" s="9"/>
      <c r="V357" s="9"/>
      <c r="W357" s="9"/>
      <c r="X357" s="9"/>
      <c r="Y357" s="9"/>
      <c r="Z357" s="298"/>
      <c r="AA357" s="298"/>
    </row>
    <row r="358" spans="1:27" ht="13.5" customHeight="1" x14ac:dyDescent="0.25">
      <c r="A358" s="9"/>
      <c r="B358" s="9"/>
      <c r="C358" s="9"/>
      <c r="D358" s="9"/>
      <c r="E358" s="9"/>
      <c r="F358" s="185"/>
      <c r="G358" s="185"/>
      <c r="H358" s="9"/>
      <c r="I358" s="311"/>
      <c r="J358" s="310"/>
      <c r="K358" s="291"/>
      <c r="L358" s="309"/>
      <c r="M358" s="9"/>
      <c r="N358" s="9"/>
      <c r="O358" s="42"/>
      <c r="P358" s="310"/>
      <c r="Q358" s="293"/>
      <c r="R358" s="291"/>
      <c r="S358" s="294"/>
      <c r="T358" s="295"/>
      <c r="U358" s="9"/>
      <c r="V358" s="9"/>
      <c r="W358" s="9"/>
      <c r="X358" s="9"/>
      <c r="Y358" s="9"/>
      <c r="Z358" s="298"/>
      <c r="AA358" s="298"/>
    </row>
    <row r="359" spans="1:27" ht="13.5" customHeight="1" x14ac:dyDescent="0.25">
      <c r="A359" s="9"/>
      <c r="B359" s="9"/>
      <c r="C359" s="9"/>
      <c r="D359" s="9"/>
      <c r="E359" s="9"/>
      <c r="F359" s="185"/>
      <c r="G359" s="185"/>
      <c r="H359" s="9"/>
      <c r="I359" s="311"/>
      <c r="J359" s="310"/>
      <c r="K359" s="291"/>
      <c r="L359" s="309"/>
      <c r="M359" s="9"/>
      <c r="N359" s="9"/>
      <c r="O359" s="42"/>
      <c r="P359" s="310"/>
      <c r="Q359" s="293"/>
      <c r="R359" s="291"/>
      <c r="S359" s="294"/>
      <c r="T359" s="295"/>
      <c r="U359" s="9"/>
      <c r="V359" s="9"/>
      <c r="W359" s="9"/>
      <c r="X359" s="9"/>
      <c r="Y359" s="9"/>
      <c r="Z359" s="298"/>
      <c r="AA359" s="298"/>
    </row>
    <row r="360" spans="1:27" ht="13.5" customHeight="1" x14ac:dyDescent="0.25">
      <c r="A360" s="9"/>
      <c r="B360" s="9"/>
      <c r="C360" s="9"/>
      <c r="D360" s="9"/>
      <c r="E360" s="9"/>
      <c r="F360" s="185"/>
      <c r="G360" s="185"/>
      <c r="H360" s="9"/>
      <c r="I360" s="311"/>
      <c r="J360" s="310"/>
      <c r="K360" s="291"/>
      <c r="L360" s="309"/>
      <c r="M360" s="9"/>
      <c r="N360" s="9"/>
      <c r="O360" s="42"/>
      <c r="P360" s="310"/>
      <c r="Q360" s="293"/>
      <c r="R360" s="291"/>
      <c r="S360" s="294"/>
      <c r="T360" s="295"/>
      <c r="U360" s="9"/>
      <c r="V360" s="9"/>
      <c r="W360" s="9"/>
      <c r="X360" s="9"/>
      <c r="Y360" s="9"/>
      <c r="Z360" s="298"/>
      <c r="AA360" s="298"/>
    </row>
    <row r="361" spans="1:27" ht="13.5" customHeight="1" x14ac:dyDescent="0.25">
      <c r="A361" s="9"/>
      <c r="B361" s="9"/>
      <c r="C361" s="9"/>
      <c r="D361" s="9"/>
      <c r="E361" s="9"/>
      <c r="F361" s="185"/>
      <c r="G361" s="185"/>
      <c r="H361" s="9"/>
      <c r="I361" s="311"/>
      <c r="J361" s="310"/>
      <c r="K361" s="291"/>
      <c r="L361" s="309"/>
      <c r="M361" s="9"/>
      <c r="N361" s="9"/>
      <c r="O361" s="42"/>
      <c r="P361" s="310"/>
      <c r="Q361" s="293"/>
      <c r="R361" s="291"/>
      <c r="S361" s="294"/>
      <c r="T361" s="295"/>
      <c r="U361" s="9"/>
      <c r="V361" s="9"/>
      <c r="W361" s="9"/>
      <c r="X361" s="9"/>
      <c r="Y361" s="9"/>
      <c r="Z361" s="298"/>
      <c r="AA361" s="298"/>
    </row>
    <row r="362" spans="1:27" ht="13.5" customHeight="1" x14ac:dyDescent="0.25">
      <c r="A362" s="9"/>
      <c r="B362" s="9"/>
      <c r="C362" s="9"/>
      <c r="D362" s="9"/>
      <c r="E362" s="9"/>
      <c r="F362" s="185"/>
      <c r="G362" s="185"/>
      <c r="H362" s="9"/>
      <c r="I362" s="311"/>
      <c r="J362" s="310"/>
      <c r="K362" s="291"/>
      <c r="L362" s="309"/>
      <c r="M362" s="9"/>
      <c r="N362" s="9"/>
      <c r="O362" s="42"/>
      <c r="P362" s="310"/>
      <c r="Q362" s="293"/>
      <c r="R362" s="291"/>
      <c r="S362" s="294"/>
      <c r="T362" s="295"/>
      <c r="U362" s="9"/>
      <c r="V362" s="9"/>
      <c r="W362" s="9"/>
      <c r="X362" s="9"/>
      <c r="Y362" s="9"/>
      <c r="Z362" s="298"/>
      <c r="AA362" s="298"/>
    </row>
    <row r="363" spans="1:27" ht="13.5" customHeight="1" x14ac:dyDescent="0.25">
      <c r="A363" s="9"/>
      <c r="B363" s="9"/>
      <c r="C363" s="9"/>
      <c r="D363" s="9"/>
      <c r="E363" s="9"/>
      <c r="F363" s="185"/>
      <c r="G363" s="185"/>
      <c r="H363" s="9"/>
      <c r="I363" s="311"/>
      <c r="J363" s="310"/>
      <c r="K363" s="291"/>
      <c r="L363" s="309"/>
      <c r="M363" s="9"/>
      <c r="N363" s="9"/>
      <c r="O363" s="42"/>
      <c r="P363" s="310"/>
      <c r="Q363" s="293"/>
      <c r="R363" s="291"/>
      <c r="S363" s="294"/>
      <c r="T363" s="295"/>
      <c r="U363" s="9"/>
      <c r="V363" s="9"/>
      <c r="W363" s="9"/>
      <c r="X363" s="9"/>
      <c r="Y363" s="9"/>
      <c r="Z363" s="298"/>
      <c r="AA363" s="298"/>
    </row>
    <row r="364" spans="1:27" ht="13.5" customHeight="1" x14ac:dyDescent="0.25">
      <c r="A364" s="9"/>
      <c r="B364" s="9"/>
      <c r="C364" s="9"/>
      <c r="D364" s="9"/>
      <c r="E364" s="9"/>
      <c r="F364" s="185"/>
      <c r="G364" s="185"/>
      <c r="H364" s="9"/>
      <c r="I364" s="311"/>
      <c r="J364" s="310"/>
      <c r="K364" s="291"/>
      <c r="L364" s="309"/>
      <c r="M364" s="9"/>
      <c r="N364" s="9"/>
      <c r="O364" s="42"/>
      <c r="P364" s="310"/>
      <c r="Q364" s="293"/>
      <c r="R364" s="291"/>
      <c r="S364" s="294"/>
      <c r="T364" s="295"/>
      <c r="U364" s="9"/>
      <c r="V364" s="9"/>
      <c r="W364" s="9"/>
      <c r="X364" s="9"/>
      <c r="Y364" s="9"/>
      <c r="Z364" s="298"/>
      <c r="AA364" s="298"/>
    </row>
    <row r="365" spans="1:27" ht="13.5" customHeight="1" x14ac:dyDescent="0.25">
      <c r="A365" s="9"/>
      <c r="B365" s="9"/>
      <c r="C365" s="9"/>
      <c r="D365" s="9"/>
      <c r="E365" s="9"/>
      <c r="F365" s="185"/>
      <c r="G365" s="185"/>
      <c r="H365" s="9"/>
      <c r="I365" s="311"/>
      <c r="J365" s="310"/>
      <c r="K365" s="291"/>
      <c r="L365" s="309"/>
      <c r="M365" s="9"/>
      <c r="N365" s="9"/>
      <c r="O365" s="42"/>
      <c r="P365" s="310"/>
      <c r="Q365" s="293"/>
      <c r="R365" s="291"/>
      <c r="S365" s="294"/>
      <c r="T365" s="295"/>
      <c r="U365" s="9"/>
      <c r="V365" s="9"/>
      <c r="W365" s="9"/>
      <c r="X365" s="9"/>
      <c r="Y365" s="9"/>
      <c r="Z365" s="298"/>
      <c r="AA365" s="298"/>
    </row>
    <row r="366" spans="1:27" ht="13.5" customHeight="1" x14ac:dyDescent="0.25">
      <c r="A366" s="9"/>
      <c r="B366" s="9"/>
      <c r="C366" s="9"/>
      <c r="D366" s="9"/>
      <c r="E366" s="9"/>
      <c r="F366" s="185"/>
      <c r="G366" s="185"/>
      <c r="H366" s="9"/>
      <c r="I366" s="311"/>
      <c r="J366" s="310"/>
      <c r="K366" s="291"/>
      <c r="L366" s="309"/>
      <c r="M366" s="9"/>
      <c r="N366" s="9"/>
      <c r="O366" s="42"/>
      <c r="P366" s="310"/>
      <c r="Q366" s="293"/>
      <c r="R366" s="291"/>
      <c r="S366" s="294"/>
      <c r="T366" s="295"/>
      <c r="U366" s="9"/>
      <c r="V366" s="9"/>
      <c r="W366" s="9"/>
      <c r="X366" s="9"/>
      <c r="Y366" s="9"/>
      <c r="Z366" s="298"/>
      <c r="AA366" s="298"/>
    </row>
    <row r="367" spans="1:27" ht="13.5" customHeight="1" x14ac:dyDescent="0.25">
      <c r="A367" s="9"/>
      <c r="B367" s="9"/>
      <c r="C367" s="9"/>
      <c r="D367" s="9"/>
      <c r="E367" s="9"/>
      <c r="F367" s="185"/>
      <c r="G367" s="185"/>
      <c r="H367" s="9"/>
      <c r="I367" s="311"/>
      <c r="J367" s="310"/>
      <c r="K367" s="291"/>
      <c r="L367" s="309"/>
      <c r="M367" s="9"/>
      <c r="N367" s="9"/>
      <c r="O367" s="42"/>
      <c r="P367" s="310"/>
      <c r="Q367" s="293"/>
      <c r="R367" s="291"/>
      <c r="S367" s="294"/>
      <c r="T367" s="295"/>
      <c r="U367" s="9"/>
      <c r="V367" s="9"/>
      <c r="W367" s="9"/>
      <c r="X367" s="9"/>
      <c r="Y367" s="9"/>
      <c r="Z367" s="298"/>
      <c r="AA367" s="298"/>
    </row>
    <row r="368" spans="1:27" ht="13.5" customHeight="1" x14ac:dyDescent="0.25">
      <c r="A368" s="9"/>
      <c r="B368" s="9"/>
      <c r="C368" s="9"/>
      <c r="D368" s="9"/>
      <c r="E368" s="9"/>
      <c r="F368" s="185"/>
      <c r="G368" s="185"/>
      <c r="H368" s="9"/>
      <c r="I368" s="311"/>
      <c r="J368" s="310"/>
      <c r="K368" s="291"/>
      <c r="L368" s="309"/>
      <c r="M368" s="9"/>
      <c r="N368" s="9"/>
      <c r="O368" s="42"/>
      <c r="P368" s="310"/>
      <c r="Q368" s="293"/>
      <c r="R368" s="291"/>
      <c r="S368" s="294"/>
      <c r="T368" s="295"/>
      <c r="U368" s="9"/>
      <c r="V368" s="9"/>
      <c r="W368" s="9"/>
      <c r="X368" s="9"/>
      <c r="Y368" s="9"/>
      <c r="Z368" s="298"/>
      <c r="AA368" s="298"/>
    </row>
    <row r="369" spans="1:27" ht="13.5" customHeight="1" x14ac:dyDescent="0.25">
      <c r="A369" s="9"/>
      <c r="B369" s="9"/>
      <c r="C369" s="9"/>
      <c r="D369" s="9"/>
      <c r="E369" s="9"/>
      <c r="F369" s="185"/>
      <c r="G369" s="185"/>
      <c r="H369" s="9"/>
      <c r="I369" s="311"/>
      <c r="J369" s="310"/>
      <c r="K369" s="291"/>
      <c r="L369" s="309"/>
      <c r="M369" s="9"/>
      <c r="N369" s="9"/>
      <c r="O369" s="42"/>
      <c r="P369" s="310"/>
      <c r="Q369" s="293"/>
      <c r="R369" s="291"/>
      <c r="S369" s="294"/>
      <c r="T369" s="295"/>
      <c r="U369" s="9"/>
      <c r="V369" s="9"/>
      <c r="W369" s="9"/>
      <c r="X369" s="9"/>
      <c r="Y369" s="9"/>
      <c r="Z369" s="298"/>
      <c r="AA369" s="298"/>
    </row>
    <row r="370" spans="1:27" ht="13.5" customHeight="1" x14ac:dyDescent="0.25">
      <c r="A370" s="9"/>
      <c r="B370" s="9"/>
      <c r="C370" s="9"/>
      <c r="D370" s="9"/>
      <c r="E370" s="9"/>
      <c r="F370" s="185"/>
      <c r="G370" s="185"/>
      <c r="H370" s="9"/>
      <c r="I370" s="311"/>
      <c r="J370" s="310"/>
      <c r="K370" s="291"/>
      <c r="L370" s="309"/>
      <c r="M370" s="9"/>
      <c r="N370" s="9"/>
      <c r="O370" s="42"/>
      <c r="P370" s="310"/>
      <c r="Q370" s="293"/>
      <c r="R370" s="291"/>
      <c r="S370" s="294"/>
      <c r="T370" s="295"/>
      <c r="U370" s="9"/>
      <c r="V370" s="9"/>
      <c r="W370" s="9"/>
      <c r="X370" s="9"/>
      <c r="Y370" s="9"/>
      <c r="Z370" s="298"/>
      <c r="AA370" s="298"/>
    </row>
    <row r="371" spans="1:27" ht="13.5" customHeight="1" x14ac:dyDescent="0.25">
      <c r="A371" s="9"/>
      <c r="B371" s="9"/>
      <c r="C371" s="9"/>
      <c r="D371" s="9"/>
      <c r="E371" s="9"/>
      <c r="F371" s="185"/>
      <c r="G371" s="185"/>
      <c r="H371" s="9"/>
      <c r="I371" s="311"/>
      <c r="J371" s="310"/>
      <c r="K371" s="291"/>
      <c r="L371" s="309"/>
      <c r="M371" s="9"/>
      <c r="N371" s="9"/>
      <c r="O371" s="42"/>
      <c r="P371" s="310"/>
      <c r="Q371" s="293"/>
      <c r="R371" s="291"/>
      <c r="S371" s="294"/>
      <c r="T371" s="295"/>
      <c r="U371" s="9"/>
      <c r="V371" s="9"/>
      <c r="W371" s="9"/>
      <c r="X371" s="9"/>
      <c r="Y371" s="9"/>
      <c r="Z371" s="298"/>
      <c r="AA371" s="298"/>
    </row>
    <row r="372" spans="1:27" ht="13.5" customHeight="1" x14ac:dyDescent="0.25">
      <c r="A372" s="9"/>
      <c r="B372" s="9"/>
      <c r="C372" s="9"/>
      <c r="D372" s="9"/>
      <c r="E372" s="9"/>
      <c r="F372" s="185"/>
      <c r="G372" s="185"/>
      <c r="H372" s="9"/>
      <c r="I372" s="311"/>
      <c r="J372" s="310"/>
      <c r="K372" s="291"/>
      <c r="L372" s="309"/>
      <c r="M372" s="9"/>
      <c r="N372" s="9"/>
      <c r="O372" s="42"/>
      <c r="P372" s="310"/>
      <c r="Q372" s="293"/>
      <c r="R372" s="291"/>
      <c r="S372" s="294"/>
      <c r="T372" s="295"/>
      <c r="U372" s="9"/>
      <c r="V372" s="9"/>
      <c r="W372" s="9"/>
      <c r="X372" s="9"/>
      <c r="Y372" s="9"/>
      <c r="Z372" s="298"/>
      <c r="AA372" s="298"/>
    </row>
    <row r="373" spans="1:27" ht="13.5" customHeight="1" x14ac:dyDescent="0.25">
      <c r="A373" s="9"/>
      <c r="B373" s="9"/>
      <c r="C373" s="9"/>
      <c r="D373" s="9"/>
      <c r="E373" s="9"/>
      <c r="F373" s="185"/>
      <c r="G373" s="185"/>
      <c r="H373" s="9"/>
      <c r="I373" s="311"/>
      <c r="J373" s="310"/>
      <c r="K373" s="291"/>
      <c r="L373" s="309"/>
      <c r="M373" s="9"/>
      <c r="N373" s="9"/>
      <c r="O373" s="42"/>
      <c r="P373" s="310"/>
      <c r="Q373" s="293"/>
      <c r="R373" s="291"/>
      <c r="S373" s="294"/>
      <c r="T373" s="295"/>
      <c r="U373" s="9"/>
      <c r="V373" s="9"/>
      <c r="W373" s="9"/>
      <c r="X373" s="9"/>
      <c r="Y373" s="9"/>
      <c r="Z373" s="298"/>
      <c r="AA373" s="298"/>
    </row>
    <row r="374" spans="1:27" ht="13.5" customHeight="1" x14ac:dyDescent="0.25">
      <c r="A374" s="9"/>
      <c r="B374" s="9"/>
      <c r="C374" s="9"/>
      <c r="D374" s="9"/>
      <c r="E374" s="9"/>
      <c r="F374" s="185"/>
      <c r="G374" s="185"/>
      <c r="H374" s="9"/>
      <c r="I374" s="311"/>
      <c r="J374" s="310"/>
      <c r="K374" s="291"/>
      <c r="L374" s="309"/>
      <c r="M374" s="9"/>
      <c r="N374" s="9"/>
      <c r="O374" s="42"/>
      <c r="P374" s="310"/>
      <c r="Q374" s="293"/>
      <c r="R374" s="291"/>
      <c r="S374" s="294"/>
      <c r="T374" s="295"/>
      <c r="U374" s="9"/>
      <c r="V374" s="9"/>
      <c r="W374" s="9"/>
      <c r="X374" s="9"/>
      <c r="Y374" s="9"/>
      <c r="Z374" s="298"/>
      <c r="AA374" s="298"/>
    </row>
    <row r="375" spans="1:27" ht="13.5" customHeight="1" x14ac:dyDescent="0.25">
      <c r="A375" s="9"/>
      <c r="B375" s="9"/>
      <c r="C375" s="9"/>
      <c r="D375" s="9"/>
      <c r="E375" s="9"/>
      <c r="F375" s="185"/>
      <c r="G375" s="185"/>
      <c r="H375" s="9"/>
      <c r="I375" s="311"/>
      <c r="J375" s="310"/>
      <c r="K375" s="291"/>
      <c r="L375" s="309"/>
      <c r="M375" s="9"/>
      <c r="N375" s="9"/>
      <c r="O375" s="42"/>
      <c r="P375" s="310"/>
      <c r="Q375" s="293"/>
      <c r="R375" s="291"/>
      <c r="S375" s="294"/>
      <c r="T375" s="295"/>
      <c r="U375" s="9"/>
      <c r="V375" s="9"/>
      <c r="W375" s="9"/>
      <c r="X375" s="9"/>
      <c r="Y375" s="9"/>
      <c r="Z375" s="298"/>
      <c r="AA375" s="298"/>
    </row>
    <row r="376" spans="1:27" ht="13.5" customHeight="1" x14ac:dyDescent="0.25">
      <c r="A376" s="9"/>
      <c r="B376" s="9"/>
      <c r="C376" s="9"/>
      <c r="D376" s="9"/>
      <c r="E376" s="9"/>
      <c r="F376" s="185"/>
      <c r="G376" s="185"/>
      <c r="H376" s="9"/>
      <c r="I376" s="311"/>
      <c r="J376" s="310"/>
      <c r="K376" s="291"/>
      <c r="L376" s="309"/>
      <c r="M376" s="9"/>
      <c r="N376" s="9"/>
      <c r="O376" s="42"/>
      <c r="P376" s="310"/>
      <c r="Q376" s="293"/>
      <c r="R376" s="291"/>
      <c r="S376" s="294"/>
      <c r="T376" s="295"/>
      <c r="U376" s="9"/>
      <c r="V376" s="9"/>
      <c r="W376" s="9"/>
      <c r="X376" s="9"/>
      <c r="Y376" s="9"/>
      <c r="Z376" s="298"/>
      <c r="AA376" s="298"/>
    </row>
    <row r="377" spans="1:27" ht="13.5" customHeight="1" x14ac:dyDescent="0.25">
      <c r="A377" s="9"/>
      <c r="B377" s="9"/>
      <c r="C377" s="9"/>
      <c r="D377" s="9"/>
      <c r="E377" s="9"/>
      <c r="F377" s="185"/>
      <c r="G377" s="185"/>
      <c r="H377" s="9"/>
      <c r="I377" s="311"/>
      <c r="J377" s="310"/>
      <c r="K377" s="291"/>
      <c r="L377" s="309"/>
      <c r="M377" s="9"/>
      <c r="N377" s="9"/>
      <c r="O377" s="42"/>
      <c r="P377" s="310"/>
      <c r="Q377" s="293"/>
      <c r="R377" s="291"/>
      <c r="S377" s="294"/>
      <c r="T377" s="295"/>
      <c r="U377" s="9"/>
      <c r="V377" s="9"/>
      <c r="W377" s="9"/>
      <c r="X377" s="9"/>
      <c r="Y377" s="9"/>
      <c r="Z377" s="298"/>
      <c r="AA377" s="298"/>
    </row>
    <row r="378" spans="1:27" ht="13.5" customHeight="1" x14ac:dyDescent="0.25">
      <c r="A378" s="9"/>
      <c r="B378" s="9"/>
      <c r="C378" s="9"/>
      <c r="D378" s="9"/>
      <c r="E378" s="9"/>
      <c r="F378" s="185"/>
      <c r="G378" s="185"/>
      <c r="H378" s="9"/>
      <c r="I378" s="311"/>
      <c r="J378" s="310"/>
      <c r="K378" s="291"/>
      <c r="L378" s="309"/>
      <c r="M378" s="9"/>
      <c r="N378" s="9"/>
      <c r="O378" s="42"/>
      <c r="P378" s="310"/>
      <c r="Q378" s="293"/>
      <c r="R378" s="291"/>
      <c r="S378" s="294"/>
      <c r="T378" s="295"/>
      <c r="U378" s="9"/>
      <c r="V378" s="9"/>
      <c r="W378" s="9"/>
      <c r="X378" s="9"/>
      <c r="Y378" s="9"/>
      <c r="Z378" s="298"/>
      <c r="AA378" s="298"/>
    </row>
    <row r="379" spans="1:27" ht="13.5" customHeight="1" x14ac:dyDescent="0.25">
      <c r="A379" s="9"/>
      <c r="B379" s="9"/>
      <c r="C379" s="9"/>
      <c r="D379" s="9"/>
      <c r="E379" s="9"/>
      <c r="F379" s="185"/>
      <c r="G379" s="185"/>
      <c r="H379" s="9"/>
      <c r="I379" s="311"/>
      <c r="J379" s="310"/>
      <c r="K379" s="291"/>
      <c r="L379" s="309"/>
      <c r="M379" s="9"/>
      <c r="N379" s="9"/>
      <c r="O379" s="42"/>
      <c r="P379" s="310"/>
      <c r="Q379" s="293"/>
      <c r="R379" s="291"/>
      <c r="S379" s="294"/>
      <c r="T379" s="295"/>
      <c r="U379" s="9"/>
      <c r="V379" s="9"/>
      <c r="W379" s="9"/>
      <c r="X379" s="9"/>
      <c r="Y379" s="9"/>
      <c r="Z379" s="298"/>
      <c r="AA379" s="298"/>
    </row>
    <row r="380" spans="1:27" ht="13.5" customHeight="1" x14ac:dyDescent="0.25">
      <c r="A380" s="9"/>
      <c r="B380" s="9"/>
      <c r="C380" s="9"/>
      <c r="D380" s="9"/>
      <c r="E380" s="9"/>
      <c r="F380" s="185"/>
      <c r="G380" s="185"/>
      <c r="H380" s="9"/>
      <c r="I380" s="311"/>
      <c r="J380" s="310"/>
      <c r="K380" s="291"/>
      <c r="L380" s="309"/>
      <c r="M380" s="9"/>
      <c r="N380" s="9"/>
      <c r="O380" s="42"/>
      <c r="P380" s="310"/>
      <c r="Q380" s="293"/>
      <c r="R380" s="291"/>
      <c r="S380" s="294"/>
      <c r="T380" s="295"/>
      <c r="U380" s="9"/>
      <c r="V380" s="9"/>
      <c r="W380" s="9"/>
      <c r="X380" s="9"/>
      <c r="Y380" s="9"/>
      <c r="Z380" s="298"/>
      <c r="AA380" s="298"/>
    </row>
    <row r="381" spans="1:27" ht="13.5" customHeight="1" x14ac:dyDescent="0.25">
      <c r="A381" s="9"/>
      <c r="B381" s="9"/>
      <c r="C381" s="9"/>
      <c r="D381" s="9"/>
      <c r="E381" s="9"/>
      <c r="F381" s="185"/>
      <c r="G381" s="185"/>
      <c r="H381" s="9"/>
      <c r="I381" s="311"/>
      <c r="J381" s="310"/>
      <c r="K381" s="291"/>
      <c r="L381" s="309"/>
      <c r="M381" s="9"/>
      <c r="N381" s="9"/>
      <c r="O381" s="42"/>
      <c r="P381" s="310"/>
      <c r="Q381" s="293"/>
      <c r="R381" s="291"/>
      <c r="S381" s="294"/>
      <c r="T381" s="295"/>
      <c r="U381" s="9"/>
      <c r="V381" s="9"/>
      <c r="W381" s="9"/>
      <c r="X381" s="9"/>
      <c r="Y381" s="9"/>
      <c r="Z381" s="298"/>
      <c r="AA381" s="298"/>
    </row>
    <row r="382" spans="1:27" ht="13.5" customHeight="1" x14ac:dyDescent="0.25">
      <c r="A382" s="9"/>
      <c r="B382" s="9"/>
      <c r="C382" s="9"/>
      <c r="D382" s="9"/>
      <c r="E382" s="9"/>
      <c r="F382" s="185"/>
      <c r="G382" s="185"/>
      <c r="H382" s="9"/>
      <c r="I382" s="311"/>
      <c r="J382" s="310"/>
      <c r="K382" s="291"/>
      <c r="L382" s="309"/>
      <c r="M382" s="9"/>
      <c r="N382" s="9"/>
      <c r="O382" s="42"/>
      <c r="P382" s="310"/>
      <c r="Q382" s="293"/>
      <c r="R382" s="291"/>
      <c r="S382" s="294"/>
      <c r="T382" s="295"/>
      <c r="U382" s="9"/>
      <c r="V382" s="9"/>
      <c r="W382" s="9"/>
      <c r="X382" s="9"/>
      <c r="Y382" s="9"/>
      <c r="Z382" s="298"/>
      <c r="AA382" s="298"/>
    </row>
    <row r="383" spans="1:27" ht="13.5" customHeight="1" x14ac:dyDescent="0.25">
      <c r="A383" s="9"/>
      <c r="B383" s="9"/>
      <c r="C383" s="9"/>
      <c r="D383" s="9"/>
      <c r="E383" s="9"/>
      <c r="F383" s="185"/>
      <c r="G383" s="185"/>
      <c r="H383" s="9"/>
      <c r="I383" s="311"/>
      <c r="J383" s="310"/>
      <c r="K383" s="291"/>
      <c r="L383" s="309"/>
      <c r="M383" s="9"/>
      <c r="N383" s="9"/>
      <c r="O383" s="42"/>
      <c r="P383" s="310"/>
      <c r="Q383" s="293"/>
      <c r="R383" s="291"/>
      <c r="S383" s="294"/>
      <c r="T383" s="295"/>
      <c r="U383" s="9"/>
      <c r="V383" s="9"/>
      <c r="W383" s="9"/>
      <c r="X383" s="9"/>
      <c r="Y383" s="9"/>
      <c r="Z383" s="298"/>
      <c r="AA383" s="298"/>
    </row>
    <row r="384" spans="1:27" ht="13.5" customHeight="1" x14ac:dyDescent="0.25">
      <c r="A384" s="9"/>
      <c r="B384" s="9"/>
      <c r="C384" s="9"/>
      <c r="D384" s="9"/>
      <c r="E384" s="9"/>
      <c r="F384" s="185"/>
      <c r="G384" s="185"/>
      <c r="H384" s="9"/>
      <c r="I384" s="311"/>
      <c r="J384" s="310"/>
      <c r="K384" s="291"/>
      <c r="L384" s="309"/>
      <c r="M384" s="9"/>
      <c r="N384" s="9"/>
      <c r="O384" s="42"/>
      <c r="P384" s="310"/>
      <c r="Q384" s="293"/>
      <c r="R384" s="291"/>
      <c r="S384" s="294"/>
      <c r="T384" s="295"/>
      <c r="U384" s="9"/>
      <c r="V384" s="9"/>
      <c r="W384" s="9"/>
      <c r="X384" s="9"/>
      <c r="Y384" s="9"/>
      <c r="Z384" s="298"/>
      <c r="AA384" s="298"/>
    </row>
    <row r="385" spans="1:27" ht="13.5" customHeight="1" x14ac:dyDescent="0.25">
      <c r="A385" s="9"/>
      <c r="B385" s="9"/>
      <c r="C385" s="9"/>
      <c r="D385" s="9"/>
      <c r="E385" s="9"/>
      <c r="F385" s="185"/>
      <c r="G385" s="185"/>
      <c r="H385" s="9"/>
      <c r="I385" s="311"/>
      <c r="J385" s="310"/>
      <c r="K385" s="291"/>
      <c r="L385" s="309"/>
      <c r="M385" s="9"/>
      <c r="N385" s="9"/>
      <c r="O385" s="42"/>
      <c r="P385" s="310"/>
      <c r="Q385" s="293"/>
      <c r="R385" s="291"/>
      <c r="S385" s="294"/>
      <c r="T385" s="295"/>
      <c r="U385" s="9"/>
      <c r="V385" s="9"/>
      <c r="W385" s="9"/>
      <c r="X385" s="9"/>
      <c r="Y385" s="9"/>
      <c r="Z385" s="298"/>
      <c r="AA385" s="298"/>
    </row>
    <row r="386" spans="1:27" ht="13.5" customHeight="1" x14ac:dyDescent="0.25">
      <c r="A386" s="9"/>
      <c r="B386" s="9"/>
      <c r="C386" s="9"/>
      <c r="D386" s="9"/>
      <c r="E386" s="9"/>
      <c r="F386" s="185"/>
      <c r="G386" s="185"/>
      <c r="H386" s="9"/>
      <c r="I386" s="311"/>
      <c r="J386" s="310"/>
      <c r="K386" s="291"/>
      <c r="L386" s="309"/>
      <c r="M386" s="9"/>
      <c r="N386" s="9"/>
      <c r="O386" s="42"/>
      <c r="P386" s="310"/>
      <c r="Q386" s="293"/>
      <c r="R386" s="291"/>
      <c r="S386" s="294"/>
      <c r="T386" s="295"/>
      <c r="U386" s="9"/>
      <c r="V386" s="9"/>
      <c r="W386" s="9"/>
      <c r="X386" s="9"/>
      <c r="Y386" s="9"/>
      <c r="Z386" s="298"/>
      <c r="AA386" s="298"/>
    </row>
    <row r="387" spans="1:27" ht="13.5" customHeight="1" x14ac:dyDescent="0.25">
      <c r="A387" s="9"/>
      <c r="B387" s="9"/>
      <c r="C387" s="9"/>
      <c r="D387" s="9"/>
      <c r="E387" s="9"/>
      <c r="F387" s="185"/>
      <c r="G387" s="185"/>
      <c r="H387" s="9"/>
      <c r="I387" s="311"/>
      <c r="J387" s="310"/>
      <c r="K387" s="291"/>
      <c r="L387" s="309"/>
      <c r="M387" s="9"/>
      <c r="N387" s="9"/>
      <c r="O387" s="42"/>
      <c r="P387" s="310"/>
      <c r="Q387" s="293"/>
      <c r="R387" s="291"/>
      <c r="S387" s="294"/>
      <c r="T387" s="295"/>
      <c r="U387" s="9"/>
      <c r="V387" s="9"/>
      <c r="W387" s="9"/>
      <c r="X387" s="9"/>
      <c r="Y387" s="9"/>
      <c r="Z387" s="298"/>
      <c r="AA387" s="298"/>
    </row>
    <row r="388" spans="1:27" ht="13.5" customHeight="1" x14ac:dyDescent="0.25">
      <c r="A388" s="9"/>
      <c r="B388" s="9"/>
      <c r="C388" s="9"/>
      <c r="D388" s="9"/>
      <c r="E388" s="9"/>
      <c r="F388" s="185"/>
      <c r="G388" s="185"/>
      <c r="H388" s="9"/>
      <c r="I388" s="311"/>
      <c r="J388" s="310"/>
      <c r="K388" s="291"/>
      <c r="L388" s="309"/>
      <c r="M388" s="9"/>
      <c r="N388" s="9"/>
      <c r="O388" s="42"/>
      <c r="P388" s="310"/>
      <c r="Q388" s="293"/>
      <c r="R388" s="291"/>
      <c r="S388" s="294"/>
      <c r="T388" s="295"/>
      <c r="U388" s="9"/>
      <c r="V388" s="9"/>
      <c r="W388" s="9"/>
      <c r="X388" s="9"/>
      <c r="Y388" s="9"/>
      <c r="Z388" s="298"/>
      <c r="AA388" s="298"/>
    </row>
    <row r="389" spans="1:27" ht="13.5" customHeight="1" x14ac:dyDescent="0.25">
      <c r="A389" s="9"/>
      <c r="B389" s="9"/>
      <c r="C389" s="9"/>
      <c r="D389" s="9"/>
      <c r="E389" s="9"/>
      <c r="F389" s="185"/>
      <c r="G389" s="185"/>
      <c r="H389" s="9"/>
      <c r="I389" s="311"/>
      <c r="J389" s="310"/>
      <c r="K389" s="291"/>
      <c r="L389" s="309"/>
      <c r="M389" s="9"/>
      <c r="N389" s="9"/>
      <c r="O389" s="42"/>
      <c r="P389" s="310"/>
      <c r="Q389" s="293"/>
      <c r="R389" s="291"/>
      <c r="S389" s="294"/>
      <c r="T389" s="295"/>
      <c r="U389" s="9"/>
      <c r="V389" s="9"/>
      <c r="W389" s="9"/>
      <c r="X389" s="9"/>
      <c r="Y389" s="9"/>
      <c r="Z389" s="298"/>
      <c r="AA389" s="298"/>
    </row>
    <row r="390" spans="1:27" ht="13.5" customHeight="1" x14ac:dyDescent="0.25">
      <c r="A390" s="9"/>
      <c r="B390" s="9"/>
      <c r="C390" s="9"/>
      <c r="D390" s="9"/>
      <c r="E390" s="9"/>
      <c r="F390" s="185"/>
      <c r="G390" s="185"/>
      <c r="H390" s="9"/>
      <c r="I390" s="311"/>
      <c r="J390" s="310"/>
      <c r="K390" s="291"/>
      <c r="L390" s="309"/>
      <c r="M390" s="9"/>
      <c r="N390" s="9"/>
      <c r="O390" s="42"/>
      <c r="P390" s="310"/>
      <c r="Q390" s="293"/>
      <c r="R390" s="291"/>
      <c r="S390" s="294"/>
      <c r="T390" s="295"/>
      <c r="U390" s="9"/>
      <c r="V390" s="9"/>
      <c r="W390" s="9"/>
      <c r="X390" s="9"/>
      <c r="Y390" s="9"/>
      <c r="Z390" s="298"/>
      <c r="AA390" s="298"/>
    </row>
    <row r="391" spans="1:27" ht="13.5" customHeight="1" x14ac:dyDescent="0.25">
      <c r="A391" s="9"/>
      <c r="B391" s="9"/>
      <c r="C391" s="9"/>
      <c r="D391" s="9"/>
      <c r="E391" s="9"/>
      <c r="F391" s="185"/>
      <c r="G391" s="185"/>
      <c r="H391" s="9"/>
      <c r="I391" s="311"/>
      <c r="J391" s="310"/>
      <c r="K391" s="291"/>
      <c r="L391" s="309"/>
      <c r="M391" s="9"/>
      <c r="N391" s="9"/>
      <c r="O391" s="42"/>
      <c r="P391" s="310"/>
      <c r="Q391" s="293"/>
      <c r="R391" s="291"/>
      <c r="S391" s="294"/>
      <c r="T391" s="295"/>
      <c r="U391" s="9"/>
      <c r="V391" s="9"/>
      <c r="W391" s="9"/>
      <c r="X391" s="9"/>
      <c r="Y391" s="9"/>
      <c r="Z391" s="298"/>
      <c r="AA391" s="298"/>
    </row>
    <row r="392" spans="1:27" ht="13.5" customHeight="1" x14ac:dyDescent="0.25">
      <c r="A392" s="9"/>
      <c r="B392" s="9"/>
      <c r="C392" s="9"/>
      <c r="D392" s="9"/>
      <c r="E392" s="9"/>
      <c r="F392" s="185"/>
      <c r="G392" s="185"/>
      <c r="H392" s="9"/>
      <c r="I392" s="311"/>
      <c r="J392" s="310"/>
      <c r="K392" s="291"/>
      <c r="L392" s="309"/>
      <c r="M392" s="9"/>
      <c r="N392" s="9"/>
      <c r="O392" s="42"/>
      <c r="P392" s="310"/>
      <c r="Q392" s="293"/>
      <c r="R392" s="291"/>
      <c r="S392" s="294"/>
      <c r="T392" s="295"/>
      <c r="U392" s="9"/>
      <c r="V392" s="9"/>
      <c r="W392" s="9"/>
      <c r="X392" s="9"/>
      <c r="Y392" s="9"/>
      <c r="Z392" s="298"/>
      <c r="AA392" s="298"/>
    </row>
    <row r="393" spans="1:27" ht="13.5" customHeight="1" x14ac:dyDescent="0.25">
      <c r="A393" s="9"/>
      <c r="B393" s="9"/>
      <c r="C393" s="9"/>
      <c r="D393" s="9"/>
      <c r="E393" s="9"/>
      <c r="F393" s="185"/>
      <c r="G393" s="185"/>
      <c r="H393" s="9"/>
      <c r="I393" s="311"/>
      <c r="J393" s="310"/>
      <c r="K393" s="291"/>
      <c r="L393" s="309"/>
      <c r="M393" s="9"/>
      <c r="N393" s="9"/>
      <c r="O393" s="42"/>
      <c r="P393" s="310"/>
      <c r="Q393" s="293"/>
      <c r="R393" s="291"/>
      <c r="S393" s="294"/>
      <c r="T393" s="295"/>
      <c r="U393" s="9"/>
      <c r="V393" s="9"/>
      <c r="W393" s="9"/>
      <c r="X393" s="9"/>
      <c r="Y393" s="9"/>
      <c r="Z393" s="298"/>
      <c r="AA393" s="298"/>
    </row>
    <row r="394" spans="1:27" ht="13.5" customHeight="1" x14ac:dyDescent="0.25">
      <c r="A394" s="9"/>
      <c r="B394" s="9"/>
      <c r="C394" s="9"/>
      <c r="D394" s="9"/>
      <c r="E394" s="9"/>
      <c r="F394" s="185"/>
      <c r="G394" s="185"/>
      <c r="H394" s="9"/>
      <c r="I394" s="311"/>
      <c r="J394" s="310"/>
      <c r="K394" s="291"/>
      <c r="L394" s="309"/>
      <c r="M394" s="9"/>
      <c r="N394" s="9"/>
      <c r="O394" s="42"/>
      <c r="P394" s="310"/>
      <c r="Q394" s="293"/>
      <c r="R394" s="291"/>
      <c r="S394" s="294"/>
      <c r="T394" s="295"/>
      <c r="U394" s="9"/>
      <c r="V394" s="9"/>
      <c r="W394" s="9"/>
      <c r="X394" s="9"/>
      <c r="Y394" s="9"/>
      <c r="Z394" s="298"/>
      <c r="AA394" s="298"/>
    </row>
    <row r="395" spans="1:27" ht="13.5" customHeight="1" x14ac:dyDescent="0.25">
      <c r="A395" s="9"/>
      <c r="B395" s="9"/>
      <c r="C395" s="9"/>
      <c r="D395" s="9"/>
      <c r="E395" s="9"/>
      <c r="F395" s="185"/>
      <c r="G395" s="185"/>
      <c r="H395" s="9"/>
      <c r="I395" s="311"/>
      <c r="J395" s="310"/>
      <c r="K395" s="291"/>
      <c r="L395" s="309"/>
      <c r="M395" s="9"/>
      <c r="N395" s="9"/>
      <c r="O395" s="42"/>
      <c r="P395" s="310"/>
      <c r="Q395" s="293"/>
      <c r="R395" s="291"/>
      <c r="S395" s="294"/>
      <c r="T395" s="295"/>
      <c r="U395" s="9"/>
      <c r="V395" s="9"/>
      <c r="W395" s="9"/>
      <c r="X395" s="9"/>
      <c r="Y395" s="9"/>
      <c r="Z395" s="298"/>
      <c r="AA395" s="298"/>
    </row>
    <row r="396" spans="1:27" ht="13.5" customHeight="1" x14ac:dyDescent="0.25">
      <c r="A396" s="9"/>
      <c r="B396" s="9"/>
      <c r="C396" s="9"/>
      <c r="D396" s="9"/>
      <c r="E396" s="9"/>
      <c r="F396" s="185"/>
      <c r="G396" s="185"/>
      <c r="H396" s="9"/>
      <c r="I396" s="311"/>
      <c r="J396" s="310"/>
      <c r="K396" s="291"/>
      <c r="L396" s="309"/>
      <c r="M396" s="9"/>
      <c r="N396" s="9"/>
      <c r="O396" s="42"/>
      <c r="P396" s="310"/>
      <c r="Q396" s="293"/>
      <c r="R396" s="291"/>
      <c r="S396" s="294"/>
      <c r="T396" s="295"/>
      <c r="U396" s="9"/>
      <c r="V396" s="9"/>
      <c r="W396" s="9"/>
      <c r="X396" s="9"/>
      <c r="Y396" s="9"/>
      <c r="Z396" s="298"/>
      <c r="AA396" s="298"/>
    </row>
    <row r="397" spans="1:27" ht="13.5" customHeight="1" x14ac:dyDescent="0.25">
      <c r="A397" s="9"/>
      <c r="B397" s="9"/>
      <c r="C397" s="9"/>
      <c r="D397" s="9"/>
      <c r="E397" s="9"/>
      <c r="F397" s="185"/>
      <c r="G397" s="185"/>
      <c r="H397" s="9"/>
      <c r="I397" s="311"/>
      <c r="J397" s="310"/>
      <c r="K397" s="291"/>
      <c r="L397" s="309"/>
      <c r="M397" s="9"/>
      <c r="N397" s="9"/>
      <c r="O397" s="42"/>
      <c r="P397" s="310"/>
      <c r="Q397" s="293"/>
      <c r="R397" s="291"/>
      <c r="S397" s="294"/>
      <c r="T397" s="295"/>
      <c r="U397" s="9"/>
      <c r="V397" s="9"/>
      <c r="W397" s="9"/>
      <c r="X397" s="9"/>
      <c r="Y397" s="9"/>
      <c r="Z397" s="298"/>
      <c r="AA397" s="298"/>
    </row>
    <row r="398" spans="1:27" ht="13.5" customHeight="1" x14ac:dyDescent="0.25">
      <c r="A398" s="9"/>
      <c r="B398" s="9"/>
      <c r="C398" s="9"/>
      <c r="D398" s="9"/>
      <c r="E398" s="9"/>
      <c r="F398" s="185"/>
      <c r="G398" s="185"/>
      <c r="H398" s="9"/>
      <c r="I398" s="311"/>
      <c r="J398" s="310"/>
      <c r="K398" s="291"/>
      <c r="L398" s="309"/>
      <c r="M398" s="9"/>
      <c r="N398" s="9"/>
      <c r="O398" s="42"/>
      <c r="P398" s="310"/>
      <c r="Q398" s="293"/>
      <c r="R398" s="291"/>
      <c r="S398" s="294"/>
      <c r="T398" s="295"/>
      <c r="U398" s="9"/>
      <c r="V398" s="9"/>
      <c r="W398" s="9"/>
      <c r="X398" s="9"/>
      <c r="Y398" s="9"/>
      <c r="Z398" s="298"/>
      <c r="AA398" s="298"/>
    </row>
    <row r="399" spans="1:27" ht="13.5" customHeight="1" x14ac:dyDescent="0.25">
      <c r="A399" s="9"/>
      <c r="B399" s="9"/>
      <c r="C399" s="9"/>
      <c r="D399" s="9"/>
      <c r="E399" s="9"/>
      <c r="F399" s="185"/>
      <c r="G399" s="185"/>
      <c r="H399" s="9"/>
      <c r="I399" s="311"/>
      <c r="J399" s="310"/>
      <c r="K399" s="291"/>
      <c r="L399" s="309"/>
      <c r="M399" s="9"/>
      <c r="N399" s="9"/>
      <c r="O399" s="42"/>
      <c r="P399" s="310"/>
      <c r="Q399" s="293"/>
      <c r="R399" s="291"/>
      <c r="S399" s="294"/>
      <c r="T399" s="295"/>
      <c r="U399" s="9"/>
      <c r="V399" s="9"/>
      <c r="W399" s="9"/>
      <c r="X399" s="9"/>
      <c r="Y399" s="9"/>
      <c r="Z399" s="298"/>
      <c r="AA399" s="298"/>
    </row>
    <row r="400" spans="1:27" ht="13.5" customHeight="1" x14ac:dyDescent="0.25">
      <c r="A400" s="9"/>
      <c r="B400" s="9"/>
      <c r="C400" s="9"/>
      <c r="D400" s="9"/>
      <c r="E400" s="9"/>
      <c r="F400" s="185"/>
      <c r="G400" s="185"/>
      <c r="H400" s="9"/>
      <c r="I400" s="311"/>
      <c r="J400" s="310"/>
      <c r="K400" s="291"/>
      <c r="L400" s="309"/>
      <c r="M400" s="9"/>
      <c r="N400" s="9"/>
      <c r="O400" s="42"/>
      <c r="P400" s="310"/>
      <c r="Q400" s="293"/>
      <c r="R400" s="291"/>
      <c r="S400" s="294"/>
      <c r="T400" s="295"/>
      <c r="U400" s="9"/>
      <c r="V400" s="9"/>
      <c r="W400" s="9"/>
      <c r="X400" s="9"/>
      <c r="Y400" s="9"/>
      <c r="Z400" s="298"/>
      <c r="AA400" s="298"/>
    </row>
    <row r="401" spans="1:27" ht="13.5" customHeight="1" x14ac:dyDescent="0.25">
      <c r="A401" s="9"/>
      <c r="B401" s="9"/>
      <c r="C401" s="9"/>
      <c r="D401" s="9"/>
      <c r="E401" s="9"/>
      <c r="F401" s="185"/>
      <c r="G401" s="185"/>
      <c r="H401" s="9"/>
      <c r="I401" s="311"/>
      <c r="J401" s="310"/>
      <c r="K401" s="291"/>
      <c r="L401" s="309"/>
      <c r="M401" s="9"/>
      <c r="N401" s="9"/>
      <c r="O401" s="42"/>
      <c r="P401" s="310"/>
      <c r="Q401" s="293"/>
      <c r="R401" s="291"/>
      <c r="S401" s="294"/>
      <c r="T401" s="295"/>
      <c r="U401" s="9"/>
      <c r="V401" s="9"/>
      <c r="W401" s="9"/>
      <c r="X401" s="9"/>
      <c r="Y401" s="9"/>
      <c r="Z401" s="298"/>
      <c r="AA401" s="298"/>
    </row>
    <row r="402" spans="1:27" ht="13.5" customHeight="1" x14ac:dyDescent="0.25">
      <c r="A402" s="9"/>
      <c r="B402" s="9"/>
      <c r="C402" s="9"/>
      <c r="D402" s="9"/>
      <c r="E402" s="9"/>
      <c r="F402" s="185"/>
      <c r="G402" s="185"/>
      <c r="H402" s="9"/>
      <c r="I402" s="311"/>
      <c r="J402" s="310"/>
      <c r="K402" s="291"/>
      <c r="L402" s="309"/>
      <c r="M402" s="9"/>
      <c r="N402" s="9"/>
      <c r="O402" s="42"/>
      <c r="P402" s="310"/>
      <c r="Q402" s="293"/>
      <c r="R402" s="291"/>
      <c r="S402" s="294"/>
      <c r="T402" s="295"/>
      <c r="U402" s="9"/>
      <c r="V402" s="9"/>
      <c r="W402" s="9"/>
      <c r="X402" s="9"/>
      <c r="Y402" s="9"/>
      <c r="Z402" s="298"/>
      <c r="AA402" s="298"/>
    </row>
    <row r="403" spans="1:27" ht="13.5" customHeight="1" x14ac:dyDescent="0.25">
      <c r="A403" s="9"/>
      <c r="B403" s="9"/>
      <c r="C403" s="9"/>
      <c r="D403" s="9"/>
      <c r="E403" s="9"/>
      <c r="F403" s="185"/>
      <c r="G403" s="185"/>
      <c r="H403" s="9"/>
      <c r="I403" s="311"/>
      <c r="J403" s="310"/>
      <c r="K403" s="291"/>
      <c r="L403" s="309"/>
      <c r="M403" s="9"/>
      <c r="N403" s="9"/>
      <c r="O403" s="42"/>
      <c r="P403" s="310"/>
      <c r="Q403" s="293"/>
      <c r="R403" s="291"/>
      <c r="S403" s="294"/>
      <c r="T403" s="295"/>
      <c r="U403" s="9"/>
      <c r="V403" s="9"/>
      <c r="W403" s="9"/>
      <c r="X403" s="9"/>
      <c r="Y403" s="9"/>
      <c r="Z403" s="298"/>
      <c r="AA403" s="298"/>
    </row>
    <row r="404" spans="1:27" ht="13.5" customHeight="1" x14ac:dyDescent="0.25">
      <c r="A404" s="9"/>
      <c r="B404" s="9"/>
      <c r="C404" s="9"/>
      <c r="D404" s="9"/>
      <c r="E404" s="9"/>
      <c r="F404" s="185"/>
      <c r="G404" s="185"/>
      <c r="H404" s="9"/>
      <c r="I404" s="311"/>
      <c r="J404" s="310"/>
      <c r="K404" s="291"/>
      <c r="L404" s="309"/>
      <c r="M404" s="9"/>
      <c r="N404" s="9"/>
      <c r="O404" s="42"/>
      <c r="P404" s="310"/>
      <c r="Q404" s="293"/>
      <c r="R404" s="291"/>
      <c r="S404" s="294"/>
      <c r="T404" s="295"/>
      <c r="U404" s="9"/>
      <c r="V404" s="9"/>
      <c r="W404" s="9"/>
      <c r="X404" s="9"/>
      <c r="Y404" s="9"/>
      <c r="Z404" s="298"/>
      <c r="AA404" s="298"/>
    </row>
    <row r="405" spans="1:27" ht="13.5" customHeight="1" x14ac:dyDescent="0.25">
      <c r="A405" s="9"/>
      <c r="B405" s="9"/>
      <c r="C405" s="9"/>
      <c r="D405" s="9"/>
      <c r="E405" s="9"/>
      <c r="F405" s="185"/>
      <c r="G405" s="185"/>
      <c r="H405" s="9"/>
      <c r="I405" s="311"/>
      <c r="J405" s="310"/>
      <c r="K405" s="291"/>
      <c r="L405" s="309"/>
      <c r="M405" s="9"/>
      <c r="N405" s="9"/>
      <c r="O405" s="42"/>
      <c r="P405" s="310"/>
      <c r="Q405" s="293"/>
      <c r="R405" s="291"/>
      <c r="S405" s="294"/>
      <c r="T405" s="295"/>
      <c r="U405" s="9"/>
      <c r="V405" s="9"/>
      <c r="W405" s="9"/>
      <c r="X405" s="9"/>
      <c r="Y405" s="9"/>
      <c r="Z405" s="298"/>
      <c r="AA405" s="298"/>
    </row>
    <row r="406" spans="1:27" ht="13.5" customHeight="1" x14ac:dyDescent="0.25">
      <c r="A406" s="9"/>
      <c r="B406" s="9"/>
      <c r="C406" s="9"/>
      <c r="D406" s="9"/>
      <c r="E406" s="9"/>
      <c r="F406" s="185"/>
      <c r="G406" s="185"/>
      <c r="H406" s="9"/>
      <c r="I406" s="311"/>
      <c r="J406" s="310"/>
      <c r="K406" s="291"/>
      <c r="L406" s="309"/>
      <c r="M406" s="9"/>
      <c r="N406" s="9"/>
      <c r="O406" s="42"/>
      <c r="P406" s="310"/>
      <c r="Q406" s="293"/>
      <c r="R406" s="291"/>
      <c r="S406" s="294"/>
      <c r="T406" s="295"/>
      <c r="U406" s="9"/>
      <c r="V406" s="9"/>
      <c r="W406" s="9"/>
      <c r="X406" s="9"/>
      <c r="Y406" s="9"/>
      <c r="Z406" s="298"/>
      <c r="AA406" s="298"/>
    </row>
    <row r="407" spans="1:27" ht="13.5" customHeight="1" x14ac:dyDescent="0.25">
      <c r="A407" s="9"/>
      <c r="B407" s="9"/>
      <c r="C407" s="9"/>
      <c r="D407" s="9"/>
      <c r="E407" s="9"/>
      <c r="F407" s="185"/>
      <c r="G407" s="185"/>
      <c r="H407" s="9"/>
      <c r="I407" s="311"/>
      <c r="J407" s="310"/>
      <c r="K407" s="291"/>
      <c r="L407" s="309"/>
      <c r="M407" s="9"/>
      <c r="N407" s="9"/>
      <c r="O407" s="42"/>
      <c r="P407" s="310"/>
      <c r="Q407" s="293"/>
      <c r="R407" s="291"/>
      <c r="S407" s="294"/>
      <c r="T407" s="295"/>
      <c r="U407" s="9"/>
      <c r="V407" s="9"/>
      <c r="W407" s="9"/>
      <c r="X407" s="9"/>
      <c r="Y407" s="9"/>
      <c r="Z407" s="298"/>
      <c r="AA407" s="298"/>
    </row>
    <row r="408" spans="1:27" ht="13.5" customHeight="1" x14ac:dyDescent="0.25">
      <c r="A408" s="9"/>
      <c r="B408" s="9"/>
      <c r="C408" s="9"/>
      <c r="D408" s="9"/>
      <c r="E408" s="9"/>
      <c r="F408" s="185"/>
      <c r="G408" s="185"/>
      <c r="H408" s="9"/>
      <c r="I408" s="311"/>
      <c r="J408" s="310"/>
      <c r="K408" s="291"/>
      <c r="L408" s="309"/>
      <c r="M408" s="9"/>
      <c r="N408" s="9"/>
      <c r="O408" s="42"/>
      <c r="P408" s="310"/>
      <c r="Q408" s="293"/>
      <c r="R408" s="291"/>
      <c r="S408" s="294"/>
      <c r="T408" s="295"/>
      <c r="U408" s="9"/>
      <c r="V408" s="9"/>
      <c r="W408" s="9"/>
      <c r="X408" s="9"/>
      <c r="Y408" s="9"/>
      <c r="Z408" s="298"/>
      <c r="AA408" s="298"/>
    </row>
    <row r="409" spans="1:27" ht="13.5" customHeight="1" x14ac:dyDescent="0.25">
      <c r="A409" s="9"/>
      <c r="B409" s="9"/>
      <c r="C409" s="9"/>
      <c r="D409" s="9"/>
      <c r="E409" s="9"/>
      <c r="F409" s="185"/>
      <c r="G409" s="185"/>
      <c r="H409" s="9"/>
      <c r="I409" s="311"/>
      <c r="J409" s="310"/>
      <c r="K409" s="291"/>
      <c r="L409" s="309"/>
      <c r="M409" s="9"/>
      <c r="N409" s="9"/>
      <c r="O409" s="42"/>
      <c r="P409" s="310"/>
      <c r="Q409" s="293"/>
      <c r="R409" s="291"/>
      <c r="S409" s="294"/>
      <c r="T409" s="295"/>
      <c r="U409" s="9"/>
      <c r="V409" s="9"/>
      <c r="W409" s="9"/>
      <c r="X409" s="9"/>
      <c r="Y409" s="9"/>
      <c r="Z409" s="298"/>
      <c r="AA409" s="298"/>
    </row>
    <row r="410" spans="1:27" ht="13.5" customHeight="1" x14ac:dyDescent="0.25">
      <c r="A410" s="9"/>
      <c r="B410" s="9"/>
      <c r="C410" s="9"/>
      <c r="D410" s="9"/>
      <c r="E410" s="9"/>
      <c r="F410" s="185"/>
      <c r="G410" s="185"/>
      <c r="H410" s="9"/>
      <c r="I410" s="311"/>
      <c r="J410" s="310"/>
      <c r="K410" s="291"/>
      <c r="L410" s="309"/>
      <c r="M410" s="9"/>
      <c r="N410" s="9"/>
      <c r="O410" s="42"/>
      <c r="P410" s="310"/>
      <c r="Q410" s="293"/>
      <c r="R410" s="291"/>
      <c r="S410" s="294"/>
      <c r="T410" s="295"/>
      <c r="U410" s="9"/>
      <c r="V410" s="9"/>
      <c r="W410" s="9"/>
      <c r="X410" s="9"/>
      <c r="Y410" s="9"/>
      <c r="Z410" s="298"/>
      <c r="AA410" s="298"/>
    </row>
    <row r="411" spans="1:27" ht="13.5" customHeight="1" x14ac:dyDescent="0.25">
      <c r="A411" s="9"/>
      <c r="B411" s="9"/>
      <c r="C411" s="9"/>
      <c r="D411" s="9"/>
      <c r="E411" s="9"/>
      <c r="F411" s="185"/>
      <c r="G411" s="185"/>
      <c r="H411" s="9"/>
      <c r="I411" s="311"/>
      <c r="J411" s="310"/>
      <c r="K411" s="291"/>
      <c r="L411" s="309"/>
      <c r="M411" s="9"/>
      <c r="N411" s="9"/>
      <c r="O411" s="42"/>
      <c r="P411" s="310"/>
      <c r="Q411" s="293"/>
      <c r="R411" s="291"/>
      <c r="S411" s="294"/>
      <c r="T411" s="295"/>
      <c r="U411" s="9"/>
      <c r="V411" s="9"/>
      <c r="W411" s="9"/>
      <c r="X411" s="9"/>
      <c r="Y411" s="9"/>
      <c r="Z411" s="298"/>
      <c r="AA411" s="298"/>
    </row>
    <row r="412" spans="1:27" ht="13.5" customHeight="1" x14ac:dyDescent="0.25">
      <c r="A412" s="9"/>
      <c r="B412" s="9"/>
      <c r="C412" s="9"/>
      <c r="D412" s="9"/>
      <c r="E412" s="9"/>
      <c r="F412" s="185"/>
      <c r="G412" s="185"/>
      <c r="H412" s="9"/>
      <c r="I412" s="311"/>
      <c r="J412" s="310"/>
      <c r="K412" s="291"/>
      <c r="L412" s="309"/>
      <c r="M412" s="9"/>
      <c r="N412" s="9"/>
      <c r="O412" s="42"/>
      <c r="P412" s="310"/>
      <c r="Q412" s="293"/>
      <c r="R412" s="291"/>
      <c r="S412" s="294"/>
      <c r="T412" s="295"/>
      <c r="U412" s="9"/>
      <c r="V412" s="9"/>
      <c r="W412" s="9"/>
      <c r="X412" s="9"/>
      <c r="Y412" s="9"/>
      <c r="Z412" s="298"/>
      <c r="AA412" s="298"/>
    </row>
    <row r="413" spans="1:27" ht="13.5" customHeight="1" x14ac:dyDescent="0.25">
      <c r="A413" s="9"/>
      <c r="B413" s="9"/>
      <c r="C413" s="9"/>
      <c r="D413" s="9"/>
      <c r="E413" s="9"/>
      <c r="F413" s="185"/>
      <c r="G413" s="185"/>
      <c r="H413" s="9"/>
      <c r="I413" s="311"/>
      <c r="J413" s="310"/>
      <c r="K413" s="291"/>
      <c r="L413" s="309"/>
      <c r="M413" s="9"/>
      <c r="N413" s="9"/>
      <c r="O413" s="42"/>
      <c r="P413" s="310"/>
      <c r="Q413" s="293"/>
      <c r="R413" s="291"/>
      <c r="S413" s="294"/>
      <c r="T413" s="295"/>
      <c r="U413" s="9"/>
      <c r="V413" s="9"/>
      <c r="W413" s="9"/>
      <c r="X413" s="9"/>
      <c r="Y413" s="9"/>
      <c r="Z413" s="298"/>
      <c r="AA413" s="298"/>
    </row>
    <row r="414" spans="1:27" ht="13.5" customHeight="1" x14ac:dyDescent="0.25">
      <c r="A414" s="9"/>
      <c r="B414" s="9"/>
      <c r="C414" s="9"/>
      <c r="D414" s="9"/>
      <c r="E414" s="9"/>
      <c r="F414" s="185"/>
      <c r="G414" s="185"/>
      <c r="H414" s="9"/>
      <c r="I414" s="311"/>
      <c r="J414" s="310"/>
      <c r="K414" s="291"/>
      <c r="L414" s="309"/>
      <c r="M414" s="9"/>
      <c r="N414" s="9"/>
      <c r="O414" s="42"/>
      <c r="P414" s="310"/>
      <c r="Q414" s="293"/>
      <c r="R414" s="291"/>
      <c r="S414" s="294"/>
      <c r="T414" s="295"/>
      <c r="U414" s="9"/>
      <c r="V414" s="9"/>
      <c r="W414" s="9"/>
      <c r="X414" s="9"/>
      <c r="Y414" s="9"/>
      <c r="Z414" s="298"/>
      <c r="AA414" s="298"/>
    </row>
    <row r="415" spans="1:27" ht="13.5" customHeight="1" x14ac:dyDescent="0.25">
      <c r="A415" s="9"/>
      <c r="B415" s="9"/>
      <c r="C415" s="9"/>
      <c r="D415" s="9"/>
      <c r="E415" s="9"/>
      <c r="F415" s="185"/>
      <c r="G415" s="185"/>
      <c r="H415" s="9"/>
      <c r="I415" s="311"/>
      <c r="J415" s="310"/>
      <c r="K415" s="291"/>
      <c r="L415" s="309"/>
      <c r="M415" s="9"/>
      <c r="N415" s="9"/>
      <c r="O415" s="42"/>
      <c r="P415" s="310"/>
      <c r="Q415" s="293"/>
      <c r="R415" s="291"/>
      <c r="S415" s="294"/>
      <c r="T415" s="295"/>
      <c r="U415" s="9"/>
      <c r="V415" s="9"/>
      <c r="W415" s="9"/>
      <c r="X415" s="9"/>
      <c r="Y415" s="9"/>
      <c r="Z415" s="298"/>
      <c r="AA415" s="298"/>
    </row>
    <row r="416" spans="1:27" ht="13.5" customHeight="1" x14ac:dyDescent="0.25">
      <c r="A416" s="9"/>
      <c r="B416" s="9"/>
      <c r="C416" s="9"/>
      <c r="D416" s="9"/>
      <c r="E416" s="9"/>
      <c r="F416" s="185"/>
      <c r="G416" s="185"/>
      <c r="H416" s="9"/>
      <c r="I416" s="311"/>
      <c r="J416" s="310"/>
      <c r="K416" s="291"/>
      <c r="L416" s="309"/>
      <c r="M416" s="9"/>
      <c r="N416" s="9"/>
      <c r="O416" s="42"/>
      <c r="P416" s="310"/>
      <c r="Q416" s="293"/>
      <c r="R416" s="291"/>
      <c r="S416" s="294"/>
      <c r="T416" s="295"/>
      <c r="U416" s="9"/>
      <c r="V416" s="9"/>
      <c r="W416" s="9"/>
      <c r="X416" s="9"/>
      <c r="Y416" s="9"/>
      <c r="Z416" s="298"/>
      <c r="AA416" s="298"/>
    </row>
    <row r="417" spans="1:27" ht="13.5" customHeight="1" x14ac:dyDescent="0.25">
      <c r="A417" s="9"/>
      <c r="B417" s="9"/>
      <c r="C417" s="9"/>
      <c r="D417" s="9"/>
      <c r="E417" s="9"/>
      <c r="F417" s="185"/>
      <c r="G417" s="185"/>
      <c r="H417" s="9"/>
      <c r="I417" s="311"/>
      <c r="J417" s="310"/>
      <c r="K417" s="291"/>
      <c r="L417" s="309"/>
      <c r="M417" s="9"/>
      <c r="N417" s="9"/>
      <c r="O417" s="42"/>
      <c r="P417" s="310"/>
      <c r="Q417" s="293"/>
      <c r="R417" s="291"/>
      <c r="S417" s="294"/>
      <c r="T417" s="295"/>
      <c r="U417" s="9"/>
      <c r="V417" s="9"/>
      <c r="W417" s="9"/>
      <c r="X417" s="9"/>
      <c r="Y417" s="9"/>
      <c r="Z417" s="298"/>
      <c r="AA417" s="298"/>
    </row>
    <row r="418" spans="1:27" ht="13.5" customHeight="1" x14ac:dyDescent="0.25">
      <c r="A418" s="9"/>
      <c r="B418" s="9"/>
      <c r="C418" s="9"/>
      <c r="D418" s="9"/>
      <c r="E418" s="9"/>
      <c r="F418" s="185"/>
      <c r="G418" s="185"/>
      <c r="H418" s="9"/>
      <c r="I418" s="311"/>
      <c r="J418" s="310"/>
      <c r="K418" s="291"/>
      <c r="L418" s="309"/>
      <c r="M418" s="9"/>
      <c r="N418" s="9"/>
      <c r="O418" s="42"/>
      <c r="P418" s="310"/>
      <c r="Q418" s="293"/>
      <c r="R418" s="291"/>
      <c r="S418" s="294"/>
      <c r="T418" s="295"/>
      <c r="U418" s="9"/>
      <c r="V418" s="9"/>
      <c r="W418" s="9"/>
      <c r="X418" s="9"/>
      <c r="Y418" s="9"/>
      <c r="Z418" s="298"/>
      <c r="AA418" s="298"/>
    </row>
    <row r="419" spans="1:27" ht="13.5" customHeight="1" x14ac:dyDescent="0.25">
      <c r="A419" s="9"/>
      <c r="B419" s="9"/>
      <c r="C419" s="9"/>
      <c r="D419" s="9"/>
      <c r="E419" s="9"/>
      <c r="F419" s="185"/>
      <c r="G419" s="185"/>
      <c r="H419" s="9"/>
      <c r="I419" s="311"/>
      <c r="J419" s="310"/>
      <c r="K419" s="291"/>
      <c r="L419" s="309"/>
      <c r="M419" s="9"/>
      <c r="N419" s="9"/>
      <c r="O419" s="42"/>
      <c r="P419" s="310"/>
      <c r="Q419" s="293"/>
      <c r="R419" s="291"/>
      <c r="S419" s="294"/>
      <c r="T419" s="295"/>
      <c r="U419" s="9"/>
      <c r="V419" s="9"/>
      <c r="W419" s="9"/>
      <c r="X419" s="9"/>
      <c r="Y419" s="9"/>
      <c r="Z419" s="298"/>
      <c r="AA419" s="298"/>
    </row>
    <row r="420" spans="1:27" ht="13.5" customHeight="1" x14ac:dyDescent="0.25">
      <c r="A420" s="9"/>
      <c r="B420" s="9"/>
      <c r="C420" s="9"/>
      <c r="D420" s="9"/>
      <c r="E420" s="9"/>
      <c r="F420" s="185"/>
      <c r="G420" s="185"/>
      <c r="H420" s="9"/>
      <c r="I420" s="311"/>
      <c r="J420" s="310"/>
      <c r="K420" s="291"/>
      <c r="L420" s="309"/>
      <c r="M420" s="9"/>
      <c r="N420" s="9"/>
      <c r="O420" s="42"/>
      <c r="P420" s="310"/>
      <c r="Q420" s="293"/>
      <c r="R420" s="291"/>
      <c r="S420" s="294"/>
      <c r="T420" s="295"/>
      <c r="U420" s="9"/>
      <c r="V420" s="9"/>
      <c r="W420" s="9"/>
      <c r="X420" s="9"/>
      <c r="Y420" s="9"/>
      <c r="Z420" s="298"/>
      <c r="AA420" s="298"/>
    </row>
    <row r="421" spans="1:27" ht="13.5" customHeight="1" x14ac:dyDescent="0.25">
      <c r="A421" s="9"/>
      <c r="B421" s="9"/>
      <c r="C421" s="9"/>
      <c r="D421" s="9"/>
      <c r="E421" s="9"/>
      <c r="F421" s="185"/>
      <c r="G421" s="185"/>
      <c r="H421" s="9"/>
      <c r="I421" s="311"/>
      <c r="J421" s="310"/>
      <c r="K421" s="291"/>
      <c r="L421" s="309"/>
      <c r="M421" s="9"/>
      <c r="N421" s="9"/>
      <c r="O421" s="42"/>
      <c r="P421" s="310"/>
      <c r="Q421" s="293"/>
      <c r="R421" s="291"/>
      <c r="S421" s="294"/>
      <c r="T421" s="295"/>
      <c r="U421" s="9"/>
      <c r="V421" s="9"/>
      <c r="W421" s="9"/>
      <c r="X421" s="9"/>
      <c r="Y421" s="9"/>
      <c r="Z421" s="298"/>
      <c r="AA421" s="298"/>
    </row>
    <row r="422" spans="1:27" ht="13.5" customHeight="1" x14ac:dyDescent="0.25">
      <c r="A422" s="9"/>
      <c r="B422" s="9"/>
      <c r="C422" s="9"/>
      <c r="D422" s="9"/>
      <c r="E422" s="9"/>
      <c r="F422" s="185"/>
      <c r="G422" s="185"/>
      <c r="H422" s="9"/>
      <c r="I422" s="311"/>
      <c r="J422" s="310"/>
      <c r="K422" s="291"/>
      <c r="L422" s="309"/>
      <c r="M422" s="9"/>
      <c r="N422" s="9"/>
      <c r="O422" s="42"/>
      <c r="P422" s="310"/>
      <c r="Q422" s="293"/>
      <c r="R422" s="291"/>
      <c r="S422" s="294"/>
      <c r="T422" s="295"/>
      <c r="U422" s="9"/>
      <c r="V422" s="9"/>
      <c r="W422" s="9"/>
      <c r="X422" s="9"/>
      <c r="Y422" s="9"/>
      <c r="Z422" s="298"/>
      <c r="AA422" s="298"/>
    </row>
    <row r="423" spans="1:27" ht="13.5" customHeight="1" x14ac:dyDescent="0.25">
      <c r="A423" s="9"/>
      <c r="B423" s="9"/>
      <c r="C423" s="9"/>
      <c r="D423" s="9"/>
      <c r="E423" s="9"/>
      <c r="F423" s="185"/>
      <c r="G423" s="185"/>
      <c r="H423" s="9"/>
      <c r="I423" s="311"/>
      <c r="J423" s="310"/>
      <c r="K423" s="291"/>
      <c r="L423" s="309"/>
      <c r="M423" s="9"/>
      <c r="N423" s="9"/>
      <c r="O423" s="42"/>
      <c r="P423" s="310"/>
      <c r="Q423" s="293"/>
      <c r="R423" s="291"/>
      <c r="S423" s="294"/>
      <c r="T423" s="295"/>
      <c r="U423" s="9"/>
      <c r="V423" s="9"/>
      <c r="W423" s="9"/>
      <c r="X423" s="9"/>
      <c r="Y423" s="9"/>
      <c r="Z423" s="298"/>
      <c r="AA423" s="298"/>
    </row>
    <row r="424" spans="1:27" ht="13.5" customHeight="1" x14ac:dyDescent="0.25">
      <c r="A424" s="9"/>
      <c r="B424" s="9"/>
      <c r="C424" s="9"/>
      <c r="D424" s="9"/>
      <c r="E424" s="9"/>
      <c r="F424" s="185"/>
      <c r="G424" s="185"/>
      <c r="H424" s="9"/>
      <c r="I424" s="311"/>
      <c r="J424" s="310"/>
      <c r="K424" s="291"/>
      <c r="L424" s="309"/>
      <c r="M424" s="9"/>
      <c r="N424" s="9"/>
      <c r="O424" s="42"/>
      <c r="P424" s="310"/>
      <c r="Q424" s="293"/>
      <c r="R424" s="291"/>
      <c r="S424" s="294"/>
      <c r="T424" s="295"/>
      <c r="U424" s="9"/>
      <c r="V424" s="9"/>
      <c r="W424" s="9"/>
      <c r="X424" s="9"/>
      <c r="Y424" s="9"/>
      <c r="Z424" s="298"/>
      <c r="AA424" s="298"/>
    </row>
    <row r="425" spans="1:27" ht="13.5" customHeight="1" x14ac:dyDescent="0.25">
      <c r="A425" s="9"/>
      <c r="B425" s="9"/>
      <c r="C425" s="9"/>
      <c r="D425" s="9"/>
      <c r="E425" s="9"/>
      <c r="F425" s="185"/>
      <c r="G425" s="185"/>
      <c r="H425" s="9"/>
      <c r="I425" s="311"/>
      <c r="J425" s="310"/>
      <c r="K425" s="291"/>
      <c r="L425" s="309"/>
      <c r="M425" s="9"/>
      <c r="N425" s="9"/>
      <c r="O425" s="42"/>
      <c r="P425" s="310"/>
      <c r="Q425" s="293"/>
      <c r="R425" s="291"/>
      <c r="S425" s="294"/>
      <c r="T425" s="295"/>
      <c r="U425" s="9"/>
      <c r="V425" s="9"/>
      <c r="W425" s="9"/>
      <c r="X425" s="9"/>
      <c r="Y425" s="9"/>
      <c r="Z425" s="298"/>
      <c r="AA425" s="298"/>
    </row>
    <row r="426" spans="1:27" ht="13.5" customHeight="1" x14ac:dyDescent="0.25">
      <c r="A426" s="9"/>
      <c r="B426" s="9"/>
      <c r="C426" s="9"/>
      <c r="D426" s="9"/>
      <c r="E426" s="9"/>
      <c r="F426" s="185"/>
      <c r="G426" s="185"/>
      <c r="H426" s="9"/>
      <c r="I426" s="311"/>
      <c r="J426" s="310"/>
      <c r="K426" s="291"/>
      <c r="L426" s="309"/>
      <c r="M426" s="9"/>
      <c r="N426" s="9"/>
      <c r="O426" s="42"/>
      <c r="P426" s="310"/>
      <c r="Q426" s="293"/>
      <c r="R426" s="291"/>
      <c r="S426" s="294"/>
      <c r="T426" s="295"/>
      <c r="U426" s="9"/>
      <c r="V426" s="9"/>
      <c r="W426" s="9"/>
      <c r="X426" s="9"/>
      <c r="Y426" s="9"/>
      <c r="Z426" s="298"/>
      <c r="AA426" s="298"/>
    </row>
    <row r="427" spans="1:27" ht="13.5" customHeight="1" x14ac:dyDescent="0.25">
      <c r="A427" s="9"/>
      <c r="B427" s="9"/>
      <c r="C427" s="9"/>
      <c r="D427" s="9"/>
      <c r="E427" s="9"/>
      <c r="F427" s="185"/>
      <c r="G427" s="185"/>
      <c r="H427" s="9"/>
      <c r="I427" s="311"/>
      <c r="J427" s="310"/>
      <c r="K427" s="291"/>
      <c r="L427" s="309"/>
      <c r="M427" s="9"/>
      <c r="N427" s="9"/>
      <c r="O427" s="42"/>
      <c r="P427" s="310"/>
      <c r="Q427" s="293"/>
      <c r="R427" s="291"/>
      <c r="S427" s="294"/>
      <c r="T427" s="295"/>
      <c r="U427" s="9"/>
      <c r="V427" s="9"/>
      <c r="W427" s="9"/>
      <c r="X427" s="9"/>
      <c r="Y427" s="9"/>
      <c r="Z427" s="298"/>
      <c r="AA427" s="298"/>
    </row>
    <row r="428" spans="1:27" ht="13.5" customHeight="1" x14ac:dyDescent="0.25">
      <c r="A428" s="9"/>
      <c r="B428" s="9"/>
      <c r="C428" s="9"/>
      <c r="D428" s="9"/>
      <c r="E428" s="9"/>
      <c r="F428" s="185"/>
      <c r="G428" s="185"/>
      <c r="H428" s="9"/>
      <c r="I428" s="311"/>
      <c r="J428" s="310"/>
      <c r="K428" s="291"/>
      <c r="L428" s="309"/>
      <c r="M428" s="9"/>
      <c r="N428" s="9"/>
      <c r="O428" s="42"/>
      <c r="P428" s="310"/>
      <c r="Q428" s="293"/>
      <c r="R428" s="291"/>
      <c r="S428" s="294"/>
      <c r="T428" s="295"/>
      <c r="U428" s="9"/>
      <c r="V428" s="9"/>
      <c r="W428" s="9"/>
      <c r="X428" s="9"/>
      <c r="Y428" s="9"/>
      <c r="Z428" s="298"/>
      <c r="AA428" s="298"/>
    </row>
    <row r="429" spans="1:27" ht="13.5" customHeight="1" x14ac:dyDescent="0.25">
      <c r="A429" s="9"/>
      <c r="B429" s="9"/>
      <c r="C429" s="9"/>
      <c r="D429" s="9"/>
      <c r="E429" s="9"/>
      <c r="F429" s="185"/>
      <c r="G429" s="185"/>
      <c r="H429" s="9"/>
      <c r="I429" s="311"/>
      <c r="J429" s="310"/>
      <c r="K429" s="291"/>
      <c r="L429" s="309"/>
      <c r="M429" s="9"/>
      <c r="N429" s="9"/>
      <c r="O429" s="42"/>
      <c r="P429" s="310"/>
      <c r="Q429" s="293"/>
      <c r="R429" s="291"/>
      <c r="S429" s="294"/>
      <c r="T429" s="295"/>
      <c r="U429" s="9"/>
      <c r="V429" s="9"/>
      <c r="W429" s="9"/>
      <c r="X429" s="9"/>
      <c r="Y429" s="9"/>
      <c r="Z429" s="298"/>
      <c r="AA429" s="298"/>
    </row>
    <row r="430" spans="1:27" ht="13.5" customHeight="1" x14ac:dyDescent="0.25">
      <c r="A430" s="9"/>
      <c r="B430" s="9"/>
      <c r="C430" s="9"/>
      <c r="D430" s="9"/>
      <c r="E430" s="9"/>
      <c r="F430" s="185"/>
      <c r="G430" s="185"/>
      <c r="H430" s="9"/>
      <c r="I430" s="311"/>
      <c r="J430" s="310"/>
      <c r="K430" s="291"/>
      <c r="L430" s="309"/>
      <c r="M430" s="9"/>
      <c r="N430" s="9"/>
      <c r="O430" s="42"/>
      <c r="P430" s="310"/>
      <c r="Q430" s="293"/>
      <c r="R430" s="291"/>
      <c r="S430" s="294"/>
      <c r="T430" s="295"/>
      <c r="U430" s="9"/>
      <c r="V430" s="9"/>
      <c r="W430" s="9"/>
      <c r="X430" s="9"/>
      <c r="Y430" s="9"/>
      <c r="Z430" s="298"/>
      <c r="AA430" s="298"/>
    </row>
    <row r="431" spans="1:27" ht="13.5" customHeight="1" x14ac:dyDescent="0.25">
      <c r="A431" s="9"/>
      <c r="B431" s="9"/>
      <c r="C431" s="9"/>
      <c r="D431" s="9"/>
      <c r="E431" s="9"/>
      <c r="F431" s="185"/>
      <c r="G431" s="185"/>
      <c r="H431" s="9"/>
      <c r="I431" s="311"/>
      <c r="J431" s="310"/>
      <c r="K431" s="291"/>
      <c r="L431" s="309"/>
      <c r="M431" s="9"/>
      <c r="N431" s="9"/>
      <c r="O431" s="42"/>
      <c r="P431" s="310"/>
      <c r="Q431" s="293"/>
      <c r="R431" s="291"/>
      <c r="S431" s="294"/>
      <c r="T431" s="295"/>
      <c r="U431" s="9"/>
      <c r="V431" s="9"/>
      <c r="W431" s="9"/>
      <c r="X431" s="9"/>
      <c r="Y431" s="9"/>
      <c r="Z431" s="298"/>
      <c r="AA431" s="298"/>
    </row>
    <row r="432" spans="1:27" ht="13.5" customHeight="1" x14ac:dyDescent="0.25">
      <c r="A432" s="9"/>
      <c r="B432" s="9"/>
      <c r="C432" s="9"/>
      <c r="D432" s="9"/>
      <c r="E432" s="9"/>
      <c r="F432" s="185"/>
      <c r="G432" s="185"/>
      <c r="H432" s="9"/>
      <c r="I432" s="311"/>
      <c r="J432" s="310"/>
      <c r="K432" s="291"/>
      <c r="L432" s="309"/>
      <c r="M432" s="9"/>
      <c r="N432" s="9"/>
      <c r="O432" s="42"/>
      <c r="P432" s="310"/>
      <c r="Q432" s="293"/>
      <c r="R432" s="291"/>
      <c r="S432" s="294"/>
      <c r="T432" s="295"/>
      <c r="U432" s="9"/>
      <c r="V432" s="9"/>
      <c r="W432" s="9"/>
      <c r="X432" s="9"/>
      <c r="Y432" s="9"/>
      <c r="Z432" s="298"/>
      <c r="AA432" s="298"/>
    </row>
    <row r="433" spans="1:27" ht="13.5" customHeight="1" x14ac:dyDescent="0.25">
      <c r="A433" s="9"/>
      <c r="B433" s="9"/>
      <c r="C433" s="9"/>
      <c r="D433" s="9"/>
      <c r="E433" s="9"/>
      <c r="F433" s="185"/>
      <c r="G433" s="185"/>
      <c r="H433" s="9"/>
      <c r="I433" s="311"/>
      <c r="J433" s="310"/>
      <c r="K433" s="291"/>
      <c r="L433" s="309"/>
      <c r="M433" s="9"/>
      <c r="N433" s="9"/>
      <c r="O433" s="42"/>
      <c r="P433" s="310"/>
      <c r="Q433" s="293"/>
      <c r="R433" s="291"/>
      <c r="S433" s="294"/>
      <c r="T433" s="295"/>
      <c r="U433" s="9"/>
      <c r="V433" s="9"/>
      <c r="W433" s="9"/>
      <c r="X433" s="9"/>
      <c r="Y433" s="9"/>
      <c r="Z433" s="298"/>
      <c r="AA433" s="298"/>
    </row>
    <row r="434" spans="1:27" ht="13.5" customHeight="1" x14ac:dyDescent="0.25">
      <c r="A434" s="9"/>
      <c r="B434" s="9"/>
      <c r="C434" s="9"/>
      <c r="D434" s="9"/>
      <c r="E434" s="9"/>
      <c r="F434" s="185"/>
      <c r="G434" s="185"/>
      <c r="H434" s="9"/>
      <c r="I434" s="311"/>
      <c r="J434" s="310"/>
      <c r="K434" s="291"/>
      <c r="L434" s="309"/>
      <c r="M434" s="9"/>
      <c r="N434" s="9"/>
      <c r="O434" s="42"/>
      <c r="P434" s="310"/>
      <c r="Q434" s="293"/>
      <c r="R434" s="291"/>
      <c r="S434" s="294"/>
      <c r="T434" s="295"/>
      <c r="U434" s="9"/>
      <c r="V434" s="9"/>
      <c r="W434" s="9"/>
      <c r="X434" s="9"/>
      <c r="Y434" s="9"/>
      <c r="Z434" s="298"/>
      <c r="AA434" s="298"/>
    </row>
    <row r="435" spans="1:27" ht="13.5" customHeight="1" x14ac:dyDescent="0.25">
      <c r="A435" s="9"/>
      <c r="B435" s="9"/>
      <c r="C435" s="9"/>
      <c r="D435" s="9"/>
      <c r="E435" s="9"/>
      <c r="F435" s="185"/>
      <c r="G435" s="185"/>
      <c r="H435" s="9"/>
      <c r="I435" s="311"/>
      <c r="J435" s="310"/>
      <c r="K435" s="291"/>
      <c r="L435" s="309"/>
      <c r="M435" s="9"/>
      <c r="N435" s="9"/>
      <c r="O435" s="42"/>
      <c r="P435" s="310"/>
      <c r="Q435" s="293"/>
      <c r="R435" s="291"/>
      <c r="S435" s="294"/>
      <c r="T435" s="295"/>
      <c r="U435" s="9"/>
      <c r="V435" s="9"/>
      <c r="W435" s="9"/>
      <c r="X435" s="9"/>
      <c r="Y435" s="9"/>
      <c r="Z435" s="298"/>
      <c r="AA435" s="298"/>
    </row>
    <row r="436" spans="1:27" ht="13.5" customHeight="1" x14ac:dyDescent="0.25">
      <c r="A436" s="9"/>
      <c r="B436" s="9"/>
      <c r="C436" s="9"/>
      <c r="D436" s="9"/>
      <c r="E436" s="9"/>
      <c r="F436" s="185"/>
      <c r="G436" s="185"/>
      <c r="H436" s="9"/>
      <c r="I436" s="311"/>
      <c r="J436" s="310"/>
      <c r="K436" s="291"/>
      <c r="L436" s="309"/>
      <c r="M436" s="9"/>
      <c r="N436" s="9"/>
      <c r="O436" s="42"/>
      <c r="P436" s="310"/>
      <c r="Q436" s="293"/>
      <c r="R436" s="291"/>
      <c r="S436" s="294"/>
      <c r="T436" s="295"/>
      <c r="U436" s="9"/>
      <c r="V436" s="9"/>
      <c r="W436" s="9"/>
      <c r="X436" s="9"/>
      <c r="Y436" s="9"/>
      <c r="Z436" s="298"/>
      <c r="AA436" s="298"/>
    </row>
    <row r="437" spans="1:27" ht="13.5" customHeight="1" x14ac:dyDescent="0.25">
      <c r="A437" s="9"/>
      <c r="B437" s="9"/>
      <c r="C437" s="9"/>
      <c r="D437" s="9"/>
      <c r="E437" s="9"/>
      <c r="F437" s="185"/>
      <c r="G437" s="185"/>
      <c r="H437" s="9"/>
      <c r="I437" s="311"/>
      <c r="J437" s="310"/>
      <c r="K437" s="291"/>
      <c r="L437" s="309"/>
      <c r="M437" s="9"/>
      <c r="N437" s="9"/>
      <c r="O437" s="42"/>
      <c r="P437" s="310"/>
      <c r="Q437" s="293"/>
      <c r="R437" s="291"/>
      <c r="S437" s="294"/>
      <c r="T437" s="295"/>
      <c r="U437" s="9"/>
      <c r="V437" s="9"/>
      <c r="W437" s="9"/>
      <c r="X437" s="9"/>
      <c r="Y437" s="9"/>
      <c r="Z437" s="298"/>
      <c r="AA437" s="298"/>
    </row>
    <row r="438" spans="1:27" ht="13.5" customHeight="1" x14ac:dyDescent="0.25">
      <c r="A438" s="9"/>
      <c r="B438" s="9"/>
      <c r="C438" s="9"/>
      <c r="D438" s="9"/>
      <c r="E438" s="9"/>
      <c r="F438" s="185"/>
      <c r="G438" s="185"/>
      <c r="H438" s="9"/>
      <c r="I438" s="311"/>
      <c r="J438" s="310"/>
      <c r="K438" s="291"/>
      <c r="L438" s="309"/>
      <c r="M438" s="9"/>
      <c r="N438" s="9"/>
      <c r="O438" s="42"/>
      <c r="P438" s="310"/>
      <c r="Q438" s="293"/>
      <c r="R438" s="291"/>
      <c r="S438" s="294"/>
      <c r="T438" s="295"/>
      <c r="U438" s="9"/>
      <c r="V438" s="9"/>
      <c r="W438" s="9"/>
      <c r="X438" s="9"/>
      <c r="Y438" s="9"/>
      <c r="Z438" s="298"/>
      <c r="AA438" s="298"/>
    </row>
    <row r="439" spans="1:27" ht="13.5" customHeight="1" x14ac:dyDescent="0.25">
      <c r="A439" s="9"/>
      <c r="B439" s="9"/>
      <c r="C439" s="9"/>
      <c r="D439" s="9"/>
      <c r="E439" s="9"/>
      <c r="F439" s="185"/>
      <c r="G439" s="185"/>
      <c r="H439" s="9"/>
      <c r="I439" s="311"/>
      <c r="J439" s="310"/>
      <c r="K439" s="291"/>
      <c r="L439" s="309"/>
      <c r="M439" s="9"/>
      <c r="N439" s="9"/>
      <c r="O439" s="42"/>
      <c r="P439" s="310"/>
      <c r="Q439" s="293"/>
      <c r="R439" s="291"/>
      <c r="S439" s="294"/>
      <c r="T439" s="295"/>
      <c r="U439" s="9"/>
      <c r="V439" s="9"/>
      <c r="W439" s="9"/>
      <c r="X439" s="9"/>
      <c r="Y439" s="9"/>
      <c r="Z439" s="298"/>
      <c r="AA439" s="298"/>
    </row>
    <row r="440" spans="1:27" ht="13.5" customHeight="1" x14ac:dyDescent="0.25">
      <c r="A440" s="9"/>
      <c r="B440" s="9"/>
      <c r="C440" s="9"/>
      <c r="D440" s="9"/>
      <c r="E440" s="9"/>
      <c r="F440" s="185"/>
      <c r="G440" s="185"/>
      <c r="H440" s="9"/>
      <c r="I440" s="311"/>
      <c r="J440" s="310"/>
      <c r="K440" s="291"/>
      <c r="L440" s="309"/>
      <c r="M440" s="9"/>
      <c r="N440" s="9"/>
      <c r="O440" s="42"/>
      <c r="P440" s="310"/>
      <c r="Q440" s="293"/>
      <c r="R440" s="291"/>
      <c r="S440" s="294"/>
      <c r="T440" s="295"/>
      <c r="U440" s="9"/>
      <c r="V440" s="9"/>
      <c r="W440" s="9"/>
      <c r="X440" s="9"/>
      <c r="Y440" s="9"/>
      <c r="Z440" s="298"/>
      <c r="AA440" s="298"/>
    </row>
    <row r="441" spans="1:27" ht="13.5" customHeight="1" x14ac:dyDescent="0.25">
      <c r="A441" s="9"/>
      <c r="B441" s="9"/>
      <c r="C441" s="9"/>
      <c r="D441" s="9"/>
      <c r="E441" s="9"/>
      <c r="F441" s="185"/>
      <c r="G441" s="185"/>
      <c r="H441" s="9"/>
      <c r="I441" s="311"/>
      <c r="J441" s="310"/>
      <c r="K441" s="291"/>
      <c r="L441" s="309"/>
      <c r="M441" s="9"/>
      <c r="N441" s="9"/>
      <c r="O441" s="42"/>
      <c r="P441" s="310"/>
      <c r="Q441" s="293"/>
      <c r="R441" s="291"/>
      <c r="S441" s="294"/>
      <c r="T441" s="295"/>
      <c r="U441" s="9"/>
      <c r="V441" s="9"/>
      <c r="W441" s="9"/>
      <c r="X441" s="9"/>
      <c r="Y441" s="9"/>
      <c r="Z441" s="298"/>
      <c r="AA441" s="298"/>
    </row>
    <row r="442" spans="1:27" ht="13.5" customHeight="1" x14ac:dyDescent="0.25">
      <c r="A442" s="9"/>
      <c r="B442" s="9"/>
      <c r="C442" s="9"/>
      <c r="D442" s="9"/>
      <c r="E442" s="9"/>
      <c r="F442" s="185"/>
      <c r="G442" s="185"/>
      <c r="H442" s="9"/>
      <c r="I442" s="311"/>
      <c r="J442" s="310"/>
      <c r="K442" s="291"/>
      <c r="L442" s="309"/>
      <c r="M442" s="9"/>
      <c r="N442" s="9"/>
      <c r="O442" s="42"/>
      <c r="P442" s="310"/>
      <c r="Q442" s="293"/>
      <c r="R442" s="291"/>
      <c r="S442" s="294"/>
      <c r="T442" s="295"/>
      <c r="U442" s="9"/>
      <c r="V442" s="9"/>
      <c r="W442" s="9"/>
      <c r="X442" s="9"/>
      <c r="Y442" s="9"/>
      <c r="Z442" s="298"/>
      <c r="AA442" s="298"/>
    </row>
    <row r="443" spans="1:27" ht="13.5" customHeight="1" x14ac:dyDescent="0.25">
      <c r="A443" s="9"/>
      <c r="B443" s="9"/>
      <c r="C443" s="9"/>
      <c r="D443" s="9"/>
      <c r="E443" s="9"/>
      <c r="F443" s="185"/>
      <c r="G443" s="185"/>
      <c r="H443" s="9"/>
      <c r="I443" s="311"/>
      <c r="J443" s="310"/>
      <c r="K443" s="291"/>
      <c r="L443" s="309"/>
      <c r="M443" s="9"/>
      <c r="N443" s="9"/>
      <c r="O443" s="42"/>
      <c r="P443" s="310"/>
      <c r="Q443" s="293"/>
      <c r="R443" s="291"/>
      <c r="S443" s="294"/>
      <c r="T443" s="295"/>
      <c r="U443" s="9"/>
      <c r="V443" s="9"/>
      <c r="W443" s="9"/>
      <c r="X443" s="9"/>
      <c r="Y443" s="9"/>
      <c r="Z443" s="298"/>
      <c r="AA443" s="298"/>
    </row>
    <row r="444" spans="1:27" ht="13.5" customHeight="1" x14ac:dyDescent="0.25">
      <c r="A444" s="9"/>
      <c r="B444" s="9"/>
      <c r="C444" s="9"/>
      <c r="D444" s="9"/>
      <c r="E444" s="9"/>
      <c r="F444" s="185"/>
      <c r="G444" s="185"/>
      <c r="H444" s="9"/>
      <c r="I444" s="311"/>
      <c r="J444" s="310"/>
      <c r="K444" s="291"/>
      <c r="L444" s="309"/>
      <c r="M444" s="9"/>
      <c r="N444" s="9"/>
      <c r="O444" s="42"/>
      <c r="P444" s="310"/>
      <c r="Q444" s="293"/>
      <c r="R444" s="291"/>
      <c r="S444" s="294"/>
      <c r="T444" s="295"/>
      <c r="U444" s="9"/>
      <c r="V444" s="9"/>
      <c r="W444" s="9"/>
      <c r="X444" s="9"/>
      <c r="Y444" s="9"/>
      <c r="Z444" s="298"/>
      <c r="AA444" s="298"/>
    </row>
    <row r="445" spans="1:27" ht="13.5" customHeight="1" x14ac:dyDescent="0.25">
      <c r="A445" s="9"/>
      <c r="B445" s="9"/>
      <c r="C445" s="9"/>
      <c r="D445" s="9"/>
      <c r="E445" s="9"/>
      <c r="F445" s="185"/>
      <c r="G445" s="185"/>
      <c r="H445" s="9"/>
      <c r="I445" s="311"/>
      <c r="J445" s="310"/>
      <c r="K445" s="291"/>
      <c r="L445" s="309"/>
      <c r="M445" s="9"/>
      <c r="N445" s="9"/>
      <c r="O445" s="42"/>
      <c r="P445" s="310"/>
      <c r="Q445" s="293"/>
      <c r="R445" s="291"/>
      <c r="S445" s="294"/>
      <c r="T445" s="295"/>
      <c r="U445" s="9"/>
      <c r="V445" s="9"/>
      <c r="W445" s="9"/>
      <c r="X445" s="9"/>
      <c r="Y445" s="9"/>
      <c r="Z445" s="298"/>
      <c r="AA445" s="298"/>
    </row>
    <row r="446" spans="1:27" ht="13.5" customHeight="1" x14ac:dyDescent="0.25">
      <c r="A446" s="9"/>
      <c r="B446" s="9"/>
      <c r="C446" s="9"/>
      <c r="D446" s="9"/>
      <c r="E446" s="9"/>
      <c r="F446" s="185"/>
      <c r="G446" s="185"/>
      <c r="H446" s="9"/>
      <c r="I446" s="311"/>
      <c r="J446" s="310"/>
      <c r="K446" s="291"/>
      <c r="L446" s="309"/>
      <c r="M446" s="9"/>
      <c r="N446" s="9"/>
      <c r="O446" s="42"/>
      <c r="P446" s="310"/>
      <c r="Q446" s="293"/>
      <c r="R446" s="291"/>
      <c r="S446" s="294"/>
      <c r="T446" s="295"/>
      <c r="U446" s="9"/>
      <c r="V446" s="9"/>
      <c r="W446" s="9"/>
      <c r="X446" s="9"/>
      <c r="Y446" s="9"/>
      <c r="Z446" s="298"/>
      <c r="AA446" s="298"/>
    </row>
    <row r="447" spans="1:27" ht="13.5" customHeight="1" x14ac:dyDescent="0.25">
      <c r="A447" s="9"/>
      <c r="B447" s="9"/>
      <c r="C447" s="9"/>
      <c r="D447" s="9"/>
      <c r="E447" s="9"/>
      <c r="F447" s="185"/>
      <c r="G447" s="185"/>
      <c r="H447" s="9"/>
      <c r="I447" s="311"/>
      <c r="J447" s="310"/>
      <c r="K447" s="291"/>
      <c r="L447" s="309"/>
      <c r="M447" s="9"/>
      <c r="N447" s="9"/>
      <c r="O447" s="42"/>
      <c r="P447" s="310"/>
      <c r="Q447" s="293"/>
      <c r="R447" s="291"/>
      <c r="S447" s="294"/>
      <c r="T447" s="295"/>
      <c r="U447" s="9"/>
      <c r="V447" s="9"/>
      <c r="W447" s="9"/>
      <c r="X447" s="9"/>
      <c r="Y447" s="9"/>
      <c r="Z447" s="298"/>
      <c r="AA447" s="298"/>
    </row>
    <row r="448" spans="1:27" ht="13.5" customHeight="1" x14ac:dyDescent="0.25">
      <c r="A448" s="9"/>
      <c r="B448" s="9"/>
      <c r="C448" s="9"/>
      <c r="D448" s="9"/>
      <c r="E448" s="9"/>
      <c r="F448" s="185"/>
      <c r="G448" s="185"/>
      <c r="H448" s="9"/>
      <c r="I448" s="311"/>
      <c r="J448" s="310"/>
      <c r="K448" s="291"/>
      <c r="L448" s="309"/>
      <c r="M448" s="9"/>
      <c r="N448" s="9"/>
      <c r="O448" s="42"/>
      <c r="P448" s="310"/>
      <c r="Q448" s="293"/>
      <c r="R448" s="291"/>
      <c r="S448" s="294"/>
      <c r="T448" s="295"/>
      <c r="U448" s="9"/>
      <c r="V448" s="9"/>
      <c r="W448" s="9"/>
      <c r="X448" s="9"/>
      <c r="Y448" s="9"/>
      <c r="Z448" s="298"/>
      <c r="AA448" s="298"/>
    </row>
    <row r="449" spans="1:27" ht="13.5" customHeight="1" x14ac:dyDescent="0.25">
      <c r="A449" s="9"/>
      <c r="B449" s="9"/>
      <c r="C449" s="9"/>
      <c r="D449" s="9"/>
      <c r="E449" s="9"/>
      <c r="F449" s="185"/>
      <c r="G449" s="185"/>
      <c r="H449" s="9"/>
      <c r="I449" s="311"/>
      <c r="J449" s="310"/>
      <c r="K449" s="291"/>
      <c r="L449" s="309"/>
      <c r="M449" s="9"/>
      <c r="N449" s="9"/>
      <c r="O449" s="42"/>
      <c r="P449" s="310"/>
      <c r="Q449" s="293"/>
      <c r="R449" s="291"/>
      <c r="S449" s="294"/>
      <c r="T449" s="295"/>
      <c r="U449" s="9"/>
      <c r="V449" s="9"/>
      <c r="W449" s="9"/>
      <c r="X449" s="9"/>
      <c r="Y449" s="9"/>
      <c r="Z449" s="298"/>
      <c r="AA449" s="298"/>
    </row>
    <row r="450" spans="1:27" ht="13.5" customHeight="1" x14ac:dyDescent="0.25">
      <c r="A450" s="9"/>
      <c r="B450" s="9"/>
      <c r="C450" s="9"/>
      <c r="D450" s="9"/>
      <c r="E450" s="9"/>
      <c r="F450" s="185"/>
      <c r="G450" s="185"/>
      <c r="H450" s="9"/>
      <c r="I450" s="311"/>
      <c r="J450" s="310"/>
      <c r="K450" s="291"/>
      <c r="L450" s="309"/>
      <c r="M450" s="9"/>
      <c r="N450" s="9"/>
      <c r="O450" s="42"/>
      <c r="P450" s="310"/>
      <c r="Q450" s="293"/>
      <c r="R450" s="291"/>
      <c r="S450" s="294"/>
      <c r="T450" s="295"/>
      <c r="U450" s="9"/>
      <c r="V450" s="9"/>
      <c r="W450" s="9"/>
      <c r="X450" s="9"/>
      <c r="Y450" s="9"/>
      <c r="Z450" s="298"/>
      <c r="AA450" s="298"/>
    </row>
    <row r="451" spans="1:27" ht="13.5" customHeight="1" x14ac:dyDescent="0.25">
      <c r="A451" s="9"/>
      <c r="B451" s="9"/>
      <c r="C451" s="9"/>
      <c r="D451" s="9"/>
      <c r="E451" s="9"/>
      <c r="F451" s="185"/>
      <c r="G451" s="185"/>
      <c r="H451" s="9"/>
      <c r="I451" s="311"/>
      <c r="J451" s="310"/>
      <c r="K451" s="291"/>
      <c r="L451" s="309"/>
      <c r="M451" s="9"/>
      <c r="N451" s="9"/>
      <c r="O451" s="42"/>
      <c r="P451" s="310"/>
      <c r="Q451" s="293"/>
      <c r="R451" s="291"/>
      <c r="S451" s="294"/>
      <c r="T451" s="295"/>
      <c r="U451" s="9"/>
      <c r="V451" s="9"/>
      <c r="W451" s="9"/>
      <c r="X451" s="9"/>
      <c r="Y451" s="9"/>
      <c r="Z451" s="298"/>
      <c r="AA451" s="298"/>
    </row>
    <row r="452" spans="1:27" ht="13.5" customHeight="1" x14ac:dyDescent="0.25">
      <c r="A452" s="9"/>
      <c r="B452" s="9"/>
      <c r="C452" s="9"/>
      <c r="D452" s="9"/>
      <c r="E452" s="9"/>
      <c r="F452" s="185"/>
      <c r="G452" s="185"/>
      <c r="H452" s="9"/>
      <c r="I452" s="311"/>
      <c r="J452" s="310"/>
      <c r="K452" s="291"/>
      <c r="L452" s="309"/>
      <c r="M452" s="9"/>
      <c r="N452" s="9"/>
      <c r="O452" s="42"/>
      <c r="P452" s="310"/>
      <c r="Q452" s="293"/>
      <c r="R452" s="291"/>
      <c r="S452" s="294"/>
      <c r="T452" s="295"/>
      <c r="U452" s="9"/>
      <c r="V452" s="9"/>
      <c r="W452" s="9"/>
      <c r="X452" s="9"/>
      <c r="Y452" s="9"/>
      <c r="Z452" s="298"/>
      <c r="AA452" s="298"/>
    </row>
    <row r="453" spans="1:27" ht="13.5" customHeight="1" x14ac:dyDescent="0.25">
      <c r="A453" s="9"/>
      <c r="B453" s="9"/>
      <c r="C453" s="9"/>
      <c r="D453" s="9"/>
      <c r="E453" s="9"/>
      <c r="F453" s="185"/>
      <c r="G453" s="185"/>
      <c r="H453" s="9"/>
      <c r="I453" s="311"/>
      <c r="J453" s="310"/>
      <c r="K453" s="291"/>
      <c r="L453" s="309"/>
      <c r="M453" s="9"/>
      <c r="N453" s="9"/>
      <c r="O453" s="42"/>
      <c r="P453" s="310"/>
      <c r="Q453" s="293"/>
      <c r="R453" s="291"/>
      <c r="S453" s="294"/>
      <c r="T453" s="295"/>
      <c r="U453" s="9"/>
      <c r="V453" s="9"/>
      <c r="W453" s="9"/>
      <c r="X453" s="9"/>
      <c r="Y453" s="9"/>
      <c r="Z453" s="298"/>
      <c r="AA453" s="298"/>
    </row>
    <row r="454" spans="1:27" ht="13.5" customHeight="1" x14ac:dyDescent="0.25">
      <c r="A454" s="9"/>
      <c r="B454" s="9"/>
      <c r="C454" s="9"/>
      <c r="D454" s="9"/>
      <c r="E454" s="9"/>
      <c r="F454" s="185"/>
      <c r="G454" s="185"/>
      <c r="H454" s="9"/>
      <c r="I454" s="311"/>
      <c r="J454" s="310"/>
      <c r="K454" s="291"/>
      <c r="L454" s="309"/>
      <c r="M454" s="9"/>
      <c r="N454" s="9"/>
      <c r="O454" s="42"/>
      <c r="P454" s="310"/>
      <c r="Q454" s="293"/>
      <c r="R454" s="291"/>
      <c r="S454" s="294"/>
      <c r="T454" s="295"/>
      <c r="U454" s="9"/>
      <c r="V454" s="9"/>
      <c r="W454" s="9"/>
      <c r="X454" s="9"/>
      <c r="Y454" s="9"/>
      <c r="Z454" s="298"/>
      <c r="AA454" s="298"/>
    </row>
    <row r="455" spans="1:27" ht="13.5" customHeight="1" x14ac:dyDescent="0.25">
      <c r="A455" s="9"/>
      <c r="B455" s="9"/>
      <c r="C455" s="9"/>
      <c r="D455" s="9"/>
      <c r="E455" s="9"/>
      <c r="F455" s="185"/>
      <c r="G455" s="185"/>
      <c r="H455" s="9"/>
      <c r="I455" s="311"/>
      <c r="J455" s="310"/>
      <c r="K455" s="291"/>
      <c r="L455" s="309"/>
      <c r="M455" s="9"/>
      <c r="N455" s="9"/>
      <c r="O455" s="42"/>
      <c r="P455" s="310"/>
      <c r="Q455" s="293"/>
      <c r="R455" s="291"/>
      <c r="S455" s="294"/>
      <c r="T455" s="295"/>
      <c r="U455" s="9"/>
      <c r="V455" s="9"/>
      <c r="W455" s="9"/>
      <c r="X455" s="9"/>
      <c r="Y455" s="9"/>
      <c r="Z455" s="298"/>
      <c r="AA455" s="298"/>
    </row>
    <row r="456" spans="1:27" ht="13.5" customHeight="1" x14ac:dyDescent="0.25">
      <c r="A456" s="9"/>
      <c r="B456" s="9"/>
      <c r="C456" s="9"/>
      <c r="D456" s="9"/>
      <c r="E456" s="9"/>
      <c r="F456" s="185"/>
      <c r="G456" s="185"/>
      <c r="H456" s="9"/>
      <c r="I456" s="311"/>
      <c r="J456" s="310"/>
      <c r="K456" s="291"/>
      <c r="L456" s="309"/>
      <c r="M456" s="9"/>
      <c r="N456" s="9"/>
      <c r="O456" s="42"/>
      <c r="P456" s="310"/>
      <c r="Q456" s="293"/>
      <c r="R456" s="291"/>
      <c r="S456" s="294"/>
      <c r="T456" s="295"/>
      <c r="U456" s="9"/>
      <c r="V456" s="9"/>
      <c r="W456" s="9"/>
      <c r="X456" s="9"/>
      <c r="Y456" s="9"/>
      <c r="Z456" s="298"/>
      <c r="AA456" s="298"/>
    </row>
    <row r="457" spans="1:27" ht="13.5" customHeight="1" x14ac:dyDescent="0.25">
      <c r="A457" s="9"/>
      <c r="B457" s="9"/>
      <c r="C457" s="9"/>
      <c r="D457" s="9"/>
      <c r="E457" s="9"/>
      <c r="F457" s="185"/>
      <c r="G457" s="185"/>
      <c r="H457" s="9"/>
      <c r="I457" s="311"/>
      <c r="J457" s="310"/>
      <c r="K457" s="291"/>
      <c r="L457" s="309"/>
      <c r="M457" s="9"/>
      <c r="N457" s="9"/>
      <c r="O457" s="42"/>
      <c r="P457" s="310"/>
      <c r="Q457" s="293"/>
      <c r="R457" s="291"/>
      <c r="S457" s="294"/>
      <c r="T457" s="295"/>
      <c r="U457" s="9"/>
      <c r="V457" s="9"/>
      <c r="W457" s="9"/>
      <c r="X457" s="9"/>
      <c r="Y457" s="9"/>
      <c r="Z457" s="298"/>
      <c r="AA457" s="298"/>
    </row>
    <row r="458" spans="1:27" ht="13.5" customHeight="1" x14ac:dyDescent="0.25">
      <c r="A458" s="9"/>
      <c r="B458" s="9"/>
      <c r="C458" s="9"/>
      <c r="D458" s="9"/>
      <c r="E458" s="9"/>
      <c r="F458" s="185"/>
      <c r="G458" s="185"/>
      <c r="H458" s="9"/>
      <c r="I458" s="311"/>
      <c r="J458" s="310"/>
      <c r="K458" s="291"/>
      <c r="L458" s="309"/>
      <c r="M458" s="9"/>
      <c r="N458" s="9"/>
      <c r="O458" s="42"/>
      <c r="P458" s="310"/>
      <c r="Q458" s="293"/>
      <c r="R458" s="291"/>
      <c r="S458" s="294"/>
      <c r="T458" s="295"/>
      <c r="U458" s="9"/>
      <c r="V458" s="9"/>
      <c r="W458" s="9"/>
      <c r="X458" s="9"/>
      <c r="Y458" s="9"/>
      <c r="Z458" s="298"/>
      <c r="AA458" s="298"/>
    </row>
    <row r="459" spans="1:27" ht="13.5" customHeight="1" x14ac:dyDescent="0.25">
      <c r="A459" s="9"/>
      <c r="B459" s="9"/>
      <c r="C459" s="9"/>
      <c r="D459" s="9"/>
      <c r="E459" s="9"/>
      <c r="F459" s="185"/>
      <c r="G459" s="185"/>
      <c r="H459" s="9"/>
      <c r="I459" s="311"/>
      <c r="J459" s="310"/>
      <c r="K459" s="291"/>
      <c r="L459" s="309"/>
      <c r="M459" s="9"/>
      <c r="N459" s="9"/>
      <c r="O459" s="42"/>
      <c r="P459" s="310"/>
      <c r="Q459" s="293"/>
      <c r="R459" s="291"/>
      <c r="S459" s="294"/>
      <c r="T459" s="295"/>
      <c r="U459" s="9"/>
      <c r="V459" s="9"/>
      <c r="W459" s="9"/>
      <c r="X459" s="9"/>
      <c r="Y459" s="9"/>
      <c r="Z459" s="298"/>
      <c r="AA459" s="298"/>
    </row>
    <row r="460" spans="1:27" ht="13.5" customHeight="1" x14ac:dyDescent="0.25">
      <c r="A460" s="9"/>
      <c r="B460" s="9"/>
      <c r="C460" s="9"/>
      <c r="D460" s="9"/>
      <c r="E460" s="9"/>
      <c r="F460" s="185"/>
      <c r="G460" s="185"/>
      <c r="H460" s="9"/>
      <c r="I460" s="311"/>
      <c r="J460" s="310"/>
      <c r="K460" s="291"/>
      <c r="L460" s="309"/>
      <c r="M460" s="9"/>
      <c r="N460" s="9"/>
      <c r="O460" s="42"/>
      <c r="P460" s="310"/>
      <c r="Q460" s="293"/>
      <c r="R460" s="291"/>
      <c r="S460" s="294"/>
      <c r="T460" s="295"/>
      <c r="U460" s="9"/>
      <c r="V460" s="9"/>
      <c r="W460" s="9"/>
      <c r="X460" s="9"/>
      <c r="Y460" s="9"/>
      <c r="Z460" s="298"/>
      <c r="AA460" s="298"/>
    </row>
    <row r="461" spans="1:27" ht="13.5" customHeight="1" x14ac:dyDescent="0.25">
      <c r="A461" s="9"/>
      <c r="B461" s="9"/>
      <c r="C461" s="9"/>
      <c r="D461" s="9"/>
      <c r="E461" s="9"/>
      <c r="F461" s="185"/>
      <c r="G461" s="185"/>
      <c r="H461" s="9"/>
      <c r="I461" s="311"/>
      <c r="J461" s="310"/>
      <c r="K461" s="291"/>
      <c r="L461" s="309"/>
      <c r="M461" s="9"/>
      <c r="N461" s="9"/>
      <c r="O461" s="42"/>
      <c r="P461" s="310"/>
      <c r="Q461" s="293"/>
      <c r="R461" s="291"/>
      <c r="S461" s="294"/>
      <c r="T461" s="295"/>
      <c r="U461" s="9"/>
      <c r="V461" s="9"/>
      <c r="W461" s="9"/>
      <c r="X461" s="9"/>
      <c r="Y461" s="9"/>
      <c r="Z461" s="298"/>
      <c r="AA461" s="298"/>
    </row>
    <row r="462" spans="1:27" ht="13.5" customHeight="1" x14ac:dyDescent="0.25">
      <c r="A462" s="9"/>
      <c r="B462" s="9"/>
      <c r="C462" s="9"/>
      <c r="D462" s="9"/>
      <c r="E462" s="9"/>
      <c r="F462" s="185"/>
      <c r="G462" s="185"/>
      <c r="H462" s="9"/>
      <c r="I462" s="311"/>
      <c r="J462" s="310"/>
      <c r="K462" s="291"/>
      <c r="L462" s="309"/>
      <c r="M462" s="9"/>
      <c r="N462" s="9"/>
      <c r="O462" s="42"/>
      <c r="P462" s="310"/>
      <c r="Q462" s="293"/>
      <c r="R462" s="291"/>
      <c r="S462" s="294"/>
      <c r="T462" s="295"/>
      <c r="U462" s="9"/>
      <c r="V462" s="9"/>
      <c r="W462" s="9"/>
      <c r="X462" s="9"/>
      <c r="Y462" s="9"/>
      <c r="Z462" s="298"/>
      <c r="AA462" s="298"/>
    </row>
    <row r="463" spans="1:27" ht="13.5" customHeight="1" x14ac:dyDescent="0.25">
      <c r="A463" s="9"/>
      <c r="B463" s="9"/>
      <c r="C463" s="9"/>
      <c r="D463" s="9"/>
      <c r="E463" s="9"/>
      <c r="F463" s="185"/>
      <c r="G463" s="185"/>
      <c r="H463" s="9"/>
      <c r="I463" s="311"/>
      <c r="J463" s="310"/>
      <c r="K463" s="291"/>
      <c r="L463" s="309"/>
      <c r="M463" s="9"/>
      <c r="N463" s="9"/>
      <c r="O463" s="42"/>
      <c r="P463" s="310"/>
      <c r="Q463" s="293"/>
      <c r="R463" s="291"/>
      <c r="S463" s="294"/>
      <c r="T463" s="295"/>
      <c r="U463" s="9"/>
      <c r="V463" s="9"/>
      <c r="W463" s="9"/>
      <c r="X463" s="9"/>
      <c r="Y463" s="9"/>
      <c r="Z463" s="298"/>
      <c r="AA463" s="298"/>
    </row>
    <row r="464" spans="1:27" ht="13.5" customHeight="1" x14ac:dyDescent="0.25">
      <c r="A464" s="9"/>
      <c r="B464" s="9"/>
      <c r="C464" s="9"/>
      <c r="D464" s="9"/>
      <c r="E464" s="9"/>
      <c r="F464" s="185"/>
      <c r="G464" s="185"/>
      <c r="H464" s="9"/>
      <c r="I464" s="311"/>
      <c r="J464" s="310"/>
      <c r="K464" s="291"/>
      <c r="L464" s="309"/>
      <c r="M464" s="9"/>
      <c r="N464" s="9"/>
      <c r="O464" s="42"/>
      <c r="P464" s="310"/>
      <c r="Q464" s="293"/>
      <c r="R464" s="291"/>
      <c r="S464" s="294"/>
      <c r="T464" s="295"/>
      <c r="U464" s="9"/>
      <c r="V464" s="9"/>
      <c r="W464" s="9"/>
      <c r="X464" s="9"/>
      <c r="Y464" s="9"/>
      <c r="Z464" s="298"/>
      <c r="AA464" s="298"/>
    </row>
    <row r="465" spans="1:27" ht="13.5" customHeight="1" x14ac:dyDescent="0.25">
      <c r="A465" s="9"/>
      <c r="B465" s="9"/>
      <c r="C465" s="9"/>
      <c r="D465" s="9"/>
      <c r="E465" s="9"/>
      <c r="F465" s="185"/>
      <c r="G465" s="185"/>
      <c r="H465" s="9"/>
      <c r="I465" s="311"/>
      <c r="J465" s="310"/>
      <c r="K465" s="291"/>
      <c r="L465" s="309"/>
      <c r="M465" s="9"/>
      <c r="N465" s="9"/>
      <c r="O465" s="42"/>
      <c r="P465" s="310"/>
      <c r="Q465" s="293"/>
      <c r="R465" s="291"/>
      <c r="S465" s="294"/>
      <c r="T465" s="295"/>
      <c r="U465" s="9"/>
      <c r="V465" s="9"/>
      <c r="W465" s="9"/>
      <c r="X465" s="9"/>
      <c r="Y465" s="9"/>
      <c r="Z465" s="298"/>
      <c r="AA465" s="298"/>
    </row>
    <row r="466" spans="1:27" ht="13.5" customHeight="1" x14ac:dyDescent="0.25">
      <c r="A466" s="9"/>
      <c r="B466" s="9"/>
      <c r="C466" s="9"/>
      <c r="D466" s="9"/>
      <c r="E466" s="9"/>
      <c r="F466" s="185"/>
      <c r="G466" s="185"/>
      <c r="H466" s="9"/>
      <c r="I466" s="311"/>
      <c r="J466" s="310"/>
      <c r="K466" s="291"/>
      <c r="L466" s="309"/>
      <c r="M466" s="9"/>
      <c r="N466" s="9"/>
      <c r="O466" s="42"/>
      <c r="P466" s="310"/>
      <c r="Q466" s="293"/>
      <c r="R466" s="291"/>
      <c r="S466" s="294"/>
      <c r="T466" s="295"/>
      <c r="U466" s="9"/>
      <c r="V466" s="9"/>
      <c r="W466" s="9"/>
      <c r="X466" s="9"/>
      <c r="Y466" s="9"/>
      <c r="Z466" s="298"/>
      <c r="AA466" s="298"/>
    </row>
    <row r="467" spans="1:27" ht="13.5" customHeight="1" x14ac:dyDescent="0.25">
      <c r="A467" s="9"/>
      <c r="B467" s="9"/>
      <c r="C467" s="9"/>
      <c r="D467" s="9"/>
      <c r="E467" s="9"/>
      <c r="F467" s="185"/>
      <c r="G467" s="185"/>
      <c r="H467" s="9"/>
      <c r="I467" s="311"/>
      <c r="J467" s="310"/>
      <c r="K467" s="291"/>
      <c r="L467" s="309"/>
      <c r="M467" s="9"/>
      <c r="N467" s="9"/>
      <c r="O467" s="42"/>
      <c r="P467" s="310"/>
      <c r="Q467" s="293"/>
      <c r="R467" s="291"/>
      <c r="S467" s="294"/>
      <c r="T467" s="295"/>
      <c r="U467" s="9"/>
      <c r="V467" s="9"/>
      <c r="W467" s="9"/>
      <c r="X467" s="9"/>
      <c r="Y467" s="9"/>
      <c r="Z467" s="298"/>
      <c r="AA467" s="298"/>
    </row>
    <row r="468" spans="1:27" ht="13.5" customHeight="1" x14ac:dyDescent="0.25">
      <c r="A468" s="9"/>
      <c r="B468" s="9"/>
      <c r="C468" s="9"/>
      <c r="D468" s="9"/>
      <c r="E468" s="9"/>
      <c r="F468" s="185"/>
      <c r="G468" s="185"/>
      <c r="H468" s="9"/>
      <c r="I468" s="311"/>
      <c r="J468" s="310"/>
      <c r="K468" s="291"/>
      <c r="L468" s="309"/>
      <c r="M468" s="9"/>
      <c r="N468" s="9"/>
      <c r="O468" s="42"/>
      <c r="P468" s="310"/>
      <c r="Q468" s="293"/>
      <c r="R468" s="291"/>
      <c r="S468" s="294"/>
      <c r="T468" s="295"/>
      <c r="U468" s="9"/>
      <c r="V468" s="9"/>
      <c r="W468" s="9"/>
      <c r="X468" s="9"/>
      <c r="Y468" s="9"/>
      <c r="Z468" s="298"/>
      <c r="AA468" s="298"/>
    </row>
    <row r="469" spans="1:27" ht="13.5" customHeight="1" x14ac:dyDescent="0.25">
      <c r="A469" s="9"/>
      <c r="B469" s="9"/>
      <c r="C469" s="9"/>
      <c r="D469" s="9"/>
      <c r="E469" s="9"/>
      <c r="F469" s="185"/>
      <c r="G469" s="185"/>
      <c r="H469" s="9"/>
      <c r="I469" s="311"/>
      <c r="J469" s="310"/>
      <c r="K469" s="291"/>
      <c r="L469" s="309"/>
      <c r="M469" s="9"/>
      <c r="N469" s="9"/>
      <c r="O469" s="42"/>
      <c r="P469" s="310"/>
      <c r="Q469" s="293"/>
      <c r="R469" s="291"/>
      <c r="S469" s="294"/>
      <c r="T469" s="295"/>
      <c r="U469" s="9"/>
      <c r="V469" s="9"/>
      <c r="W469" s="9"/>
      <c r="X469" s="9"/>
      <c r="Y469" s="9"/>
      <c r="Z469" s="298"/>
      <c r="AA469" s="298"/>
    </row>
    <row r="470" spans="1:27" ht="13.5" customHeight="1" x14ac:dyDescent="0.25">
      <c r="A470" s="9"/>
      <c r="B470" s="9"/>
      <c r="C470" s="9"/>
      <c r="D470" s="9"/>
      <c r="E470" s="9"/>
      <c r="F470" s="185"/>
      <c r="G470" s="185"/>
      <c r="H470" s="9"/>
      <c r="I470" s="311"/>
      <c r="J470" s="310"/>
      <c r="K470" s="291"/>
      <c r="L470" s="309"/>
      <c r="M470" s="9"/>
      <c r="N470" s="9"/>
      <c r="O470" s="42"/>
      <c r="P470" s="310"/>
      <c r="Q470" s="293"/>
      <c r="R470" s="291"/>
      <c r="S470" s="294"/>
      <c r="T470" s="295"/>
      <c r="U470" s="9"/>
      <c r="V470" s="9"/>
      <c r="W470" s="9"/>
      <c r="X470" s="9"/>
      <c r="Y470" s="9"/>
      <c r="Z470" s="298"/>
      <c r="AA470" s="298"/>
    </row>
    <row r="471" spans="1:27" ht="13.5" customHeight="1" x14ac:dyDescent="0.25">
      <c r="A471" s="9"/>
      <c r="B471" s="9"/>
      <c r="C471" s="9"/>
      <c r="D471" s="9"/>
      <c r="E471" s="9"/>
      <c r="F471" s="185"/>
      <c r="G471" s="185"/>
      <c r="H471" s="9"/>
      <c r="I471" s="311"/>
      <c r="J471" s="310"/>
      <c r="K471" s="291"/>
      <c r="L471" s="309"/>
      <c r="M471" s="9"/>
      <c r="N471" s="9"/>
      <c r="O471" s="42"/>
      <c r="P471" s="310"/>
      <c r="Q471" s="293"/>
      <c r="R471" s="291"/>
      <c r="S471" s="294"/>
      <c r="T471" s="295"/>
      <c r="U471" s="9"/>
      <c r="V471" s="9"/>
      <c r="W471" s="9"/>
      <c r="X471" s="9"/>
      <c r="Y471" s="9"/>
      <c r="Z471" s="298"/>
      <c r="AA471" s="298"/>
    </row>
    <row r="472" spans="1:27" ht="13.5" customHeight="1" x14ac:dyDescent="0.25">
      <c r="A472" s="9"/>
      <c r="B472" s="9"/>
      <c r="C472" s="9"/>
      <c r="D472" s="9"/>
      <c r="E472" s="9"/>
      <c r="F472" s="185"/>
      <c r="G472" s="185"/>
      <c r="H472" s="9"/>
      <c r="I472" s="311"/>
      <c r="J472" s="310"/>
      <c r="K472" s="291"/>
      <c r="L472" s="309"/>
      <c r="M472" s="9"/>
      <c r="N472" s="9"/>
      <c r="O472" s="42"/>
      <c r="P472" s="310"/>
      <c r="Q472" s="293"/>
      <c r="R472" s="291"/>
      <c r="S472" s="294"/>
      <c r="T472" s="295"/>
      <c r="U472" s="9"/>
      <c r="V472" s="9"/>
      <c r="W472" s="9"/>
      <c r="X472" s="9"/>
      <c r="Y472" s="9"/>
      <c r="Z472" s="298"/>
      <c r="AA472" s="298"/>
    </row>
    <row r="473" spans="1:27" ht="13.5" customHeight="1" x14ac:dyDescent="0.25">
      <c r="A473" s="9"/>
      <c r="B473" s="9"/>
      <c r="C473" s="9"/>
      <c r="D473" s="9"/>
      <c r="E473" s="9"/>
      <c r="F473" s="185"/>
      <c r="G473" s="185"/>
      <c r="H473" s="9"/>
      <c r="I473" s="311"/>
      <c r="J473" s="310"/>
      <c r="K473" s="291"/>
      <c r="L473" s="309"/>
      <c r="M473" s="9"/>
      <c r="N473" s="9"/>
      <c r="O473" s="42"/>
      <c r="P473" s="310"/>
      <c r="Q473" s="293"/>
      <c r="R473" s="291"/>
      <c r="S473" s="294"/>
      <c r="T473" s="295"/>
      <c r="U473" s="9"/>
      <c r="V473" s="9"/>
      <c r="W473" s="9"/>
      <c r="X473" s="9"/>
      <c r="Y473" s="9"/>
      <c r="Z473" s="298"/>
      <c r="AA473" s="298"/>
    </row>
    <row r="474" spans="1:27" ht="13.5" customHeight="1" x14ac:dyDescent="0.25">
      <c r="A474" s="9"/>
      <c r="B474" s="9"/>
      <c r="C474" s="9"/>
      <c r="D474" s="9"/>
      <c r="E474" s="9"/>
      <c r="F474" s="185"/>
      <c r="G474" s="185"/>
      <c r="H474" s="9"/>
      <c r="I474" s="311"/>
      <c r="J474" s="310"/>
      <c r="K474" s="291"/>
      <c r="L474" s="309"/>
      <c r="M474" s="9"/>
      <c r="N474" s="9"/>
      <c r="O474" s="42"/>
      <c r="P474" s="310"/>
      <c r="Q474" s="293"/>
      <c r="R474" s="291"/>
      <c r="S474" s="294"/>
      <c r="T474" s="295"/>
      <c r="U474" s="9"/>
      <c r="V474" s="9"/>
      <c r="W474" s="9"/>
      <c r="X474" s="9"/>
      <c r="Y474" s="9"/>
      <c r="Z474" s="298"/>
      <c r="AA474" s="298"/>
    </row>
    <row r="475" spans="1:27" ht="13.5" customHeight="1" x14ac:dyDescent="0.25">
      <c r="A475" s="9"/>
      <c r="B475" s="9"/>
      <c r="C475" s="9"/>
      <c r="D475" s="9"/>
      <c r="E475" s="9"/>
      <c r="F475" s="185"/>
      <c r="G475" s="185"/>
      <c r="H475" s="9"/>
      <c r="I475" s="311"/>
      <c r="J475" s="310"/>
      <c r="K475" s="291"/>
      <c r="L475" s="309"/>
      <c r="M475" s="9"/>
      <c r="N475" s="9"/>
      <c r="O475" s="42"/>
      <c r="P475" s="310"/>
      <c r="Q475" s="293"/>
      <c r="R475" s="291"/>
      <c r="S475" s="294"/>
      <c r="T475" s="295"/>
      <c r="U475" s="9"/>
      <c r="V475" s="9"/>
      <c r="W475" s="9"/>
      <c r="X475" s="9"/>
      <c r="Y475" s="9"/>
      <c r="Z475" s="298"/>
      <c r="AA475" s="298"/>
    </row>
    <row r="476" spans="1:27" ht="13.5" customHeight="1" x14ac:dyDescent="0.25">
      <c r="A476" s="9"/>
      <c r="B476" s="9"/>
      <c r="C476" s="9"/>
      <c r="D476" s="9"/>
      <c r="E476" s="9"/>
      <c r="F476" s="185"/>
      <c r="G476" s="185"/>
      <c r="H476" s="9"/>
      <c r="I476" s="311"/>
      <c r="J476" s="310"/>
      <c r="K476" s="291"/>
      <c r="L476" s="309"/>
      <c r="M476" s="9"/>
      <c r="N476" s="9"/>
      <c r="O476" s="42"/>
      <c r="P476" s="310"/>
      <c r="Q476" s="293"/>
      <c r="R476" s="291"/>
      <c r="S476" s="294"/>
      <c r="T476" s="295"/>
      <c r="U476" s="9"/>
      <c r="V476" s="9"/>
      <c r="W476" s="9"/>
      <c r="X476" s="9"/>
      <c r="Y476" s="9"/>
      <c r="Z476" s="298"/>
      <c r="AA476" s="298"/>
    </row>
    <row r="477" spans="1:27" ht="13.5" customHeight="1" x14ac:dyDescent="0.25">
      <c r="A477" s="9"/>
      <c r="B477" s="9"/>
      <c r="C477" s="9"/>
      <c r="D477" s="9"/>
      <c r="E477" s="9"/>
      <c r="F477" s="185"/>
      <c r="G477" s="185"/>
      <c r="H477" s="9"/>
      <c r="I477" s="311"/>
      <c r="J477" s="310"/>
      <c r="K477" s="291"/>
      <c r="L477" s="309"/>
      <c r="M477" s="9"/>
      <c r="N477" s="9"/>
      <c r="O477" s="42"/>
      <c r="P477" s="310"/>
      <c r="Q477" s="293"/>
      <c r="R477" s="291"/>
      <c r="S477" s="294"/>
      <c r="T477" s="295"/>
      <c r="U477" s="9"/>
      <c r="V477" s="9"/>
      <c r="W477" s="9"/>
      <c r="X477" s="9"/>
      <c r="Y477" s="9"/>
      <c r="Z477" s="298"/>
      <c r="AA477" s="298"/>
    </row>
    <row r="478" spans="1:27" ht="13.5" customHeight="1" x14ac:dyDescent="0.25">
      <c r="A478" s="9"/>
      <c r="B478" s="9"/>
      <c r="C478" s="9"/>
      <c r="D478" s="9"/>
      <c r="E478" s="9"/>
      <c r="F478" s="185"/>
      <c r="G478" s="185"/>
      <c r="H478" s="9"/>
      <c r="I478" s="311"/>
      <c r="J478" s="310"/>
      <c r="K478" s="291"/>
      <c r="L478" s="309"/>
      <c r="M478" s="9"/>
      <c r="N478" s="9"/>
      <c r="O478" s="42"/>
      <c r="P478" s="310"/>
      <c r="Q478" s="293"/>
      <c r="R478" s="291"/>
      <c r="S478" s="294"/>
      <c r="T478" s="295"/>
      <c r="U478" s="9"/>
      <c r="V478" s="9"/>
      <c r="W478" s="9"/>
      <c r="X478" s="9"/>
      <c r="Y478" s="9"/>
      <c r="Z478" s="298"/>
      <c r="AA478" s="298"/>
    </row>
    <row r="479" spans="1:27" ht="13.5" customHeight="1" x14ac:dyDescent="0.25">
      <c r="A479" s="9"/>
      <c r="B479" s="9"/>
      <c r="C479" s="9"/>
      <c r="D479" s="9"/>
      <c r="E479" s="9"/>
      <c r="F479" s="185"/>
      <c r="G479" s="185"/>
      <c r="H479" s="9"/>
      <c r="I479" s="311"/>
      <c r="J479" s="310"/>
      <c r="K479" s="291"/>
      <c r="L479" s="309"/>
      <c r="M479" s="9"/>
      <c r="N479" s="9"/>
      <c r="O479" s="42"/>
      <c r="P479" s="310"/>
      <c r="Q479" s="293"/>
      <c r="R479" s="291"/>
      <c r="S479" s="294"/>
      <c r="T479" s="295"/>
      <c r="U479" s="9"/>
      <c r="V479" s="9"/>
      <c r="W479" s="9"/>
      <c r="X479" s="9"/>
      <c r="Y479" s="9"/>
      <c r="Z479" s="298"/>
      <c r="AA479" s="298"/>
    </row>
    <row r="480" spans="1:27" ht="13.5" customHeight="1" x14ac:dyDescent="0.25">
      <c r="A480" s="9"/>
      <c r="B480" s="9"/>
      <c r="C480" s="9"/>
      <c r="D480" s="9"/>
      <c r="E480" s="9"/>
      <c r="F480" s="185"/>
      <c r="G480" s="185"/>
      <c r="H480" s="9"/>
      <c r="I480" s="311"/>
      <c r="J480" s="310"/>
      <c r="K480" s="291"/>
      <c r="L480" s="309"/>
      <c r="M480" s="9"/>
      <c r="N480" s="9"/>
      <c r="O480" s="42"/>
      <c r="P480" s="310"/>
      <c r="Q480" s="293"/>
      <c r="R480" s="291"/>
      <c r="S480" s="294"/>
      <c r="T480" s="295"/>
      <c r="U480" s="9"/>
      <c r="V480" s="9"/>
      <c r="W480" s="9"/>
      <c r="X480" s="9"/>
      <c r="Y480" s="9"/>
      <c r="Z480" s="298"/>
      <c r="AA480" s="298"/>
    </row>
    <row r="481" spans="1:27" ht="13.5" customHeight="1" x14ac:dyDescent="0.25">
      <c r="A481" s="9"/>
      <c r="B481" s="9"/>
      <c r="C481" s="9"/>
      <c r="D481" s="9"/>
      <c r="E481" s="9"/>
      <c r="F481" s="185"/>
      <c r="G481" s="185"/>
      <c r="H481" s="9"/>
      <c r="I481" s="311"/>
      <c r="J481" s="310"/>
      <c r="K481" s="291"/>
      <c r="L481" s="309"/>
      <c r="M481" s="9"/>
      <c r="N481" s="9"/>
      <c r="O481" s="42"/>
      <c r="P481" s="310"/>
      <c r="Q481" s="293"/>
      <c r="R481" s="291"/>
      <c r="S481" s="294"/>
      <c r="T481" s="295"/>
      <c r="U481" s="9"/>
      <c r="V481" s="9"/>
      <c r="W481" s="9"/>
      <c r="X481" s="9"/>
      <c r="Y481" s="9"/>
      <c r="Z481" s="298"/>
      <c r="AA481" s="298"/>
    </row>
    <row r="482" spans="1:27" ht="13.5" customHeight="1" x14ac:dyDescent="0.25">
      <c r="A482" s="9"/>
      <c r="B482" s="9"/>
      <c r="C482" s="9"/>
      <c r="D482" s="9"/>
      <c r="E482" s="9"/>
      <c r="F482" s="185"/>
      <c r="G482" s="185"/>
      <c r="H482" s="9"/>
      <c r="I482" s="311"/>
      <c r="J482" s="310"/>
      <c r="K482" s="291"/>
      <c r="L482" s="309"/>
      <c r="M482" s="9"/>
      <c r="N482" s="9"/>
      <c r="O482" s="42"/>
      <c r="P482" s="310"/>
      <c r="Q482" s="293"/>
      <c r="R482" s="291"/>
      <c r="S482" s="294"/>
      <c r="T482" s="295"/>
      <c r="U482" s="9"/>
      <c r="V482" s="9"/>
      <c r="W482" s="9"/>
      <c r="X482" s="9"/>
      <c r="Y482" s="9"/>
      <c r="Z482" s="298"/>
      <c r="AA482" s="298"/>
    </row>
    <row r="483" spans="1:27" ht="13.5" customHeight="1" x14ac:dyDescent="0.25">
      <c r="A483" s="9"/>
      <c r="B483" s="9"/>
      <c r="C483" s="9"/>
      <c r="D483" s="9"/>
      <c r="E483" s="9"/>
      <c r="F483" s="185"/>
      <c r="G483" s="185"/>
      <c r="H483" s="9"/>
      <c r="I483" s="311"/>
      <c r="J483" s="310"/>
      <c r="K483" s="291"/>
      <c r="L483" s="309"/>
      <c r="M483" s="9"/>
      <c r="N483" s="9"/>
      <c r="O483" s="42"/>
      <c r="P483" s="310"/>
      <c r="Q483" s="293"/>
      <c r="R483" s="291"/>
      <c r="S483" s="294"/>
      <c r="T483" s="295"/>
      <c r="U483" s="9"/>
      <c r="V483" s="9"/>
      <c r="W483" s="9"/>
      <c r="X483" s="9"/>
      <c r="Y483" s="9"/>
      <c r="Z483" s="298"/>
      <c r="AA483" s="298"/>
    </row>
    <row r="484" spans="1:27" ht="13.5" customHeight="1" x14ac:dyDescent="0.25">
      <c r="A484" s="9"/>
      <c r="B484" s="9"/>
      <c r="C484" s="9"/>
      <c r="D484" s="9"/>
      <c r="E484" s="9"/>
      <c r="F484" s="185"/>
      <c r="G484" s="185"/>
      <c r="H484" s="9"/>
      <c r="I484" s="311"/>
      <c r="J484" s="310"/>
      <c r="K484" s="291"/>
      <c r="L484" s="309"/>
      <c r="M484" s="9"/>
      <c r="N484" s="9"/>
      <c r="O484" s="42"/>
      <c r="P484" s="310"/>
      <c r="Q484" s="293"/>
      <c r="R484" s="291"/>
      <c r="S484" s="294"/>
      <c r="T484" s="295"/>
      <c r="U484" s="9"/>
      <c r="V484" s="9"/>
      <c r="W484" s="9"/>
      <c r="X484" s="9"/>
      <c r="Y484" s="9"/>
      <c r="Z484" s="298"/>
      <c r="AA484" s="298"/>
    </row>
    <row r="485" spans="1:27" ht="13.5" customHeight="1" x14ac:dyDescent="0.25">
      <c r="A485" s="9"/>
      <c r="B485" s="9"/>
      <c r="C485" s="9"/>
      <c r="D485" s="9"/>
      <c r="E485" s="9"/>
      <c r="F485" s="185"/>
      <c r="G485" s="185"/>
      <c r="H485" s="9"/>
      <c r="I485" s="311"/>
      <c r="J485" s="310"/>
      <c r="K485" s="291"/>
      <c r="L485" s="309"/>
      <c r="M485" s="9"/>
      <c r="N485" s="9"/>
      <c r="O485" s="42"/>
      <c r="P485" s="310"/>
      <c r="Q485" s="293"/>
      <c r="R485" s="291"/>
      <c r="S485" s="294"/>
      <c r="T485" s="295"/>
      <c r="U485" s="9"/>
      <c r="V485" s="9"/>
      <c r="W485" s="9"/>
      <c r="X485" s="9"/>
      <c r="Y485" s="9"/>
      <c r="Z485" s="298"/>
      <c r="AA485" s="298"/>
    </row>
    <row r="486" spans="1:27" ht="13.5" customHeight="1" x14ac:dyDescent="0.25">
      <c r="A486" s="9"/>
      <c r="B486" s="9"/>
      <c r="C486" s="9"/>
      <c r="D486" s="9"/>
      <c r="E486" s="9"/>
      <c r="F486" s="185"/>
      <c r="G486" s="185"/>
      <c r="H486" s="9"/>
      <c r="I486" s="311"/>
      <c r="J486" s="310"/>
      <c r="K486" s="291"/>
      <c r="L486" s="309"/>
      <c r="M486" s="9"/>
      <c r="N486" s="9"/>
      <c r="O486" s="42"/>
      <c r="P486" s="310"/>
      <c r="Q486" s="293"/>
      <c r="R486" s="291"/>
      <c r="S486" s="294"/>
      <c r="T486" s="295"/>
      <c r="U486" s="9"/>
      <c r="V486" s="9"/>
      <c r="W486" s="9"/>
      <c r="X486" s="9"/>
      <c r="Y486" s="9"/>
      <c r="Z486" s="298"/>
      <c r="AA486" s="298"/>
    </row>
    <row r="487" spans="1:27" ht="13.5" customHeight="1" x14ac:dyDescent="0.25">
      <c r="A487" s="9"/>
      <c r="B487" s="9"/>
      <c r="C487" s="9"/>
      <c r="D487" s="9"/>
      <c r="E487" s="9"/>
      <c r="F487" s="185"/>
      <c r="G487" s="185"/>
      <c r="H487" s="9"/>
      <c r="I487" s="311"/>
      <c r="J487" s="310"/>
      <c r="K487" s="291"/>
      <c r="L487" s="309"/>
      <c r="M487" s="9"/>
      <c r="N487" s="9"/>
      <c r="O487" s="42"/>
      <c r="P487" s="310"/>
      <c r="Q487" s="293"/>
      <c r="R487" s="291"/>
      <c r="S487" s="294"/>
      <c r="T487" s="295"/>
      <c r="U487" s="9"/>
      <c r="V487" s="9"/>
      <c r="W487" s="9"/>
      <c r="X487" s="9"/>
      <c r="Y487" s="9"/>
      <c r="Z487" s="298"/>
      <c r="AA487" s="298"/>
    </row>
    <row r="488" spans="1:27" ht="13.5" customHeight="1" x14ac:dyDescent="0.25">
      <c r="A488" s="9"/>
      <c r="B488" s="9"/>
      <c r="C488" s="9"/>
      <c r="D488" s="9"/>
      <c r="E488" s="9"/>
      <c r="F488" s="185"/>
      <c r="G488" s="185"/>
      <c r="H488" s="9"/>
      <c r="I488" s="311"/>
      <c r="J488" s="310"/>
      <c r="K488" s="291"/>
      <c r="L488" s="309"/>
      <c r="M488" s="9"/>
      <c r="N488" s="9"/>
      <c r="O488" s="42"/>
      <c r="P488" s="310"/>
      <c r="Q488" s="293"/>
      <c r="R488" s="291"/>
      <c r="S488" s="294"/>
      <c r="T488" s="295"/>
      <c r="U488" s="9"/>
      <c r="V488" s="9"/>
      <c r="W488" s="9"/>
      <c r="X488" s="9"/>
      <c r="Y488" s="9"/>
      <c r="Z488" s="298"/>
      <c r="AA488" s="298"/>
    </row>
    <row r="489" spans="1:27" ht="13.5" customHeight="1" x14ac:dyDescent="0.25">
      <c r="A489" s="9"/>
      <c r="B489" s="9"/>
      <c r="C489" s="9"/>
      <c r="D489" s="9"/>
      <c r="E489" s="9"/>
      <c r="F489" s="185"/>
      <c r="G489" s="185"/>
      <c r="H489" s="9"/>
      <c r="I489" s="311"/>
      <c r="J489" s="310"/>
      <c r="K489" s="291"/>
      <c r="L489" s="309"/>
      <c r="M489" s="9"/>
      <c r="N489" s="9"/>
      <c r="O489" s="42"/>
      <c r="P489" s="310"/>
      <c r="Q489" s="293"/>
      <c r="R489" s="291"/>
      <c r="S489" s="294"/>
      <c r="T489" s="295"/>
      <c r="U489" s="9"/>
      <c r="V489" s="9"/>
      <c r="W489" s="9"/>
      <c r="X489" s="9"/>
      <c r="Y489" s="9"/>
      <c r="Z489" s="298"/>
      <c r="AA489" s="298"/>
    </row>
    <row r="490" spans="1:27" ht="13.5" customHeight="1" x14ac:dyDescent="0.25">
      <c r="A490" s="9"/>
      <c r="B490" s="9"/>
      <c r="C490" s="9"/>
      <c r="D490" s="9"/>
      <c r="E490" s="9"/>
      <c r="F490" s="185"/>
      <c r="G490" s="185"/>
      <c r="H490" s="9"/>
      <c r="I490" s="311"/>
      <c r="J490" s="310"/>
      <c r="K490" s="291"/>
      <c r="L490" s="309"/>
      <c r="M490" s="9"/>
      <c r="N490" s="9"/>
      <c r="O490" s="42"/>
      <c r="P490" s="310"/>
      <c r="Q490" s="293"/>
      <c r="R490" s="291"/>
      <c r="S490" s="294"/>
      <c r="T490" s="295"/>
      <c r="U490" s="9"/>
      <c r="V490" s="9"/>
      <c r="W490" s="9"/>
      <c r="X490" s="9"/>
      <c r="Y490" s="9"/>
      <c r="Z490" s="298"/>
      <c r="AA490" s="298"/>
    </row>
    <row r="491" spans="1:27" ht="13.5" customHeight="1" x14ac:dyDescent="0.25">
      <c r="A491" s="9"/>
      <c r="B491" s="9"/>
      <c r="C491" s="9"/>
      <c r="D491" s="9"/>
      <c r="E491" s="9"/>
      <c r="F491" s="185"/>
      <c r="G491" s="185"/>
      <c r="H491" s="9"/>
      <c r="I491" s="311"/>
      <c r="J491" s="310"/>
      <c r="K491" s="291"/>
      <c r="L491" s="309"/>
      <c r="M491" s="9"/>
      <c r="N491" s="9"/>
      <c r="O491" s="42"/>
      <c r="P491" s="310"/>
      <c r="Q491" s="293"/>
      <c r="R491" s="291"/>
      <c r="S491" s="294"/>
      <c r="T491" s="295"/>
      <c r="U491" s="9"/>
      <c r="V491" s="9"/>
      <c r="W491" s="9"/>
      <c r="X491" s="9"/>
      <c r="Y491" s="9"/>
      <c r="Z491" s="298"/>
      <c r="AA491" s="298"/>
    </row>
    <row r="492" spans="1:27" ht="13.5" customHeight="1" x14ac:dyDescent="0.25">
      <c r="A492" s="9"/>
      <c r="B492" s="9"/>
      <c r="C492" s="9"/>
      <c r="D492" s="9"/>
      <c r="E492" s="9"/>
      <c r="F492" s="185"/>
      <c r="G492" s="185"/>
      <c r="H492" s="9"/>
      <c r="I492" s="311"/>
      <c r="J492" s="310"/>
      <c r="K492" s="291"/>
      <c r="L492" s="309"/>
      <c r="M492" s="9"/>
      <c r="N492" s="9"/>
      <c r="O492" s="42"/>
      <c r="P492" s="310"/>
      <c r="Q492" s="293"/>
      <c r="R492" s="291"/>
      <c r="S492" s="294"/>
      <c r="T492" s="295"/>
      <c r="U492" s="9"/>
      <c r="V492" s="9"/>
      <c r="W492" s="9"/>
      <c r="X492" s="9"/>
      <c r="Y492" s="9"/>
      <c r="Z492" s="298"/>
      <c r="AA492" s="298"/>
    </row>
    <row r="493" spans="1:27" ht="13.5" customHeight="1" x14ac:dyDescent="0.25">
      <c r="A493" s="9"/>
      <c r="B493" s="9"/>
      <c r="C493" s="9"/>
      <c r="D493" s="9"/>
      <c r="E493" s="9"/>
      <c r="F493" s="185"/>
      <c r="G493" s="185"/>
      <c r="H493" s="9"/>
      <c r="I493" s="311"/>
      <c r="J493" s="310"/>
      <c r="K493" s="291"/>
      <c r="L493" s="309"/>
      <c r="M493" s="9"/>
      <c r="N493" s="9"/>
      <c r="O493" s="42"/>
      <c r="P493" s="310"/>
      <c r="Q493" s="293"/>
      <c r="R493" s="291"/>
      <c r="S493" s="294"/>
      <c r="T493" s="295"/>
      <c r="U493" s="9"/>
      <c r="V493" s="9"/>
      <c r="W493" s="9"/>
      <c r="X493" s="9"/>
      <c r="Y493" s="9"/>
      <c r="Z493" s="298"/>
      <c r="AA493" s="298"/>
    </row>
    <row r="494" spans="1:27" ht="13.5" customHeight="1" x14ac:dyDescent="0.25">
      <c r="A494" s="9"/>
      <c r="B494" s="9"/>
      <c r="C494" s="9"/>
      <c r="D494" s="9"/>
      <c r="E494" s="9"/>
      <c r="F494" s="185"/>
      <c r="G494" s="185"/>
      <c r="H494" s="9"/>
      <c r="I494" s="311"/>
      <c r="J494" s="310"/>
      <c r="K494" s="291"/>
      <c r="L494" s="309"/>
      <c r="M494" s="9"/>
      <c r="N494" s="9"/>
      <c r="O494" s="42"/>
      <c r="P494" s="310"/>
      <c r="Q494" s="293"/>
      <c r="R494" s="291"/>
      <c r="S494" s="294"/>
      <c r="T494" s="295"/>
      <c r="U494" s="9"/>
      <c r="V494" s="9"/>
      <c r="W494" s="9"/>
      <c r="X494" s="9"/>
      <c r="Y494" s="9"/>
      <c r="Z494" s="298"/>
      <c r="AA494" s="298"/>
    </row>
    <row r="495" spans="1:27" ht="13.5" customHeight="1" x14ac:dyDescent="0.25">
      <c r="A495" s="9"/>
      <c r="B495" s="9"/>
      <c r="C495" s="9"/>
      <c r="D495" s="9"/>
      <c r="E495" s="9"/>
      <c r="F495" s="185"/>
      <c r="G495" s="185"/>
      <c r="H495" s="9"/>
      <c r="I495" s="311"/>
      <c r="J495" s="310"/>
      <c r="K495" s="291"/>
      <c r="L495" s="309"/>
      <c r="M495" s="9"/>
      <c r="N495" s="9"/>
      <c r="O495" s="42"/>
      <c r="P495" s="310"/>
      <c r="Q495" s="293"/>
      <c r="R495" s="291"/>
      <c r="S495" s="294"/>
      <c r="T495" s="295"/>
      <c r="U495" s="9"/>
      <c r="V495" s="9"/>
      <c r="W495" s="9"/>
      <c r="X495" s="9"/>
      <c r="Y495" s="9"/>
      <c r="Z495" s="298"/>
      <c r="AA495" s="298"/>
    </row>
    <row r="496" spans="1:27" ht="13.5" customHeight="1" x14ac:dyDescent="0.25">
      <c r="A496" s="9"/>
      <c r="B496" s="9"/>
      <c r="C496" s="9"/>
      <c r="D496" s="9"/>
      <c r="E496" s="9"/>
      <c r="F496" s="185"/>
      <c r="G496" s="185"/>
      <c r="H496" s="9"/>
      <c r="I496" s="311"/>
      <c r="J496" s="310"/>
      <c r="K496" s="291"/>
      <c r="L496" s="309"/>
      <c r="M496" s="9"/>
      <c r="N496" s="9"/>
      <c r="O496" s="42"/>
      <c r="P496" s="310"/>
      <c r="Q496" s="293"/>
      <c r="R496" s="291"/>
      <c r="S496" s="294"/>
      <c r="T496" s="295"/>
      <c r="U496" s="9"/>
      <c r="V496" s="9"/>
      <c r="W496" s="9"/>
      <c r="X496" s="9"/>
      <c r="Y496" s="9"/>
      <c r="Z496" s="298"/>
      <c r="AA496" s="298"/>
    </row>
    <row r="497" spans="1:27" ht="13.5" customHeight="1" x14ac:dyDescent="0.25">
      <c r="A497" s="9"/>
      <c r="B497" s="9"/>
      <c r="C497" s="9"/>
      <c r="D497" s="9"/>
      <c r="E497" s="9"/>
      <c r="F497" s="185"/>
      <c r="G497" s="185"/>
      <c r="H497" s="9"/>
      <c r="I497" s="311"/>
      <c r="J497" s="310"/>
      <c r="K497" s="291"/>
      <c r="L497" s="309"/>
      <c r="M497" s="9"/>
      <c r="N497" s="9"/>
      <c r="O497" s="42"/>
      <c r="P497" s="310"/>
      <c r="Q497" s="293"/>
      <c r="R497" s="291"/>
      <c r="S497" s="294"/>
      <c r="T497" s="295"/>
      <c r="U497" s="9"/>
      <c r="V497" s="9"/>
      <c r="W497" s="9"/>
      <c r="X497" s="9"/>
      <c r="Y497" s="9"/>
      <c r="Z497" s="298"/>
      <c r="AA497" s="298"/>
    </row>
    <row r="498" spans="1:27" ht="13.5" customHeight="1" x14ac:dyDescent="0.25">
      <c r="A498" s="9"/>
      <c r="B498" s="9"/>
      <c r="C498" s="9"/>
      <c r="D498" s="9"/>
      <c r="E498" s="9"/>
      <c r="F498" s="185"/>
      <c r="G498" s="185"/>
      <c r="H498" s="9"/>
      <c r="I498" s="311"/>
      <c r="J498" s="310"/>
      <c r="K498" s="291"/>
      <c r="L498" s="309"/>
      <c r="M498" s="9"/>
      <c r="N498" s="9"/>
      <c r="O498" s="42"/>
      <c r="P498" s="310"/>
      <c r="Q498" s="293"/>
      <c r="R498" s="291"/>
      <c r="S498" s="294"/>
      <c r="T498" s="295"/>
      <c r="U498" s="9"/>
      <c r="V498" s="9"/>
      <c r="W498" s="9"/>
      <c r="X498" s="9"/>
      <c r="Y498" s="9"/>
      <c r="Z498" s="298"/>
      <c r="AA498" s="298"/>
    </row>
    <row r="499" spans="1:27" ht="13.5" customHeight="1" x14ac:dyDescent="0.25">
      <c r="A499" s="9"/>
      <c r="B499" s="9"/>
      <c r="C499" s="9"/>
      <c r="D499" s="9"/>
      <c r="E499" s="9"/>
      <c r="F499" s="185"/>
      <c r="G499" s="185"/>
      <c r="H499" s="9"/>
      <c r="I499" s="311"/>
      <c r="J499" s="310"/>
      <c r="K499" s="291"/>
      <c r="L499" s="309"/>
      <c r="M499" s="9"/>
      <c r="N499" s="9"/>
      <c r="O499" s="42"/>
      <c r="P499" s="310"/>
      <c r="Q499" s="293"/>
      <c r="R499" s="291"/>
      <c r="S499" s="294"/>
      <c r="T499" s="295"/>
      <c r="U499" s="9"/>
      <c r="V499" s="9"/>
      <c r="W499" s="9"/>
      <c r="X499" s="9"/>
      <c r="Y499" s="9"/>
      <c r="Z499" s="298"/>
      <c r="AA499" s="298"/>
    </row>
    <row r="500" spans="1:27" ht="13.5" customHeight="1" x14ac:dyDescent="0.25">
      <c r="A500" s="9"/>
      <c r="B500" s="9"/>
      <c r="C500" s="9"/>
      <c r="D500" s="9"/>
      <c r="E500" s="9"/>
      <c r="F500" s="185"/>
      <c r="G500" s="185"/>
      <c r="H500" s="9"/>
      <c r="I500" s="311"/>
      <c r="J500" s="310"/>
      <c r="K500" s="291"/>
      <c r="L500" s="309"/>
      <c r="M500" s="9"/>
      <c r="N500" s="9"/>
      <c r="O500" s="42"/>
      <c r="P500" s="310"/>
      <c r="Q500" s="293"/>
      <c r="R500" s="291"/>
      <c r="S500" s="294"/>
      <c r="T500" s="295"/>
      <c r="U500" s="9"/>
      <c r="V500" s="9"/>
      <c r="W500" s="9"/>
      <c r="X500" s="9"/>
      <c r="Y500" s="9"/>
      <c r="Z500" s="298"/>
      <c r="AA500" s="298"/>
    </row>
    <row r="501" spans="1:27" ht="13.5" customHeight="1" x14ac:dyDescent="0.25">
      <c r="A501" s="9"/>
      <c r="B501" s="9"/>
      <c r="C501" s="9"/>
      <c r="D501" s="9"/>
      <c r="E501" s="9"/>
      <c r="F501" s="185"/>
      <c r="G501" s="185"/>
      <c r="H501" s="9"/>
      <c r="I501" s="311"/>
      <c r="J501" s="310"/>
      <c r="K501" s="291"/>
      <c r="L501" s="309"/>
      <c r="M501" s="9"/>
      <c r="N501" s="9"/>
      <c r="O501" s="42"/>
      <c r="P501" s="310"/>
      <c r="Q501" s="293"/>
      <c r="R501" s="291"/>
      <c r="S501" s="294"/>
      <c r="T501" s="295"/>
      <c r="U501" s="9"/>
      <c r="V501" s="9"/>
      <c r="W501" s="9"/>
      <c r="X501" s="9"/>
      <c r="Y501" s="9"/>
      <c r="Z501" s="298"/>
      <c r="AA501" s="298"/>
    </row>
    <row r="502" spans="1:27" ht="13.5" customHeight="1" x14ac:dyDescent="0.25">
      <c r="A502" s="9"/>
      <c r="B502" s="9"/>
      <c r="C502" s="9"/>
      <c r="D502" s="9"/>
      <c r="E502" s="9"/>
      <c r="F502" s="185"/>
      <c r="G502" s="185"/>
      <c r="H502" s="9"/>
      <c r="I502" s="311"/>
      <c r="J502" s="310"/>
      <c r="K502" s="291"/>
      <c r="L502" s="309"/>
      <c r="M502" s="9"/>
      <c r="N502" s="9"/>
      <c r="O502" s="42"/>
      <c r="P502" s="310"/>
      <c r="Q502" s="293"/>
      <c r="R502" s="291"/>
      <c r="S502" s="294"/>
      <c r="T502" s="295"/>
      <c r="U502" s="9"/>
      <c r="V502" s="9"/>
      <c r="W502" s="9"/>
      <c r="X502" s="9"/>
      <c r="Y502" s="9"/>
      <c r="Z502" s="298"/>
      <c r="AA502" s="298"/>
    </row>
    <row r="503" spans="1:27" ht="13.5" customHeight="1" x14ac:dyDescent="0.25">
      <c r="A503" s="9"/>
      <c r="B503" s="9"/>
      <c r="C503" s="9"/>
      <c r="D503" s="9"/>
      <c r="E503" s="9"/>
      <c r="F503" s="185"/>
      <c r="G503" s="185"/>
      <c r="H503" s="9"/>
      <c r="I503" s="311"/>
      <c r="J503" s="310"/>
      <c r="K503" s="291"/>
      <c r="L503" s="309"/>
      <c r="M503" s="9"/>
      <c r="N503" s="9"/>
      <c r="O503" s="42"/>
      <c r="P503" s="310"/>
      <c r="Q503" s="293"/>
      <c r="R503" s="291"/>
      <c r="S503" s="294"/>
      <c r="T503" s="295"/>
      <c r="U503" s="9"/>
      <c r="V503" s="9"/>
      <c r="W503" s="9"/>
      <c r="X503" s="9"/>
      <c r="Y503" s="9"/>
      <c r="Z503" s="298"/>
      <c r="AA503" s="298"/>
    </row>
    <row r="504" spans="1:27" ht="13.5" customHeight="1" x14ac:dyDescent="0.25">
      <c r="A504" s="9"/>
      <c r="B504" s="9"/>
      <c r="C504" s="9"/>
      <c r="D504" s="9"/>
      <c r="E504" s="9"/>
      <c r="F504" s="185"/>
      <c r="G504" s="185"/>
      <c r="H504" s="9"/>
      <c r="I504" s="311"/>
      <c r="J504" s="310"/>
      <c r="K504" s="291"/>
      <c r="L504" s="309"/>
      <c r="M504" s="9"/>
      <c r="N504" s="9"/>
      <c r="O504" s="42"/>
      <c r="P504" s="310"/>
      <c r="Q504" s="293"/>
      <c r="R504" s="291"/>
      <c r="S504" s="294"/>
      <c r="T504" s="295"/>
      <c r="U504" s="9"/>
      <c r="V504" s="9"/>
      <c r="W504" s="9"/>
      <c r="X504" s="9"/>
      <c r="Y504" s="9"/>
      <c r="Z504" s="298"/>
      <c r="AA504" s="298"/>
    </row>
    <row r="505" spans="1:27" ht="13.5" customHeight="1" x14ac:dyDescent="0.25">
      <c r="A505" s="9"/>
      <c r="B505" s="9"/>
      <c r="C505" s="9"/>
      <c r="D505" s="9"/>
      <c r="E505" s="9"/>
      <c r="F505" s="185"/>
      <c r="G505" s="185"/>
      <c r="H505" s="9"/>
      <c r="I505" s="311"/>
      <c r="J505" s="310"/>
      <c r="K505" s="291"/>
      <c r="L505" s="309"/>
      <c r="M505" s="9"/>
      <c r="N505" s="9"/>
      <c r="O505" s="42"/>
      <c r="P505" s="310"/>
      <c r="Q505" s="293"/>
      <c r="R505" s="291"/>
      <c r="S505" s="294"/>
      <c r="T505" s="295"/>
      <c r="U505" s="9"/>
      <c r="V505" s="9"/>
      <c r="W505" s="9"/>
      <c r="X505" s="9"/>
      <c r="Y505" s="9"/>
      <c r="Z505" s="298"/>
      <c r="AA505" s="298"/>
    </row>
    <row r="506" spans="1:27" ht="13.5" customHeight="1" x14ac:dyDescent="0.25">
      <c r="A506" s="9"/>
      <c r="B506" s="9"/>
      <c r="C506" s="9"/>
      <c r="D506" s="9"/>
      <c r="E506" s="9"/>
      <c r="F506" s="185"/>
      <c r="G506" s="185"/>
      <c r="H506" s="9"/>
      <c r="I506" s="311"/>
      <c r="J506" s="310"/>
      <c r="K506" s="291"/>
      <c r="L506" s="309"/>
      <c r="M506" s="9"/>
      <c r="N506" s="9"/>
      <c r="O506" s="42"/>
      <c r="P506" s="310"/>
      <c r="Q506" s="293"/>
      <c r="R506" s="291"/>
      <c r="S506" s="294"/>
      <c r="T506" s="295"/>
      <c r="U506" s="9"/>
      <c r="V506" s="9"/>
      <c r="W506" s="9"/>
      <c r="X506" s="9"/>
      <c r="Y506" s="9"/>
      <c r="Z506" s="298"/>
      <c r="AA506" s="298"/>
    </row>
    <row r="507" spans="1:27" ht="13.5" customHeight="1" x14ac:dyDescent="0.25">
      <c r="A507" s="9"/>
      <c r="B507" s="9"/>
      <c r="C507" s="9"/>
      <c r="D507" s="9"/>
      <c r="E507" s="9"/>
      <c r="F507" s="185"/>
      <c r="G507" s="185"/>
      <c r="H507" s="9"/>
      <c r="I507" s="311"/>
      <c r="J507" s="310"/>
      <c r="K507" s="291"/>
      <c r="L507" s="309"/>
      <c r="M507" s="9"/>
      <c r="N507" s="9"/>
      <c r="O507" s="42"/>
      <c r="P507" s="310"/>
      <c r="Q507" s="293"/>
      <c r="R507" s="291"/>
      <c r="S507" s="294"/>
      <c r="T507" s="295"/>
      <c r="U507" s="9"/>
      <c r="V507" s="9"/>
      <c r="W507" s="9"/>
      <c r="X507" s="9"/>
      <c r="Y507" s="9"/>
      <c r="Z507" s="298"/>
      <c r="AA507" s="298"/>
    </row>
    <row r="508" spans="1:27" ht="13.5" customHeight="1" x14ac:dyDescent="0.25">
      <c r="A508" s="9"/>
      <c r="B508" s="9"/>
      <c r="C508" s="9"/>
      <c r="D508" s="9"/>
      <c r="E508" s="9"/>
      <c r="F508" s="185"/>
      <c r="G508" s="185"/>
      <c r="H508" s="9"/>
      <c r="I508" s="311"/>
      <c r="J508" s="310"/>
      <c r="K508" s="291"/>
      <c r="L508" s="309"/>
      <c r="M508" s="9"/>
      <c r="N508" s="9"/>
      <c r="O508" s="42"/>
      <c r="P508" s="310"/>
      <c r="Q508" s="293"/>
      <c r="R508" s="291"/>
      <c r="S508" s="294"/>
      <c r="T508" s="295"/>
      <c r="U508" s="9"/>
      <c r="V508" s="9"/>
      <c r="W508" s="9"/>
      <c r="X508" s="9"/>
      <c r="Y508" s="9"/>
      <c r="Z508" s="298"/>
      <c r="AA508" s="298"/>
    </row>
    <row r="509" spans="1:27" ht="13.5" customHeight="1" x14ac:dyDescent="0.25">
      <c r="A509" s="9"/>
      <c r="B509" s="9"/>
      <c r="C509" s="9"/>
      <c r="D509" s="9"/>
      <c r="E509" s="9"/>
      <c r="F509" s="185"/>
      <c r="G509" s="185"/>
      <c r="H509" s="9"/>
      <c r="I509" s="311"/>
      <c r="J509" s="310"/>
      <c r="K509" s="291"/>
      <c r="L509" s="309"/>
      <c r="M509" s="9"/>
      <c r="N509" s="9"/>
      <c r="O509" s="42"/>
      <c r="P509" s="310"/>
      <c r="Q509" s="293"/>
      <c r="R509" s="291"/>
      <c r="S509" s="294"/>
      <c r="T509" s="295"/>
      <c r="U509" s="9"/>
      <c r="V509" s="9"/>
      <c r="W509" s="9"/>
      <c r="X509" s="9"/>
      <c r="Y509" s="9"/>
      <c r="Z509" s="298"/>
      <c r="AA509" s="298"/>
    </row>
    <row r="510" spans="1:27" ht="13.5" customHeight="1" x14ac:dyDescent="0.25">
      <c r="A510" s="9"/>
      <c r="B510" s="9"/>
      <c r="C510" s="9"/>
      <c r="D510" s="9"/>
      <c r="E510" s="9"/>
      <c r="F510" s="185"/>
      <c r="G510" s="185"/>
      <c r="H510" s="9"/>
      <c r="I510" s="311"/>
      <c r="J510" s="310"/>
      <c r="K510" s="291"/>
      <c r="L510" s="309"/>
      <c r="M510" s="9"/>
      <c r="N510" s="9"/>
      <c r="O510" s="42"/>
      <c r="P510" s="310"/>
      <c r="Q510" s="293"/>
      <c r="R510" s="291"/>
      <c r="S510" s="294"/>
      <c r="T510" s="295"/>
      <c r="U510" s="9"/>
      <c r="V510" s="9"/>
      <c r="W510" s="9"/>
      <c r="X510" s="9"/>
      <c r="Y510" s="9"/>
      <c r="Z510" s="298"/>
      <c r="AA510" s="298"/>
    </row>
    <row r="511" spans="1:27" ht="13.5" customHeight="1" x14ac:dyDescent="0.25">
      <c r="A511" s="9"/>
      <c r="B511" s="9"/>
      <c r="C511" s="9"/>
      <c r="D511" s="9"/>
      <c r="E511" s="9"/>
      <c r="F511" s="185"/>
      <c r="G511" s="185"/>
      <c r="H511" s="9"/>
      <c r="I511" s="311"/>
      <c r="J511" s="310"/>
      <c r="K511" s="291"/>
      <c r="L511" s="309"/>
      <c r="M511" s="9"/>
      <c r="N511" s="9"/>
      <c r="O511" s="42"/>
      <c r="P511" s="310"/>
      <c r="Q511" s="293"/>
      <c r="R511" s="291"/>
      <c r="S511" s="294"/>
      <c r="T511" s="295"/>
      <c r="U511" s="9"/>
      <c r="V511" s="9"/>
      <c r="W511" s="9"/>
      <c r="X511" s="9"/>
      <c r="Y511" s="9"/>
      <c r="Z511" s="298"/>
      <c r="AA511" s="298"/>
    </row>
    <row r="512" spans="1:27" ht="13.5" customHeight="1" x14ac:dyDescent="0.25">
      <c r="A512" s="9"/>
      <c r="B512" s="9"/>
      <c r="C512" s="9"/>
      <c r="D512" s="9"/>
      <c r="E512" s="9"/>
      <c r="F512" s="185"/>
      <c r="G512" s="185"/>
      <c r="H512" s="9"/>
      <c r="I512" s="311"/>
      <c r="J512" s="310"/>
      <c r="K512" s="291"/>
      <c r="L512" s="309"/>
      <c r="M512" s="9"/>
      <c r="N512" s="9"/>
      <c r="O512" s="42"/>
      <c r="P512" s="310"/>
      <c r="Q512" s="293"/>
      <c r="R512" s="291"/>
      <c r="S512" s="294"/>
      <c r="T512" s="295"/>
      <c r="U512" s="9"/>
      <c r="V512" s="9"/>
      <c r="W512" s="9"/>
      <c r="X512" s="9"/>
      <c r="Y512" s="9"/>
      <c r="Z512" s="298"/>
      <c r="AA512" s="298"/>
    </row>
    <row r="513" spans="1:27" ht="13.5" customHeight="1" x14ac:dyDescent="0.25">
      <c r="A513" s="9"/>
      <c r="B513" s="9"/>
      <c r="C513" s="9"/>
      <c r="D513" s="9"/>
      <c r="E513" s="9"/>
      <c r="F513" s="185"/>
      <c r="G513" s="185"/>
      <c r="H513" s="9"/>
      <c r="I513" s="311"/>
      <c r="J513" s="310"/>
      <c r="K513" s="291"/>
      <c r="L513" s="309"/>
      <c r="M513" s="9"/>
      <c r="N513" s="9"/>
      <c r="O513" s="42"/>
      <c r="P513" s="310"/>
      <c r="Q513" s="293"/>
      <c r="R513" s="291"/>
      <c r="S513" s="294"/>
      <c r="T513" s="295"/>
      <c r="U513" s="9"/>
      <c r="V513" s="9"/>
      <c r="W513" s="9"/>
      <c r="X513" s="9"/>
      <c r="Y513" s="9"/>
      <c r="Z513" s="298"/>
      <c r="AA513" s="298"/>
    </row>
    <row r="514" spans="1:27" ht="13.5" customHeight="1" x14ac:dyDescent="0.25">
      <c r="A514" s="9"/>
      <c r="B514" s="9"/>
      <c r="C514" s="9"/>
      <c r="D514" s="9"/>
      <c r="E514" s="9"/>
      <c r="F514" s="185"/>
      <c r="G514" s="185"/>
      <c r="H514" s="9"/>
      <c r="I514" s="311"/>
      <c r="J514" s="310"/>
      <c r="K514" s="291"/>
      <c r="L514" s="309"/>
      <c r="M514" s="9"/>
      <c r="N514" s="9"/>
      <c r="O514" s="42"/>
      <c r="P514" s="310"/>
      <c r="Q514" s="293"/>
      <c r="R514" s="291"/>
      <c r="S514" s="294"/>
      <c r="T514" s="295"/>
      <c r="U514" s="9"/>
      <c r="V514" s="9"/>
      <c r="W514" s="9"/>
      <c r="X514" s="9"/>
      <c r="Y514" s="9"/>
      <c r="Z514" s="298"/>
      <c r="AA514" s="298"/>
    </row>
  </sheetData>
  <mergeCells count="55">
    <mergeCell ref="C233:K233"/>
    <mergeCell ref="P233:Q233"/>
    <mergeCell ref="P228:Q228"/>
    <mergeCell ref="P229:Q229"/>
    <mergeCell ref="P230:Q230"/>
    <mergeCell ref="P231:Q231"/>
    <mergeCell ref="P232:Q232"/>
    <mergeCell ref="P223:Q223"/>
    <mergeCell ref="P224:Q224"/>
    <mergeCell ref="P225:Q225"/>
    <mergeCell ref="P226:Q226"/>
    <mergeCell ref="P227:Q227"/>
    <mergeCell ref="C219:K219"/>
    <mergeCell ref="C222:L222"/>
    <mergeCell ref="M222:R222"/>
    <mergeCell ref="P211:Q211"/>
    <mergeCell ref="P212:Q212"/>
    <mergeCell ref="P213:Q213"/>
    <mergeCell ref="P214:Q214"/>
    <mergeCell ref="P215:Q215"/>
    <mergeCell ref="P216:Q216"/>
    <mergeCell ref="C218:K218"/>
    <mergeCell ref="P217:Q217"/>
    <mergeCell ref="P218:Q218"/>
    <mergeCell ref="C207:L207"/>
    <mergeCell ref="M207:R207"/>
    <mergeCell ref="P208:Q208"/>
    <mergeCell ref="P209:Q209"/>
    <mergeCell ref="P210:Q210"/>
    <mergeCell ref="A101:A108"/>
    <mergeCell ref="A109:A196"/>
    <mergeCell ref="A197:A198"/>
    <mergeCell ref="A2:A100"/>
    <mergeCell ref="F91:I91"/>
    <mergeCell ref="F92:I92"/>
    <mergeCell ref="F93:I93"/>
    <mergeCell ref="F94:I94"/>
    <mergeCell ref="F95:I95"/>
    <mergeCell ref="F96:I96"/>
    <mergeCell ref="F97:I97"/>
    <mergeCell ref="F98:I98"/>
    <mergeCell ref="C248:K248"/>
    <mergeCell ref="P248:Q248"/>
    <mergeCell ref="C237:L237"/>
    <mergeCell ref="M237:R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</mergeCells>
  <conditionalFormatting sqref="P209:Q218 P224:Q233 P239:Q248">
    <cfRule type="cellIs" dxfId="2" priority="1" operator="greaterThanOrEqual">
      <formula>1</formula>
    </cfRule>
  </conditionalFormatting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7"/>
  <sheetViews>
    <sheetView tabSelected="1" workbookViewId="0">
      <pane ySplit="1" topLeftCell="A29" activePane="bottomLeft" state="frozen"/>
      <selection pane="bottomLeft" activeCell="E52" sqref="E52"/>
    </sheetView>
  </sheetViews>
  <sheetFormatPr defaultColWidth="14.42578125" defaultRowHeight="15" customHeight="1" outlineLevelRow="1" outlineLevelCol="1" x14ac:dyDescent="0.25"/>
  <cols>
    <col min="1" max="1" width="6.28515625" customWidth="1"/>
    <col min="2" max="2" width="20.28515625" customWidth="1"/>
    <col min="3" max="3" width="13.42578125" customWidth="1"/>
    <col min="4" max="4" width="12" customWidth="1"/>
    <col min="5" max="5" width="14.42578125" customWidth="1"/>
    <col min="6" max="6" width="10.28515625" hidden="1" customWidth="1" outlineLevel="1"/>
    <col min="7" max="7" width="9.7109375" hidden="1" customWidth="1" outlineLevel="1"/>
    <col min="8" max="8" width="13.28515625" hidden="1" customWidth="1" outlineLevel="1"/>
    <col min="9" max="9" width="8.7109375" customWidth="1" collapsed="1"/>
    <col min="10" max="10" width="8" customWidth="1"/>
    <col min="11" max="11" width="7.7109375" customWidth="1"/>
    <col min="12" max="12" width="12.85546875" customWidth="1"/>
    <col min="13" max="13" width="12.5703125" customWidth="1"/>
    <col min="14" max="14" width="9.85546875" customWidth="1"/>
    <col min="15" max="15" width="11.42578125" customWidth="1"/>
    <col min="16" max="16" width="11.5703125" hidden="1" customWidth="1" outlineLevel="1"/>
    <col min="17" max="17" width="12.7109375" customWidth="1" collapsed="1"/>
    <col min="18" max="18" width="14.5703125" customWidth="1"/>
    <col min="19" max="19" width="13" hidden="1" customWidth="1" outlineLevel="1"/>
    <col min="20" max="20" width="13.140625" hidden="1" customWidth="1" outlineLevel="1"/>
    <col min="21" max="21" width="9.7109375" customWidth="1" collapsed="1"/>
    <col min="22" max="22" width="8.7109375" customWidth="1"/>
    <col min="23" max="25" width="10.7109375" customWidth="1"/>
    <col min="26" max="27" width="8.7109375" customWidth="1"/>
  </cols>
  <sheetData>
    <row r="1" spans="1:27" ht="13.5" customHeight="1" x14ac:dyDescent="0.25">
      <c r="A1" s="94" t="s">
        <v>34</v>
      </c>
      <c r="B1" s="95" t="s">
        <v>22</v>
      </c>
      <c r="C1" s="47" t="s">
        <v>35</v>
      </c>
      <c r="D1" s="47" t="s">
        <v>24</v>
      </c>
      <c r="E1" s="47" t="s">
        <v>25</v>
      </c>
      <c r="F1" s="47" t="s">
        <v>36</v>
      </c>
      <c r="G1" s="96" t="s">
        <v>37</v>
      </c>
      <c r="H1" s="47" t="s">
        <v>38</v>
      </c>
      <c r="I1" s="97" t="s">
        <v>26</v>
      </c>
      <c r="J1" s="98" t="s">
        <v>27</v>
      </c>
      <c r="K1" s="47" t="s">
        <v>39</v>
      </c>
      <c r="L1" s="47" t="s">
        <v>40</v>
      </c>
      <c r="M1" s="47" t="s">
        <v>41</v>
      </c>
      <c r="N1" s="47" t="s">
        <v>42</v>
      </c>
      <c r="O1" s="48" t="s">
        <v>43</v>
      </c>
      <c r="P1" s="47" t="s">
        <v>44</v>
      </c>
      <c r="Q1" s="49" t="s">
        <v>45</v>
      </c>
      <c r="R1" s="99" t="s">
        <v>46</v>
      </c>
      <c r="S1" s="47" t="s">
        <v>47</v>
      </c>
      <c r="T1" s="47" t="s">
        <v>48</v>
      </c>
      <c r="U1" s="100" t="s">
        <v>49</v>
      </c>
      <c r="V1" s="45"/>
      <c r="W1" s="46"/>
      <c r="X1" s="46"/>
      <c r="Y1" s="46"/>
      <c r="Z1" s="4"/>
      <c r="AA1" s="4"/>
    </row>
    <row r="2" spans="1:27" ht="13.5" customHeight="1" x14ac:dyDescent="0.25">
      <c r="A2" s="370" t="s">
        <v>50</v>
      </c>
      <c r="B2" s="101" t="s">
        <v>51</v>
      </c>
      <c r="C2" s="101"/>
      <c r="D2" s="101"/>
      <c r="E2" s="101"/>
      <c r="F2" s="101"/>
      <c r="G2" s="101"/>
      <c r="H2" s="101"/>
      <c r="I2" s="102"/>
      <c r="J2" s="103"/>
      <c r="K2" s="101"/>
      <c r="L2" s="101"/>
      <c r="M2" s="101"/>
      <c r="N2" s="104"/>
      <c r="O2" s="105"/>
      <c r="P2" s="101"/>
      <c r="Q2" s="106"/>
      <c r="R2" s="107"/>
      <c r="S2" s="101"/>
      <c r="T2" s="101"/>
      <c r="U2" s="108"/>
      <c r="V2" s="16"/>
      <c r="W2" s="16"/>
      <c r="X2" s="16"/>
      <c r="Y2" s="16"/>
      <c r="Z2" s="16"/>
      <c r="AA2" s="16"/>
    </row>
    <row r="3" spans="1:27" ht="14.25" customHeight="1" outlineLevel="1" x14ac:dyDescent="0.25">
      <c r="A3" s="371"/>
      <c r="B3" s="109"/>
      <c r="C3" s="110">
        <v>2.7E-2</v>
      </c>
      <c r="D3" s="111">
        <v>0.14000000000000001</v>
      </c>
      <c r="E3" s="56">
        <v>4.2</v>
      </c>
      <c r="F3" s="112">
        <f t="shared" ref="F3:F28" si="0">C3*D3*E3</f>
        <v>1.5876000000000001E-2</v>
      </c>
      <c r="G3" s="112">
        <f t="shared" ref="G3:G28" si="1">D3*E3</f>
        <v>0.58800000000000008</v>
      </c>
      <c r="H3" s="113">
        <v>401.52</v>
      </c>
      <c r="I3" s="114">
        <f t="shared" ref="I3:I4" si="2">ROUND(H3*1.1667,0)</f>
        <v>468</v>
      </c>
      <c r="J3" s="115">
        <f t="shared" ref="J3:J10" si="3">ROUND((I3*0.992)*1.21,0)*(C3*D3*E3)</f>
        <v>8.9223120000000016</v>
      </c>
      <c r="K3" s="116">
        <f t="shared" ref="K3:K28" si="4">J3/(D3*E3)</f>
        <v>15.174000000000001</v>
      </c>
      <c r="L3" s="117">
        <f t="shared" ref="L3:L18" si="5">T3+R3-O3</f>
        <v>181</v>
      </c>
      <c r="M3" s="118">
        <f t="shared" ref="M3:M28" si="6">L3*F3</f>
        <v>2.8735560000000002</v>
      </c>
      <c r="N3" s="119">
        <f t="shared" ref="N3:N28" si="7">L3*G3</f>
        <v>106.42800000000001</v>
      </c>
      <c r="O3" s="120"/>
      <c r="P3" s="121" t="str">
        <f t="shared" ref="P3:P28" si="8">IF(O3="","",(O3*F3))</f>
        <v/>
      </c>
      <c r="Q3" s="122"/>
      <c r="R3" s="123"/>
      <c r="S3" s="56">
        <f t="shared" ref="S3:S28" si="9">R3*F3</f>
        <v>0</v>
      </c>
      <c r="T3" s="124">
        <v>181</v>
      </c>
      <c r="U3" s="125">
        <f t="shared" ref="U3:U28" si="10">J3*L3</f>
        <v>1614.9384720000003</v>
      </c>
      <c r="V3" s="9" t="str">
        <f t="shared" ref="V3:V126" si="11">IF(O3="","",Q3-(O3*(H3*F3)))</f>
        <v/>
      </c>
      <c r="W3" s="9" t="str">
        <f t="shared" ref="W3:W129" si="12">IF(O3="","",(P3*H3))</f>
        <v/>
      </c>
      <c r="X3" s="9"/>
      <c r="Y3" s="9"/>
      <c r="Z3" s="9"/>
      <c r="AA3" s="9"/>
    </row>
    <row r="4" spans="1:27" ht="14.25" customHeight="1" outlineLevel="1" x14ac:dyDescent="0.25">
      <c r="A4" s="371"/>
      <c r="B4" s="109"/>
      <c r="C4" s="110">
        <v>2.7E-2</v>
      </c>
      <c r="D4" s="55">
        <v>0.14000000000000001</v>
      </c>
      <c r="E4" s="56">
        <v>4.8</v>
      </c>
      <c r="F4" s="112">
        <f t="shared" si="0"/>
        <v>1.8144E-2</v>
      </c>
      <c r="G4" s="112">
        <f t="shared" si="1"/>
        <v>0.67200000000000004</v>
      </c>
      <c r="H4" s="113">
        <v>401.52</v>
      </c>
      <c r="I4" s="114">
        <f t="shared" si="2"/>
        <v>468</v>
      </c>
      <c r="J4" s="115">
        <f t="shared" si="3"/>
        <v>10.196928</v>
      </c>
      <c r="K4" s="116">
        <f t="shared" si="4"/>
        <v>15.173999999999999</v>
      </c>
      <c r="L4" s="117">
        <f t="shared" si="5"/>
        <v>226</v>
      </c>
      <c r="M4" s="118">
        <f t="shared" si="6"/>
        <v>4.1005440000000002</v>
      </c>
      <c r="N4" s="119">
        <f t="shared" si="7"/>
        <v>151.87200000000001</v>
      </c>
      <c r="O4" s="126"/>
      <c r="P4" s="121" t="str">
        <f t="shared" si="8"/>
        <v/>
      </c>
      <c r="Q4" s="122"/>
      <c r="R4" s="123"/>
      <c r="S4" s="56">
        <f t="shared" si="9"/>
        <v>0</v>
      </c>
      <c r="T4" s="124">
        <v>226</v>
      </c>
      <c r="U4" s="125">
        <f t="shared" si="10"/>
        <v>2304.5057280000001</v>
      </c>
      <c r="V4" s="9" t="str">
        <f t="shared" si="11"/>
        <v/>
      </c>
      <c r="W4" s="9" t="str">
        <f t="shared" si="12"/>
        <v/>
      </c>
      <c r="X4" s="9"/>
      <c r="Y4" s="9"/>
      <c r="Z4" s="9"/>
      <c r="AA4" s="9"/>
    </row>
    <row r="5" spans="1:27" ht="14.25" customHeight="1" outlineLevel="1" x14ac:dyDescent="0.25">
      <c r="A5" s="371"/>
      <c r="B5" s="109"/>
      <c r="C5" s="110">
        <v>2.8000000000000001E-2</v>
      </c>
      <c r="D5" s="55">
        <v>9.5000000000000001E-2</v>
      </c>
      <c r="E5" s="56">
        <v>3</v>
      </c>
      <c r="F5" s="127">
        <f t="shared" si="0"/>
        <v>7.980000000000001E-3</v>
      </c>
      <c r="G5" s="127">
        <f t="shared" si="1"/>
        <v>0.28500000000000003</v>
      </c>
      <c r="H5" s="113">
        <v>404.93</v>
      </c>
      <c r="I5" s="114">
        <f>ROUND(H5*1.12,0)</f>
        <v>454</v>
      </c>
      <c r="J5" s="115">
        <f t="shared" si="3"/>
        <v>4.3491000000000009</v>
      </c>
      <c r="K5" s="128">
        <f t="shared" si="4"/>
        <v>15.260000000000002</v>
      </c>
      <c r="L5" s="117">
        <f t="shared" si="5"/>
        <v>599</v>
      </c>
      <c r="M5" s="118">
        <f t="shared" si="6"/>
        <v>4.7800200000000004</v>
      </c>
      <c r="N5" s="129">
        <f t="shared" si="7"/>
        <v>170.71500000000003</v>
      </c>
      <c r="O5" s="126"/>
      <c r="P5" s="121" t="str">
        <f t="shared" si="8"/>
        <v/>
      </c>
      <c r="Q5" s="130"/>
      <c r="R5" s="123"/>
      <c r="S5" s="56">
        <f t="shared" si="9"/>
        <v>0</v>
      </c>
      <c r="T5" s="124">
        <v>599</v>
      </c>
      <c r="U5" s="125">
        <f t="shared" si="10"/>
        <v>2605.1109000000006</v>
      </c>
      <c r="V5" s="9" t="str">
        <f t="shared" si="11"/>
        <v/>
      </c>
      <c r="W5" s="9" t="str">
        <f t="shared" si="12"/>
        <v/>
      </c>
      <c r="X5" s="9"/>
      <c r="Y5" s="9"/>
      <c r="Z5" s="9"/>
      <c r="AA5" s="9"/>
    </row>
    <row r="6" spans="1:27" ht="14.25" customHeight="1" outlineLevel="1" x14ac:dyDescent="0.25">
      <c r="A6" s="371"/>
      <c r="B6" s="109"/>
      <c r="C6" s="110">
        <v>2.8000000000000001E-2</v>
      </c>
      <c r="D6" s="55">
        <v>0.115</v>
      </c>
      <c r="E6" s="56">
        <v>3</v>
      </c>
      <c r="F6" s="112">
        <f t="shared" si="0"/>
        <v>9.6600000000000002E-3</v>
      </c>
      <c r="G6" s="112">
        <f t="shared" si="1"/>
        <v>0.34500000000000003</v>
      </c>
      <c r="H6" s="113">
        <v>402.09</v>
      </c>
      <c r="I6" s="114">
        <f>ROUND(H6*1.13,0)</f>
        <v>454</v>
      </c>
      <c r="J6" s="115">
        <f t="shared" si="3"/>
        <v>5.2647000000000004</v>
      </c>
      <c r="K6" s="116">
        <f t="shared" si="4"/>
        <v>15.26</v>
      </c>
      <c r="L6" s="117">
        <f t="shared" si="5"/>
        <v>52</v>
      </c>
      <c r="M6" s="118">
        <f t="shared" si="6"/>
        <v>0.50231999999999999</v>
      </c>
      <c r="N6" s="119">
        <f t="shared" si="7"/>
        <v>17.940000000000001</v>
      </c>
      <c r="O6" s="126"/>
      <c r="P6" s="121" t="str">
        <f t="shared" si="8"/>
        <v/>
      </c>
      <c r="Q6" s="122"/>
      <c r="R6" s="123"/>
      <c r="S6" s="56">
        <f t="shared" si="9"/>
        <v>0</v>
      </c>
      <c r="T6" s="124">
        <v>52</v>
      </c>
      <c r="U6" s="125">
        <f t="shared" si="10"/>
        <v>273.76440000000002</v>
      </c>
      <c r="V6" s="9" t="str">
        <f t="shared" si="11"/>
        <v/>
      </c>
      <c r="W6" s="9" t="str">
        <f t="shared" si="12"/>
        <v/>
      </c>
      <c r="X6" s="9"/>
      <c r="Y6" s="9"/>
      <c r="Z6" s="9"/>
      <c r="AA6" s="9"/>
    </row>
    <row r="7" spans="1:27" ht="14.25" customHeight="1" outlineLevel="1" x14ac:dyDescent="0.25">
      <c r="A7" s="371"/>
      <c r="B7" s="109" t="s">
        <v>52</v>
      </c>
      <c r="C7" s="110">
        <v>2.8000000000000001E-2</v>
      </c>
      <c r="D7" s="55">
        <v>0.12</v>
      </c>
      <c r="E7" s="56">
        <v>4.5</v>
      </c>
      <c r="F7" s="127">
        <f t="shared" si="0"/>
        <v>1.5120000000000001E-2</v>
      </c>
      <c r="G7" s="127">
        <f t="shared" si="1"/>
        <v>0.54</v>
      </c>
      <c r="H7" s="113">
        <f>395+(50/1.709)</f>
        <v>424.25687536571093</v>
      </c>
      <c r="I7" s="114">
        <f>ROUND(H7*1.067,0)</f>
        <v>453</v>
      </c>
      <c r="J7" s="115">
        <f t="shared" si="3"/>
        <v>8.2252800000000015</v>
      </c>
      <c r="K7" s="128">
        <f t="shared" si="4"/>
        <v>15.232000000000001</v>
      </c>
      <c r="L7" s="117">
        <f t="shared" si="5"/>
        <v>329</v>
      </c>
      <c r="M7" s="118">
        <f t="shared" si="6"/>
        <v>4.9744800000000007</v>
      </c>
      <c r="N7" s="129">
        <f t="shared" si="7"/>
        <v>177.66000000000003</v>
      </c>
      <c r="O7" s="126"/>
      <c r="P7" s="121" t="str">
        <f t="shared" si="8"/>
        <v/>
      </c>
      <c r="Q7" s="130"/>
      <c r="R7" s="123"/>
      <c r="S7" s="56">
        <f t="shared" si="9"/>
        <v>0</v>
      </c>
      <c r="T7" s="124">
        <v>329</v>
      </c>
      <c r="U7" s="125">
        <f t="shared" si="10"/>
        <v>2706.1171200000003</v>
      </c>
      <c r="V7" s="9" t="str">
        <f t="shared" si="11"/>
        <v/>
      </c>
      <c r="W7" s="9" t="str">
        <f t="shared" si="12"/>
        <v/>
      </c>
      <c r="X7" s="9"/>
      <c r="Y7" s="9"/>
      <c r="Z7" s="9"/>
      <c r="AA7" s="9"/>
    </row>
    <row r="8" spans="1:27" ht="13.5" customHeight="1" outlineLevel="1" x14ac:dyDescent="0.25">
      <c r="A8" s="371"/>
      <c r="B8" s="75"/>
      <c r="C8" s="131">
        <v>2.8000000000000001E-2</v>
      </c>
      <c r="D8" s="111">
        <v>0.12</v>
      </c>
      <c r="E8" s="132">
        <v>4.8</v>
      </c>
      <c r="F8" s="133">
        <f t="shared" si="0"/>
        <v>1.6128E-2</v>
      </c>
      <c r="G8" s="133">
        <f t="shared" si="1"/>
        <v>0.57599999999999996</v>
      </c>
      <c r="H8" s="113">
        <v>400</v>
      </c>
      <c r="I8" s="114">
        <f>ROUND(H8*1.1667,0)</f>
        <v>467</v>
      </c>
      <c r="J8" s="115">
        <f t="shared" si="3"/>
        <v>9.0478079999999999</v>
      </c>
      <c r="K8" s="116">
        <f t="shared" si="4"/>
        <v>15.708</v>
      </c>
      <c r="L8" s="117">
        <f t="shared" si="5"/>
        <v>54</v>
      </c>
      <c r="M8" s="118">
        <f t="shared" si="6"/>
        <v>0.87091200000000002</v>
      </c>
      <c r="N8" s="134">
        <f t="shared" si="7"/>
        <v>31.103999999999999</v>
      </c>
      <c r="O8" s="135"/>
      <c r="P8" s="121" t="str">
        <f t="shared" si="8"/>
        <v/>
      </c>
      <c r="Q8" s="136"/>
      <c r="R8" s="137"/>
      <c r="S8" s="56">
        <f t="shared" si="9"/>
        <v>0</v>
      </c>
      <c r="T8" s="124">
        <v>54</v>
      </c>
      <c r="U8" s="125">
        <f t="shared" si="10"/>
        <v>488.58163200000001</v>
      </c>
      <c r="V8" s="9" t="str">
        <f t="shared" si="11"/>
        <v/>
      </c>
      <c r="W8" s="9" t="str">
        <f t="shared" si="12"/>
        <v/>
      </c>
      <c r="X8" s="9"/>
      <c r="Y8" s="9"/>
      <c r="Z8" s="9"/>
      <c r="AA8" s="9"/>
    </row>
    <row r="9" spans="1:27" ht="13.5" customHeight="1" outlineLevel="1" x14ac:dyDescent="0.25">
      <c r="A9" s="371"/>
      <c r="B9" s="138" t="s">
        <v>53</v>
      </c>
      <c r="C9" s="110">
        <v>2.8000000000000001E-2</v>
      </c>
      <c r="D9" s="55">
        <v>0.14499999999999999</v>
      </c>
      <c r="E9" s="56">
        <v>2.4</v>
      </c>
      <c r="F9" s="112">
        <f t="shared" si="0"/>
        <v>9.7439999999999975E-3</v>
      </c>
      <c r="G9" s="112">
        <f t="shared" si="1"/>
        <v>0.34799999999999998</v>
      </c>
      <c r="H9" s="113">
        <v>745.69</v>
      </c>
      <c r="I9" s="114">
        <f t="shared" ref="I9:I10" si="13">ROUND(H9*1.058,0)</f>
        <v>789</v>
      </c>
      <c r="J9" s="115">
        <f t="shared" si="3"/>
        <v>9.227567999999998</v>
      </c>
      <c r="K9" s="116">
        <f t="shared" si="4"/>
        <v>26.515999999999995</v>
      </c>
      <c r="L9" s="117">
        <f t="shared" si="5"/>
        <v>1057</v>
      </c>
      <c r="M9" s="118">
        <f t="shared" si="6"/>
        <v>10.299407999999998</v>
      </c>
      <c r="N9" s="119">
        <f t="shared" si="7"/>
        <v>367.83599999999996</v>
      </c>
      <c r="O9" s="126"/>
      <c r="P9" s="121" t="str">
        <f t="shared" si="8"/>
        <v/>
      </c>
      <c r="Q9" s="122"/>
      <c r="R9" s="123"/>
      <c r="S9" s="56">
        <f t="shared" si="9"/>
        <v>0</v>
      </c>
      <c r="T9" s="124">
        <v>1057</v>
      </c>
      <c r="U9" s="125">
        <f t="shared" si="10"/>
        <v>9753.539375999997</v>
      </c>
      <c r="V9" s="9" t="str">
        <f t="shared" si="11"/>
        <v/>
      </c>
      <c r="W9" s="9" t="str">
        <f t="shared" si="12"/>
        <v/>
      </c>
      <c r="X9" s="9"/>
      <c r="Y9" s="9"/>
      <c r="Z9" s="9"/>
      <c r="AA9" s="9"/>
    </row>
    <row r="10" spans="1:27" ht="13.5" customHeight="1" outlineLevel="1" x14ac:dyDescent="0.25">
      <c r="A10" s="371"/>
      <c r="B10" s="138" t="s">
        <v>53</v>
      </c>
      <c r="C10" s="110">
        <v>2.8000000000000001E-2</v>
      </c>
      <c r="D10" s="139">
        <v>0.14499999999999999</v>
      </c>
      <c r="E10" s="140">
        <v>3</v>
      </c>
      <c r="F10" s="112">
        <f t="shared" si="0"/>
        <v>1.2179999999999998E-2</v>
      </c>
      <c r="G10" s="112">
        <f t="shared" si="1"/>
        <v>0.43499999999999994</v>
      </c>
      <c r="H10" s="113">
        <v>745.69</v>
      </c>
      <c r="I10" s="114">
        <f t="shared" si="13"/>
        <v>789</v>
      </c>
      <c r="J10" s="115">
        <f t="shared" si="3"/>
        <v>11.534459999999997</v>
      </c>
      <c r="K10" s="116">
        <f t="shared" si="4"/>
        <v>26.515999999999998</v>
      </c>
      <c r="L10" s="117">
        <f t="shared" si="5"/>
        <v>766</v>
      </c>
      <c r="M10" s="118">
        <f t="shared" si="6"/>
        <v>9.3298799999999993</v>
      </c>
      <c r="N10" s="119">
        <f t="shared" si="7"/>
        <v>333.21</v>
      </c>
      <c r="O10" s="141"/>
      <c r="P10" s="121" t="str">
        <f t="shared" si="8"/>
        <v/>
      </c>
      <c r="Q10" s="122"/>
      <c r="R10" s="142"/>
      <c r="S10" s="56">
        <f t="shared" si="9"/>
        <v>0</v>
      </c>
      <c r="T10" s="124">
        <v>766</v>
      </c>
      <c r="U10" s="125">
        <f t="shared" si="10"/>
        <v>8835.3963599999988</v>
      </c>
      <c r="V10" s="9" t="str">
        <f t="shared" si="11"/>
        <v/>
      </c>
      <c r="W10" s="9" t="str">
        <f t="shared" si="12"/>
        <v/>
      </c>
      <c r="X10" s="9"/>
      <c r="Y10" s="9"/>
      <c r="Z10" s="9"/>
      <c r="AA10" s="9"/>
    </row>
    <row r="11" spans="1:27" ht="13.5" customHeight="1" outlineLevel="1" x14ac:dyDescent="0.25">
      <c r="A11" s="371"/>
      <c r="B11" s="143" t="s">
        <v>54</v>
      </c>
      <c r="C11" s="110">
        <v>2.8000000000000001E-2</v>
      </c>
      <c r="D11" s="55">
        <v>0.14499999999999999</v>
      </c>
      <c r="E11" s="56">
        <v>3</v>
      </c>
      <c r="F11" s="112">
        <f t="shared" si="0"/>
        <v>1.2179999999999998E-2</v>
      </c>
      <c r="G11" s="112">
        <f t="shared" si="1"/>
        <v>0.43499999999999994</v>
      </c>
      <c r="H11" s="113">
        <v>399.29</v>
      </c>
      <c r="I11" s="114">
        <f t="shared" ref="I11:I12" si="14">ROUND(H11*1.025,0)</f>
        <v>409</v>
      </c>
      <c r="J11" s="115">
        <f>ROUND((I11*0.74)*1.21,0)*(C11*D11*E11)</f>
        <v>4.4578799999999994</v>
      </c>
      <c r="K11" s="116">
        <f t="shared" si="4"/>
        <v>10.247999999999999</v>
      </c>
      <c r="L11" s="117">
        <f t="shared" si="5"/>
        <v>52</v>
      </c>
      <c r="M11" s="118">
        <f t="shared" si="6"/>
        <v>0.63335999999999992</v>
      </c>
      <c r="N11" s="119">
        <f t="shared" si="7"/>
        <v>22.619999999999997</v>
      </c>
      <c r="O11" s="120"/>
      <c r="P11" s="121" t="str">
        <f t="shared" si="8"/>
        <v/>
      </c>
      <c r="Q11" s="122"/>
      <c r="R11" s="123"/>
      <c r="S11" s="56">
        <f t="shared" si="9"/>
        <v>0</v>
      </c>
      <c r="T11" s="124">
        <v>52</v>
      </c>
      <c r="U11" s="125">
        <f t="shared" si="10"/>
        <v>231.80975999999998</v>
      </c>
      <c r="V11" s="9" t="str">
        <f t="shared" si="11"/>
        <v/>
      </c>
      <c r="W11" s="9" t="str">
        <f t="shared" si="12"/>
        <v/>
      </c>
      <c r="X11" s="9"/>
      <c r="Y11" s="9"/>
      <c r="Z11" s="9"/>
      <c r="AA11" s="9"/>
    </row>
    <row r="12" spans="1:27" ht="13.5" customHeight="1" outlineLevel="1" x14ac:dyDescent="0.25">
      <c r="A12" s="371"/>
      <c r="B12" s="143" t="s">
        <v>54</v>
      </c>
      <c r="C12" s="110">
        <v>2.8000000000000001E-2</v>
      </c>
      <c r="D12" s="55">
        <v>0.14499999999999999</v>
      </c>
      <c r="E12" s="56">
        <v>3.6</v>
      </c>
      <c r="F12" s="112">
        <f t="shared" si="0"/>
        <v>1.4615999999999999E-2</v>
      </c>
      <c r="G12" s="112">
        <f t="shared" si="1"/>
        <v>0.52200000000000002</v>
      </c>
      <c r="H12" s="113">
        <v>399.29</v>
      </c>
      <c r="I12" s="114">
        <f t="shared" si="14"/>
        <v>409</v>
      </c>
      <c r="J12" s="115">
        <f>ROUND((I12*0.83)*1.21,0)*(C12*D12*E12)</f>
        <v>6.0071759999999994</v>
      </c>
      <c r="K12" s="116">
        <f t="shared" si="4"/>
        <v>11.507999999999999</v>
      </c>
      <c r="L12" s="117">
        <f t="shared" si="5"/>
        <v>40</v>
      </c>
      <c r="M12" s="118">
        <f t="shared" si="6"/>
        <v>0.58463999999999994</v>
      </c>
      <c r="N12" s="119">
        <f t="shared" si="7"/>
        <v>20.880000000000003</v>
      </c>
      <c r="O12" s="120"/>
      <c r="P12" s="121" t="str">
        <f t="shared" si="8"/>
        <v/>
      </c>
      <c r="Q12" s="122"/>
      <c r="R12" s="123"/>
      <c r="S12" s="56">
        <f t="shared" si="9"/>
        <v>0</v>
      </c>
      <c r="T12" s="124">
        <v>40</v>
      </c>
      <c r="U12" s="125">
        <f t="shared" si="10"/>
        <v>240.28703999999999</v>
      </c>
      <c r="V12" s="9" t="str">
        <f t="shared" si="11"/>
        <v/>
      </c>
      <c r="W12" s="9" t="str">
        <f t="shared" si="12"/>
        <v/>
      </c>
      <c r="X12" s="9"/>
      <c r="Y12" s="9"/>
      <c r="Z12" s="9"/>
      <c r="AA12" s="9"/>
    </row>
    <row r="13" spans="1:27" ht="13.5" customHeight="1" outlineLevel="1" x14ac:dyDescent="0.25">
      <c r="A13" s="371"/>
      <c r="B13" s="109"/>
      <c r="C13" s="110">
        <v>2.8000000000000001E-2</v>
      </c>
      <c r="D13" s="55">
        <v>0.14499999999999999</v>
      </c>
      <c r="E13" s="56">
        <v>6</v>
      </c>
      <c r="F13" s="127">
        <f t="shared" si="0"/>
        <v>2.4359999999999996E-2</v>
      </c>
      <c r="G13" s="127">
        <f t="shared" si="1"/>
        <v>0.86999999999999988</v>
      </c>
      <c r="H13" s="113">
        <v>399.29</v>
      </c>
      <c r="I13" s="114">
        <f>ROUND(H13*1.1357,0)</f>
        <v>453</v>
      </c>
      <c r="J13" s="115">
        <f>ROUND((I13*0.992)*1.21,0)*(C13*D13*E13)</f>
        <v>13.251839999999998</v>
      </c>
      <c r="K13" s="128">
        <f t="shared" si="4"/>
        <v>15.231999999999999</v>
      </c>
      <c r="L13" s="117">
        <f t="shared" si="5"/>
        <v>43</v>
      </c>
      <c r="M13" s="118">
        <f t="shared" si="6"/>
        <v>1.0474799999999997</v>
      </c>
      <c r="N13" s="129">
        <f t="shared" si="7"/>
        <v>37.409999999999997</v>
      </c>
      <c r="O13" s="144"/>
      <c r="P13" s="121" t="str">
        <f t="shared" si="8"/>
        <v/>
      </c>
      <c r="Q13" s="130"/>
      <c r="R13" s="123"/>
      <c r="S13" s="56">
        <f t="shared" si="9"/>
        <v>0</v>
      </c>
      <c r="T13" s="124">
        <v>43</v>
      </c>
      <c r="U13" s="125">
        <f t="shared" si="10"/>
        <v>569.82911999999988</v>
      </c>
      <c r="V13" s="9" t="str">
        <f t="shared" si="11"/>
        <v/>
      </c>
      <c r="W13" s="9" t="str">
        <f t="shared" si="12"/>
        <v/>
      </c>
      <c r="X13" s="9"/>
      <c r="Y13" s="9"/>
      <c r="Z13" s="9"/>
      <c r="AA13" s="9"/>
    </row>
    <row r="14" spans="1:27" ht="13.5" customHeight="1" outlineLevel="1" x14ac:dyDescent="0.25">
      <c r="A14" s="371"/>
      <c r="B14" s="143" t="s">
        <v>54</v>
      </c>
      <c r="C14" s="110">
        <v>2.8000000000000001E-2</v>
      </c>
      <c r="D14" s="55">
        <v>0.14499999999999999</v>
      </c>
      <c r="E14" s="56">
        <v>6</v>
      </c>
      <c r="F14" s="112">
        <f t="shared" si="0"/>
        <v>2.4359999999999996E-2</v>
      </c>
      <c r="G14" s="112">
        <f t="shared" si="1"/>
        <v>0.86999999999999988</v>
      </c>
      <c r="H14" s="113">
        <v>399.29</v>
      </c>
      <c r="I14" s="114">
        <f>ROUND(H14*1.025,0)</f>
        <v>409</v>
      </c>
      <c r="J14" s="115">
        <f>ROUND((I14*0.83)*1.21,0)*(C14*D14*E14)</f>
        <v>10.011959999999998</v>
      </c>
      <c r="K14" s="116">
        <f t="shared" si="4"/>
        <v>11.507999999999999</v>
      </c>
      <c r="L14" s="117">
        <f t="shared" si="5"/>
        <v>72</v>
      </c>
      <c r="M14" s="118">
        <f t="shared" si="6"/>
        <v>1.7539199999999997</v>
      </c>
      <c r="N14" s="119">
        <f t="shared" si="7"/>
        <v>62.639999999999993</v>
      </c>
      <c r="O14" s="145"/>
      <c r="P14" s="121" t="str">
        <f t="shared" si="8"/>
        <v/>
      </c>
      <c r="Q14" s="122"/>
      <c r="R14" s="123"/>
      <c r="S14" s="56">
        <f t="shared" si="9"/>
        <v>0</v>
      </c>
      <c r="T14" s="124">
        <v>72</v>
      </c>
      <c r="U14" s="125">
        <f t="shared" si="10"/>
        <v>720.86111999999991</v>
      </c>
      <c r="V14" s="9" t="str">
        <f t="shared" si="11"/>
        <v/>
      </c>
      <c r="W14" s="9" t="str">
        <f t="shared" si="12"/>
        <v/>
      </c>
      <c r="X14" s="9"/>
      <c r="Y14" s="9"/>
      <c r="Z14" s="9"/>
      <c r="AA14" s="9"/>
    </row>
    <row r="15" spans="1:27" ht="13.5" customHeight="1" outlineLevel="1" x14ac:dyDescent="0.25">
      <c r="A15" s="371"/>
      <c r="B15" s="143" t="s">
        <v>55</v>
      </c>
      <c r="C15" s="110">
        <v>0.03</v>
      </c>
      <c r="D15" s="55">
        <v>0.1</v>
      </c>
      <c r="E15" s="56">
        <v>3</v>
      </c>
      <c r="F15" s="112">
        <f t="shared" si="0"/>
        <v>9.0000000000000011E-3</v>
      </c>
      <c r="G15" s="112">
        <f t="shared" si="1"/>
        <v>0.30000000000000004</v>
      </c>
      <c r="H15" s="113">
        <v>400.75</v>
      </c>
      <c r="I15" s="114">
        <f>ROUND(H15*1.09,0)</f>
        <v>437</v>
      </c>
      <c r="J15" s="115">
        <f>ROUND((I15*0.91)*1.21,0)*(C15*D15*E15)</f>
        <v>4.3290000000000006</v>
      </c>
      <c r="K15" s="116">
        <f t="shared" si="4"/>
        <v>14.43</v>
      </c>
      <c r="L15" s="117">
        <f t="shared" si="5"/>
        <v>184</v>
      </c>
      <c r="M15" s="118">
        <f t="shared" si="6"/>
        <v>1.6560000000000001</v>
      </c>
      <c r="N15" s="119">
        <f t="shared" si="7"/>
        <v>55.20000000000001</v>
      </c>
      <c r="O15" s="145"/>
      <c r="P15" s="121" t="str">
        <f t="shared" si="8"/>
        <v/>
      </c>
      <c r="Q15" s="122"/>
      <c r="R15" s="123"/>
      <c r="S15" s="56">
        <f t="shared" si="9"/>
        <v>0</v>
      </c>
      <c r="T15" s="124">
        <v>184</v>
      </c>
      <c r="U15" s="125">
        <f t="shared" si="10"/>
        <v>796.53600000000006</v>
      </c>
      <c r="V15" s="9" t="str">
        <f t="shared" si="11"/>
        <v/>
      </c>
      <c r="W15" s="9" t="str">
        <f t="shared" si="12"/>
        <v/>
      </c>
      <c r="X15" s="9"/>
      <c r="Y15" s="9"/>
      <c r="Z15" s="9"/>
      <c r="AA15" s="9"/>
    </row>
    <row r="16" spans="1:27" ht="13.5" customHeight="1" outlineLevel="1" x14ac:dyDescent="0.25">
      <c r="A16" s="371"/>
      <c r="B16" s="143" t="s">
        <v>54</v>
      </c>
      <c r="C16" s="110">
        <v>0.03</v>
      </c>
      <c r="D16" s="55">
        <v>0.1</v>
      </c>
      <c r="E16" s="56">
        <v>6</v>
      </c>
      <c r="F16" s="112">
        <f t="shared" si="0"/>
        <v>1.8000000000000002E-2</v>
      </c>
      <c r="G16" s="112">
        <f t="shared" si="1"/>
        <v>0.60000000000000009</v>
      </c>
      <c r="H16" s="113">
        <v>400.75</v>
      </c>
      <c r="I16" s="114">
        <f t="shared" ref="I16:I19" si="15">ROUND(H16*1.025,0)</f>
        <v>411</v>
      </c>
      <c r="J16" s="115">
        <f t="shared" ref="J16:J19" si="16">ROUND((I16*0.83)*1.21,0)*(C16*D16*E16)</f>
        <v>7.4340000000000011</v>
      </c>
      <c r="K16" s="116">
        <f t="shared" si="4"/>
        <v>12.39</v>
      </c>
      <c r="L16" s="117">
        <f t="shared" si="5"/>
        <v>45</v>
      </c>
      <c r="M16" s="118">
        <f t="shared" si="6"/>
        <v>0.81</v>
      </c>
      <c r="N16" s="119">
        <f t="shared" si="7"/>
        <v>27.000000000000004</v>
      </c>
      <c r="O16" s="145"/>
      <c r="P16" s="121" t="str">
        <f t="shared" si="8"/>
        <v/>
      </c>
      <c r="Q16" s="122"/>
      <c r="R16" s="123"/>
      <c r="S16" s="56">
        <f t="shared" si="9"/>
        <v>0</v>
      </c>
      <c r="T16" s="124">
        <v>45</v>
      </c>
      <c r="U16" s="125">
        <f t="shared" si="10"/>
        <v>334.53000000000003</v>
      </c>
      <c r="V16" s="9" t="str">
        <f t="shared" si="11"/>
        <v/>
      </c>
      <c r="W16" s="9" t="str">
        <f t="shared" si="12"/>
        <v/>
      </c>
      <c r="X16" s="9"/>
      <c r="Y16" s="9"/>
      <c r="Z16" s="9"/>
      <c r="AA16" s="9"/>
    </row>
    <row r="17" spans="1:27" ht="13.5" customHeight="1" outlineLevel="1" x14ac:dyDescent="0.25">
      <c r="A17" s="371"/>
      <c r="B17" s="143" t="s">
        <v>54</v>
      </c>
      <c r="C17" s="110">
        <v>0.03</v>
      </c>
      <c r="D17" s="55">
        <v>0.12</v>
      </c>
      <c r="E17" s="56">
        <v>3.6</v>
      </c>
      <c r="F17" s="112">
        <f t="shared" si="0"/>
        <v>1.2959999999999999E-2</v>
      </c>
      <c r="G17" s="112">
        <f t="shared" si="1"/>
        <v>0.432</v>
      </c>
      <c r="H17" s="113">
        <v>398.18</v>
      </c>
      <c r="I17" s="114">
        <f t="shared" si="15"/>
        <v>408</v>
      </c>
      <c r="J17" s="115">
        <f t="shared" si="16"/>
        <v>5.3136000000000001</v>
      </c>
      <c r="K17" s="116">
        <f t="shared" si="4"/>
        <v>12.3</v>
      </c>
      <c r="L17" s="117">
        <f t="shared" si="5"/>
        <v>102</v>
      </c>
      <c r="M17" s="118">
        <f t="shared" si="6"/>
        <v>1.32192</v>
      </c>
      <c r="N17" s="119">
        <f t="shared" si="7"/>
        <v>44.064</v>
      </c>
      <c r="O17" s="145"/>
      <c r="P17" s="121" t="str">
        <f t="shared" si="8"/>
        <v/>
      </c>
      <c r="Q17" s="122"/>
      <c r="R17" s="123"/>
      <c r="S17" s="56">
        <f t="shared" si="9"/>
        <v>0</v>
      </c>
      <c r="T17" s="124">
        <v>102</v>
      </c>
      <c r="U17" s="125">
        <f t="shared" si="10"/>
        <v>541.98720000000003</v>
      </c>
      <c r="V17" s="9" t="str">
        <f t="shared" si="11"/>
        <v/>
      </c>
      <c r="W17" s="9" t="str">
        <f t="shared" si="12"/>
        <v/>
      </c>
      <c r="X17" s="9"/>
      <c r="Y17" s="9"/>
      <c r="Z17" s="9"/>
      <c r="AA17" s="9"/>
    </row>
    <row r="18" spans="1:27" ht="13.5" customHeight="1" outlineLevel="1" x14ac:dyDescent="0.25">
      <c r="A18" s="371"/>
      <c r="B18" s="143" t="s">
        <v>54</v>
      </c>
      <c r="C18" s="110">
        <v>0.03</v>
      </c>
      <c r="D18" s="55">
        <v>0.12</v>
      </c>
      <c r="E18" s="56">
        <v>4.8</v>
      </c>
      <c r="F18" s="112">
        <f t="shared" si="0"/>
        <v>1.728E-2</v>
      </c>
      <c r="G18" s="112">
        <f t="shared" si="1"/>
        <v>0.57599999999999996</v>
      </c>
      <c r="H18" s="113">
        <v>396.34</v>
      </c>
      <c r="I18" s="114">
        <f t="shared" si="15"/>
        <v>406</v>
      </c>
      <c r="J18" s="115">
        <f t="shared" si="16"/>
        <v>7.0502400000000005</v>
      </c>
      <c r="K18" s="116">
        <f t="shared" si="4"/>
        <v>12.240000000000002</v>
      </c>
      <c r="L18" s="117">
        <f t="shared" si="5"/>
        <v>62</v>
      </c>
      <c r="M18" s="118">
        <f t="shared" si="6"/>
        <v>1.0713600000000001</v>
      </c>
      <c r="N18" s="119">
        <f t="shared" si="7"/>
        <v>35.711999999999996</v>
      </c>
      <c r="O18" s="145"/>
      <c r="P18" s="121" t="str">
        <f t="shared" si="8"/>
        <v/>
      </c>
      <c r="Q18" s="122"/>
      <c r="R18" s="123"/>
      <c r="S18" s="56">
        <f t="shared" si="9"/>
        <v>0</v>
      </c>
      <c r="T18" s="124">
        <v>62</v>
      </c>
      <c r="U18" s="125">
        <f t="shared" si="10"/>
        <v>437.11488000000003</v>
      </c>
      <c r="V18" s="9" t="str">
        <f t="shared" si="11"/>
        <v/>
      </c>
      <c r="W18" s="9" t="str">
        <f t="shared" si="12"/>
        <v/>
      </c>
      <c r="X18" s="9"/>
      <c r="Y18" s="9"/>
      <c r="Z18" s="9"/>
      <c r="AA18" s="9"/>
    </row>
    <row r="19" spans="1:27" ht="13.5" customHeight="1" outlineLevel="1" x14ac:dyDescent="0.25">
      <c r="A19" s="371"/>
      <c r="B19" s="143" t="s">
        <v>54</v>
      </c>
      <c r="C19" s="110">
        <v>0.03</v>
      </c>
      <c r="D19" s="55">
        <v>0.14000000000000001</v>
      </c>
      <c r="E19" s="56">
        <v>3.6</v>
      </c>
      <c r="F19" s="112">
        <f t="shared" si="0"/>
        <v>1.5120000000000003E-2</v>
      </c>
      <c r="G19" s="112">
        <f t="shared" si="1"/>
        <v>0.50400000000000011</v>
      </c>
      <c r="H19" s="113">
        <v>396.34</v>
      </c>
      <c r="I19" s="114">
        <f t="shared" si="15"/>
        <v>406</v>
      </c>
      <c r="J19" s="115">
        <f t="shared" si="16"/>
        <v>6.1689600000000011</v>
      </c>
      <c r="K19" s="116">
        <f t="shared" si="4"/>
        <v>12.24</v>
      </c>
      <c r="L19" s="117">
        <v>110</v>
      </c>
      <c r="M19" s="118">
        <f t="shared" si="6"/>
        <v>1.6632000000000005</v>
      </c>
      <c r="N19" s="119">
        <f t="shared" si="7"/>
        <v>55.440000000000012</v>
      </c>
      <c r="O19" s="144"/>
      <c r="P19" s="121" t="str">
        <f t="shared" si="8"/>
        <v/>
      </c>
      <c r="Q19" s="122"/>
      <c r="R19" s="123"/>
      <c r="S19" s="56">
        <f t="shared" si="9"/>
        <v>0</v>
      </c>
      <c r="T19" s="124">
        <v>110</v>
      </c>
      <c r="U19" s="125">
        <f t="shared" si="10"/>
        <v>678.58560000000011</v>
      </c>
      <c r="V19" s="9" t="str">
        <f t="shared" si="11"/>
        <v/>
      </c>
      <c r="W19" s="9" t="str">
        <f t="shared" si="12"/>
        <v/>
      </c>
      <c r="X19" s="9"/>
      <c r="Y19" s="9"/>
      <c r="Z19" s="9"/>
      <c r="AA19" s="9"/>
    </row>
    <row r="20" spans="1:27" ht="13.5" customHeight="1" outlineLevel="1" x14ac:dyDescent="0.25">
      <c r="A20" s="371"/>
      <c r="B20" s="109"/>
      <c r="C20" s="110">
        <v>0.03</v>
      </c>
      <c r="D20" s="55">
        <v>0.14499999999999999</v>
      </c>
      <c r="E20" s="56">
        <v>3.6</v>
      </c>
      <c r="F20" s="112">
        <f t="shared" si="0"/>
        <v>1.566E-2</v>
      </c>
      <c r="G20" s="112">
        <f t="shared" si="1"/>
        <v>0.52200000000000002</v>
      </c>
      <c r="H20" s="113">
        <v>395.96</v>
      </c>
      <c r="I20" s="114">
        <f>ROUND(H20*1.1667,0)</f>
        <v>462</v>
      </c>
      <c r="J20" s="115">
        <f>ROUND((I20*0.992)*1.21,0)*(C20*D20*E20)</f>
        <v>8.6913</v>
      </c>
      <c r="K20" s="116">
        <f t="shared" si="4"/>
        <v>16.649999999999999</v>
      </c>
      <c r="L20" s="117">
        <f t="shared" ref="L20:L28" si="17">T20+R20-O20</f>
        <v>10</v>
      </c>
      <c r="M20" s="118">
        <f t="shared" si="6"/>
        <v>0.15660000000000002</v>
      </c>
      <c r="N20" s="146">
        <f t="shared" si="7"/>
        <v>5.2200000000000006</v>
      </c>
      <c r="O20" s="126"/>
      <c r="P20" s="121" t="str">
        <f t="shared" si="8"/>
        <v/>
      </c>
      <c r="Q20" s="122"/>
      <c r="R20" s="123"/>
      <c r="S20" s="56">
        <f t="shared" si="9"/>
        <v>0</v>
      </c>
      <c r="T20" s="124">
        <v>10</v>
      </c>
      <c r="U20" s="125">
        <f t="shared" si="10"/>
        <v>86.912999999999997</v>
      </c>
      <c r="V20" s="9" t="str">
        <f t="shared" si="11"/>
        <v/>
      </c>
      <c r="W20" s="9" t="str">
        <f t="shared" si="12"/>
        <v/>
      </c>
      <c r="X20" s="9"/>
      <c r="Y20" s="9"/>
      <c r="Z20" s="9"/>
      <c r="AA20" s="9"/>
    </row>
    <row r="21" spans="1:27" ht="13.5" customHeight="1" outlineLevel="1" x14ac:dyDescent="0.25">
      <c r="A21" s="371"/>
      <c r="B21" s="143" t="s">
        <v>54</v>
      </c>
      <c r="C21" s="110">
        <v>0.03</v>
      </c>
      <c r="D21" s="55">
        <v>0.14499999999999999</v>
      </c>
      <c r="E21" s="56">
        <v>3.6</v>
      </c>
      <c r="F21" s="112">
        <f t="shared" si="0"/>
        <v>1.566E-2</v>
      </c>
      <c r="G21" s="112">
        <f t="shared" si="1"/>
        <v>0.52200000000000002</v>
      </c>
      <c r="H21" s="113">
        <v>395.96</v>
      </c>
      <c r="I21" s="114">
        <f>ROUND(H21*1.025,0)</f>
        <v>406</v>
      </c>
      <c r="J21" s="115">
        <f>ROUND((I21*0.83)*1.21,0)*(C21*D21*E21)</f>
        <v>6.3892800000000003</v>
      </c>
      <c r="K21" s="116">
        <f t="shared" si="4"/>
        <v>12.24</v>
      </c>
      <c r="L21" s="117">
        <f t="shared" si="17"/>
        <v>97</v>
      </c>
      <c r="M21" s="118">
        <f t="shared" si="6"/>
        <v>1.51902</v>
      </c>
      <c r="N21" s="119">
        <f t="shared" si="7"/>
        <v>50.634</v>
      </c>
      <c r="O21" s="144"/>
      <c r="P21" s="121" t="str">
        <f t="shared" si="8"/>
        <v/>
      </c>
      <c r="Q21" s="122"/>
      <c r="R21" s="123"/>
      <c r="S21" s="56">
        <f t="shared" si="9"/>
        <v>0</v>
      </c>
      <c r="T21" s="124">
        <v>97</v>
      </c>
      <c r="U21" s="125">
        <f t="shared" si="10"/>
        <v>619.76016000000004</v>
      </c>
      <c r="V21" s="9" t="str">
        <f t="shared" si="11"/>
        <v/>
      </c>
      <c r="W21" s="9" t="str">
        <f t="shared" si="12"/>
        <v/>
      </c>
      <c r="X21" s="9"/>
      <c r="Y21" s="9"/>
      <c r="Z21" s="9"/>
      <c r="AA21" s="9"/>
    </row>
    <row r="22" spans="1:27" ht="13.5" customHeight="1" outlineLevel="1" x14ac:dyDescent="0.25">
      <c r="A22" s="371"/>
      <c r="B22" s="109"/>
      <c r="C22" s="110">
        <v>0.03</v>
      </c>
      <c r="D22" s="55">
        <v>0.14499999999999999</v>
      </c>
      <c r="E22" s="56">
        <v>4.8</v>
      </c>
      <c r="F22" s="112">
        <f t="shared" si="0"/>
        <v>2.0879999999999999E-2</v>
      </c>
      <c r="G22" s="112">
        <f t="shared" si="1"/>
        <v>0.69599999999999995</v>
      </c>
      <c r="H22" s="113">
        <v>395.96</v>
      </c>
      <c r="I22" s="114">
        <f>ROUND(H22*1.1667,0)</f>
        <v>462</v>
      </c>
      <c r="J22" s="115">
        <f>ROUND((I22*0.992)*1.21,0)*(C22*D22*E22)</f>
        <v>11.5884</v>
      </c>
      <c r="K22" s="116">
        <f t="shared" si="4"/>
        <v>16.650000000000002</v>
      </c>
      <c r="L22" s="117">
        <f t="shared" si="17"/>
        <v>44</v>
      </c>
      <c r="M22" s="118">
        <f t="shared" si="6"/>
        <v>0.91871999999999998</v>
      </c>
      <c r="N22" s="119">
        <f t="shared" si="7"/>
        <v>30.623999999999999</v>
      </c>
      <c r="O22" s="144"/>
      <c r="P22" s="121" t="str">
        <f t="shared" si="8"/>
        <v/>
      </c>
      <c r="Q22" s="122"/>
      <c r="R22" s="123"/>
      <c r="S22" s="56">
        <f t="shared" si="9"/>
        <v>0</v>
      </c>
      <c r="T22" s="124">
        <v>44</v>
      </c>
      <c r="U22" s="125">
        <f t="shared" si="10"/>
        <v>509.88959999999997</v>
      </c>
      <c r="V22" s="9" t="str">
        <f t="shared" si="11"/>
        <v/>
      </c>
      <c r="W22" s="9" t="str">
        <f t="shared" si="12"/>
        <v/>
      </c>
      <c r="X22" s="9"/>
      <c r="Y22" s="9"/>
      <c r="Z22" s="9"/>
      <c r="AA22" s="9"/>
    </row>
    <row r="23" spans="1:27" ht="13.5" customHeight="1" outlineLevel="1" x14ac:dyDescent="0.25">
      <c r="A23" s="371"/>
      <c r="B23" s="143" t="s">
        <v>54</v>
      </c>
      <c r="C23" s="110">
        <v>0.03</v>
      </c>
      <c r="D23" s="55">
        <v>0.14499999999999999</v>
      </c>
      <c r="E23" s="56">
        <v>4.8</v>
      </c>
      <c r="F23" s="112">
        <f t="shared" si="0"/>
        <v>2.0879999999999999E-2</v>
      </c>
      <c r="G23" s="112">
        <f t="shared" si="1"/>
        <v>0.69599999999999995</v>
      </c>
      <c r="H23" s="113">
        <v>395.96</v>
      </c>
      <c r="I23" s="114">
        <f>ROUND(H23*1.025,0)</f>
        <v>406</v>
      </c>
      <c r="J23" s="115">
        <f>ROUND((I23*0.83)*1.21,0)*(C23*D23*E23)</f>
        <v>8.5190400000000004</v>
      </c>
      <c r="K23" s="116">
        <f t="shared" si="4"/>
        <v>12.240000000000002</v>
      </c>
      <c r="L23" s="117">
        <f t="shared" si="17"/>
        <v>221</v>
      </c>
      <c r="M23" s="118">
        <f t="shared" si="6"/>
        <v>4.6144799999999995</v>
      </c>
      <c r="N23" s="119">
        <f t="shared" si="7"/>
        <v>153.816</v>
      </c>
      <c r="O23" s="144"/>
      <c r="P23" s="121" t="str">
        <f t="shared" si="8"/>
        <v/>
      </c>
      <c r="Q23" s="122"/>
      <c r="R23" s="123"/>
      <c r="S23" s="56">
        <f t="shared" si="9"/>
        <v>0</v>
      </c>
      <c r="T23" s="124">
        <v>221</v>
      </c>
      <c r="U23" s="125">
        <f t="shared" si="10"/>
        <v>1882.70784</v>
      </c>
      <c r="V23" s="9" t="str">
        <f t="shared" si="11"/>
        <v/>
      </c>
      <c r="W23" s="9" t="str">
        <f t="shared" si="12"/>
        <v/>
      </c>
      <c r="X23" s="9"/>
      <c r="Y23" s="9"/>
      <c r="Z23" s="9"/>
      <c r="AA23" s="9"/>
    </row>
    <row r="24" spans="1:27" ht="13.5" customHeight="1" outlineLevel="1" x14ac:dyDescent="0.25">
      <c r="A24" s="371"/>
      <c r="B24" s="109"/>
      <c r="C24" s="110">
        <v>0.03</v>
      </c>
      <c r="D24" s="55">
        <v>0.14499999999999999</v>
      </c>
      <c r="E24" s="56">
        <v>5.0999999999999996</v>
      </c>
      <c r="F24" s="112">
        <f t="shared" si="0"/>
        <v>2.2184999999999996E-2</v>
      </c>
      <c r="G24" s="112">
        <f t="shared" si="1"/>
        <v>0.73949999999999994</v>
      </c>
      <c r="H24" s="113">
        <v>395.96</v>
      </c>
      <c r="I24" s="114">
        <f>ROUND(H24*1.1667,0)</f>
        <v>462</v>
      </c>
      <c r="J24" s="115">
        <f>ROUND((I24*0.992)*1.21,0)*(C24*D24*E24)</f>
        <v>12.312674999999999</v>
      </c>
      <c r="K24" s="116">
        <f t="shared" si="4"/>
        <v>16.649999999999999</v>
      </c>
      <c r="L24" s="117">
        <f t="shared" si="17"/>
        <v>224</v>
      </c>
      <c r="M24" s="118">
        <f t="shared" si="6"/>
        <v>4.9694399999999987</v>
      </c>
      <c r="N24" s="119">
        <f t="shared" si="7"/>
        <v>165.648</v>
      </c>
      <c r="O24" s="126"/>
      <c r="P24" s="121" t="str">
        <f t="shared" si="8"/>
        <v/>
      </c>
      <c r="Q24" s="122"/>
      <c r="R24" s="123"/>
      <c r="S24" s="56">
        <f t="shared" si="9"/>
        <v>0</v>
      </c>
      <c r="T24" s="124">
        <v>224</v>
      </c>
      <c r="U24" s="125">
        <f t="shared" si="10"/>
        <v>2758.0391999999997</v>
      </c>
      <c r="V24" s="9" t="str">
        <f t="shared" si="11"/>
        <v/>
      </c>
      <c r="W24" s="9" t="str">
        <f t="shared" si="12"/>
        <v/>
      </c>
      <c r="X24" s="9"/>
      <c r="Y24" s="9"/>
      <c r="Z24" s="9"/>
      <c r="AA24" s="9"/>
    </row>
    <row r="25" spans="1:27" ht="13.5" customHeight="1" outlineLevel="1" x14ac:dyDescent="0.25">
      <c r="A25" s="371"/>
      <c r="B25" s="138" t="s">
        <v>55</v>
      </c>
      <c r="C25" s="110">
        <v>4.4999999999999998E-2</v>
      </c>
      <c r="D25" s="139">
        <v>0.12</v>
      </c>
      <c r="E25" s="140">
        <v>3</v>
      </c>
      <c r="F25" s="112">
        <f t="shared" si="0"/>
        <v>1.6199999999999999E-2</v>
      </c>
      <c r="G25" s="112">
        <f t="shared" si="1"/>
        <v>0.36</v>
      </c>
      <c r="H25" s="113">
        <v>382.56</v>
      </c>
      <c r="I25" s="114">
        <f>ROUND(H25*1.09,0)</f>
        <v>417</v>
      </c>
      <c r="J25" s="115">
        <f>ROUND((I25*0.91)*1.21,0)*(C25*D25*E25)</f>
        <v>7.4357999999999995</v>
      </c>
      <c r="K25" s="116">
        <f t="shared" si="4"/>
        <v>20.655000000000001</v>
      </c>
      <c r="L25" s="117">
        <f t="shared" si="17"/>
        <v>805</v>
      </c>
      <c r="M25" s="118">
        <f t="shared" si="6"/>
        <v>13.040999999999999</v>
      </c>
      <c r="N25" s="119">
        <f t="shared" si="7"/>
        <v>289.8</v>
      </c>
      <c r="O25" s="147"/>
      <c r="P25" s="121" t="str">
        <f t="shared" si="8"/>
        <v/>
      </c>
      <c r="Q25" s="122"/>
      <c r="R25" s="142"/>
      <c r="S25" s="56">
        <f t="shared" si="9"/>
        <v>0</v>
      </c>
      <c r="T25" s="124">
        <v>805</v>
      </c>
      <c r="U25" s="125">
        <f t="shared" si="10"/>
        <v>5985.8189999999995</v>
      </c>
      <c r="V25" s="9" t="str">
        <f t="shared" si="11"/>
        <v/>
      </c>
      <c r="W25" s="9" t="str">
        <f t="shared" si="12"/>
        <v/>
      </c>
      <c r="X25" s="9"/>
      <c r="Y25" s="9"/>
      <c r="Z25" s="9"/>
      <c r="AA25" s="9"/>
    </row>
    <row r="26" spans="1:27" ht="13.5" customHeight="1" outlineLevel="1" x14ac:dyDescent="0.25">
      <c r="A26" s="371"/>
      <c r="B26" s="109"/>
      <c r="C26" s="110">
        <v>4.4999999999999998E-2</v>
      </c>
      <c r="D26" s="55">
        <v>0.14499999999999999</v>
      </c>
      <c r="E26" s="56">
        <v>6</v>
      </c>
      <c r="F26" s="112">
        <f t="shared" si="0"/>
        <v>3.9149999999999997E-2</v>
      </c>
      <c r="G26" s="112">
        <f t="shared" si="1"/>
        <v>0.86999999999999988</v>
      </c>
      <c r="H26" s="113">
        <v>380.44</v>
      </c>
      <c r="I26" s="114">
        <f>ROUND(H26*1.1667,0)</f>
        <v>444</v>
      </c>
      <c r="J26" s="115">
        <f>ROUND((I26*0.992)*1.21,0)*(C26*D26*E26)</f>
        <v>20.866949999999999</v>
      </c>
      <c r="K26" s="116">
        <f t="shared" si="4"/>
        <v>23.985000000000003</v>
      </c>
      <c r="L26" s="117">
        <f t="shared" si="17"/>
        <v>23</v>
      </c>
      <c r="M26" s="118">
        <f t="shared" si="6"/>
        <v>0.90044999999999997</v>
      </c>
      <c r="N26" s="119">
        <f t="shared" si="7"/>
        <v>20.009999999999998</v>
      </c>
      <c r="O26" s="126"/>
      <c r="P26" s="121" t="str">
        <f t="shared" si="8"/>
        <v/>
      </c>
      <c r="Q26" s="122"/>
      <c r="R26" s="123"/>
      <c r="S26" s="56">
        <f t="shared" si="9"/>
        <v>0</v>
      </c>
      <c r="T26" s="124">
        <v>23</v>
      </c>
      <c r="U26" s="125">
        <f t="shared" si="10"/>
        <v>479.93984999999998</v>
      </c>
      <c r="V26" s="9" t="str">
        <f t="shared" si="11"/>
        <v/>
      </c>
      <c r="W26" s="9" t="str">
        <f t="shared" si="12"/>
        <v/>
      </c>
      <c r="X26" s="9"/>
      <c r="Y26" s="9"/>
      <c r="Z26" s="9"/>
      <c r="AA26" s="9"/>
    </row>
    <row r="27" spans="1:27" ht="13.5" customHeight="1" outlineLevel="1" x14ac:dyDescent="0.25">
      <c r="A27" s="371"/>
      <c r="B27" s="143" t="s">
        <v>54</v>
      </c>
      <c r="C27" s="110">
        <v>4.4999999999999998E-2</v>
      </c>
      <c r="D27" s="55">
        <v>0.14499999999999999</v>
      </c>
      <c r="E27" s="56">
        <v>6</v>
      </c>
      <c r="F27" s="112">
        <f t="shared" si="0"/>
        <v>3.9149999999999997E-2</v>
      </c>
      <c r="G27" s="112">
        <f t="shared" si="1"/>
        <v>0.86999999999999988</v>
      </c>
      <c r="H27" s="113">
        <v>380.44</v>
      </c>
      <c r="I27" s="114">
        <f t="shared" ref="I27:I28" si="18">ROUND(H27*1.025,0)</f>
        <v>390</v>
      </c>
      <c r="J27" s="115">
        <f t="shared" ref="J27:J28" si="19">ROUND((I27*0.83)*1.21,0)*(C27*D27*E27)</f>
        <v>15.346799999999998</v>
      </c>
      <c r="K27" s="116">
        <f t="shared" si="4"/>
        <v>17.64</v>
      </c>
      <c r="L27" s="117">
        <f t="shared" si="17"/>
        <v>138</v>
      </c>
      <c r="M27" s="118">
        <f t="shared" si="6"/>
        <v>5.4026999999999994</v>
      </c>
      <c r="N27" s="119">
        <f t="shared" si="7"/>
        <v>120.05999999999999</v>
      </c>
      <c r="O27" s="144"/>
      <c r="P27" s="121" t="str">
        <f t="shared" si="8"/>
        <v/>
      </c>
      <c r="Q27" s="122"/>
      <c r="R27" s="123"/>
      <c r="S27" s="56">
        <f t="shared" si="9"/>
        <v>0</v>
      </c>
      <c r="T27" s="124">
        <v>138</v>
      </c>
      <c r="U27" s="125">
        <f t="shared" si="10"/>
        <v>2117.8583999999996</v>
      </c>
      <c r="V27" s="9" t="str">
        <f t="shared" si="11"/>
        <v/>
      </c>
      <c r="W27" s="9" t="str">
        <f t="shared" si="12"/>
        <v/>
      </c>
      <c r="X27" s="9"/>
      <c r="Y27" s="9"/>
      <c r="Z27" s="9"/>
      <c r="AA27" s="9"/>
    </row>
    <row r="28" spans="1:27" ht="13.5" customHeight="1" outlineLevel="1" x14ac:dyDescent="0.25">
      <c r="A28" s="371"/>
      <c r="B28" s="143" t="s">
        <v>54</v>
      </c>
      <c r="C28" s="110">
        <v>4.4999999999999998E-2</v>
      </c>
      <c r="D28" s="55">
        <v>0.19500000000000001</v>
      </c>
      <c r="E28" s="56">
        <v>6</v>
      </c>
      <c r="F28" s="112">
        <f t="shared" si="0"/>
        <v>5.2650000000000002E-2</v>
      </c>
      <c r="G28" s="112">
        <f t="shared" si="1"/>
        <v>1.17</v>
      </c>
      <c r="H28" s="113">
        <v>377.82</v>
      </c>
      <c r="I28" s="114">
        <f t="shared" si="18"/>
        <v>387</v>
      </c>
      <c r="J28" s="115">
        <f t="shared" si="19"/>
        <v>20.48085</v>
      </c>
      <c r="K28" s="116">
        <f t="shared" si="4"/>
        <v>17.505000000000003</v>
      </c>
      <c r="L28" s="117">
        <f t="shared" si="17"/>
        <v>11</v>
      </c>
      <c r="M28" s="118">
        <f t="shared" si="6"/>
        <v>0.57915000000000005</v>
      </c>
      <c r="N28" s="119">
        <f t="shared" si="7"/>
        <v>12.87</v>
      </c>
      <c r="O28" s="144"/>
      <c r="P28" s="121" t="str">
        <f t="shared" si="8"/>
        <v/>
      </c>
      <c r="Q28" s="122"/>
      <c r="R28" s="123"/>
      <c r="S28" s="56">
        <f t="shared" si="9"/>
        <v>0</v>
      </c>
      <c r="T28" s="124">
        <v>11</v>
      </c>
      <c r="U28" s="125">
        <f t="shared" si="10"/>
        <v>225.28935000000001</v>
      </c>
      <c r="V28" s="9" t="str">
        <f t="shared" si="11"/>
        <v/>
      </c>
      <c r="W28" s="9" t="str">
        <f t="shared" si="12"/>
        <v/>
      </c>
      <c r="X28" s="9"/>
      <c r="Y28" s="9"/>
      <c r="Z28" s="9"/>
      <c r="AA28" s="9"/>
    </row>
    <row r="29" spans="1:27" ht="13.5" customHeight="1" x14ac:dyDescent="0.25">
      <c r="A29" s="371"/>
      <c r="B29" s="148" t="s">
        <v>56</v>
      </c>
      <c r="C29" s="149"/>
      <c r="D29" s="150"/>
      <c r="E29" s="149"/>
      <c r="F29" s="151"/>
      <c r="G29" s="151"/>
      <c r="H29" s="152">
        <f t="shared" ref="H29:I29" si="20">AVERAGE(H3:H28)</f>
        <v>423.70295674483498</v>
      </c>
      <c r="I29" s="153">
        <f t="shared" si="20"/>
        <v>458.69230769230768</v>
      </c>
      <c r="J29" s="154"/>
      <c r="K29" s="152">
        <f>AVERAGE(K3:K28)</f>
        <v>15.813499999999998</v>
      </c>
      <c r="L29" s="155"/>
      <c r="M29" s="156">
        <f>SUM(M3:M28)</f>
        <v>80.374560000000002</v>
      </c>
      <c r="N29" s="152"/>
      <c r="O29" s="157"/>
      <c r="P29" s="158">
        <f t="shared" ref="P29:Q29" si="21">SUM(P3:P28)</f>
        <v>0</v>
      </c>
      <c r="Q29" s="159">
        <f t="shared" si="21"/>
        <v>0</v>
      </c>
      <c r="R29" s="160"/>
      <c r="S29" s="161">
        <f>SUM(S3:S28)</f>
        <v>0</v>
      </c>
      <c r="T29" s="162"/>
      <c r="U29" s="163">
        <f>SUM(U3:U28)</f>
        <v>47799.711108000003</v>
      </c>
      <c r="V29" s="9" t="str">
        <f t="shared" si="11"/>
        <v/>
      </c>
      <c r="W29" s="9" t="str">
        <f t="shared" si="12"/>
        <v/>
      </c>
      <c r="X29" s="9"/>
      <c r="Y29" s="9"/>
      <c r="Z29" s="9"/>
      <c r="AA29" s="9"/>
    </row>
    <row r="30" spans="1:27" ht="13.5" customHeight="1" x14ac:dyDescent="0.25">
      <c r="A30" s="371"/>
      <c r="B30" s="164" t="s">
        <v>57</v>
      </c>
      <c r="C30" s="165"/>
      <c r="D30" s="165"/>
      <c r="E30" s="164"/>
      <c r="F30" s="166"/>
      <c r="G30" s="166"/>
      <c r="H30" s="167"/>
      <c r="I30" s="167"/>
      <c r="J30" s="168"/>
      <c r="K30" s="164"/>
      <c r="L30" s="164"/>
      <c r="M30" s="164"/>
      <c r="N30" s="169"/>
      <c r="O30" s="170"/>
      <c r="P30" s="171"/>
      <c r="Q30" s="172"/>
      <c r="R30" s="173"/>
      <c r="S30" s="164"/>
      <c r="T30" s="164"/>
      <c r="U30" s="174"/>
      <c r="V30" s="9" t="str">
        <f t="shared" si="11"/>
        <v/>
      </c>
      <c r="W30" s="9" t="str">
        <f t="shared" si="12"/>
        <v/>
      </c>
      <c r="X30" s="9"/>
      <c r="Y30" s="9"/>
      <c r="Z30" s="9"/>
      <c r="AA30" s="9"/>
    </row>
    <row r="31" spans="1:27" ht="13.5" customHeight="1" outlineLevel="1" x14ac:dyDescent="0.25">
      <c r="A31" s="371"/>
      <c r="B31" s="53"/>
      <c r="C31" s="175">
        <v>0.01</v>
      </c>
      <c r="D31" s="176">
        <v>0.15</v>
      </c>
      <c r="E31" s="121">
        <v>4.8</v>
      </c>
      <c r="F31" s="112">
        <f t="shared" ref="F31:F57" si="22">C31*D31*E31</f>
        <v>7.1999999999999998E-3</v>
      </c>
      <c r="G31" s="112">
        <f t="shared" ref="G31:G57" si="23">D31*E31</f>
        <v>0.72</v>
      </c>
      <c r="H31" s="177">
        <v>488.69</v>
      </c>
      <c r="I31" s="114">
        <f>ROUND(H31*1.104,0)</f>
        <v>540</v>
      </c>
      <c r="J31" s="115">
        <f t="shared" ref="J31:J57" si="24">ROUND((I31*0.992)*1.21,0)*(C31*D31*E31)</f>
        <v>4.6655999999999995</v>
      </c>
      <c r="K31" s="116">
        <f t="shared" ref="K31:K57" si="25">J31/(D31*E31)</f>
        <v>6.4799999999999995</v>
      </c>
      <c r="L31" s="117">
        <f t="shared" ref="L31:L57" si="26">T31+R31-O31</f>
        <v>151</v>
      </c>
      <c r="M31" s="178">
        <f t="shared" ref="M31:M57" si="27">L31*F31</f>
        <v>1.0871999999999999</v>
      </c>
      <c r="N31" s="119">
        <f t="shared" ref="N31:N57" si="28">L31*G31</f>
        <v>108.72</v>
      </c>
      <c r="O31" s="179"/>
      <c r="P31" s="121" t="str">
        <f t="shared" ref="P31:P35" si="29">IF(O31="","",(O31*F31))</f>
        <v/>
      </c>
      <c r="Q31" s="122"/>
      <c r="R31" s="180"/>
      <c r="S31" s="121">
        <f t="shared" ref="S31:S57" si="30">R31*F31</f>
        <v>0</v>
      </c>
      <c r="T31" s="181">
        <v>151</v>
      </c>
      <c r="U31" s="125">
        <f t="shared" ref="U31:U57" si="31">J31*L31</f>
        <v>704.50559999999996</v>
      </c>
      <c r="V31" s="9" t="str">
        <f t="shared" si="11"/>
        <v/>
      </c>
      <c r="W31" s="9" t="str">
        <f t="shared" si="12"/>
        <v/>
      </c>
      <c r="X31" s="9"/>
      <c r="Y31" s="9"/>
      <c r="Z31" s="9"/>
      <c r="AA31" s="9"/>
    </row>
    <row r="32" spans="1:27" ht="13.5" customHeight="1" outlineLevel="1" x14ac:dyDescent="0.25">
      <c r="A32" s="371"/>
      <c r="B32" s="53"/>
      <c r="C32" s="175">
        <v>0.01</v>
      </c>
      <c r="D32" s="176">
        <v>0.15</v>
      </c>
      <c r="E32" s="121">
        <v>5.0999999999999996</v>
      </c>
      <c r="F32" s="112">
        <f t="shared" si="22"/>
        <v>7.6499999999999997E-3</v>
      </c>
      <c r="G32" s="112">
        <f t="shared" si="23"/>
        <v>0.7649999999999999</v>
      </c>
      <c r="H32" s="177">
        <v>488.69</v>
      </c>
      <c r="I32" s="114">
        <f>ROUND(H32*1.089,0)</f>
        <v>532</v>
      </c>
      <c r="J32" s="115">
        <f t="shared" si="24"/>
        <v>4.88835</v>
      </c>
      <c r="K32" s="116">
        <f t="shared" si="25"/>
        <v>6.3900000000000006</v>
      </c>
      <c r="L32" s="117">
        <f t="shared" si="26"/>
        <v>22</v>
      </c>
      <c r="M32" s="178">
        <f t="shared" si="27"/>
        <v>0.16830000000000001</v>
      </c>
      <c r="N32" s="119">
        <f t="shared" si="28"/>
        <v>16.829999999999998</v>
      </c>
      <c r="O32" s="182"/>
      <c r="P32" s="121" t="str">
        <f t="shared" si="29"/>
        <v/>
      </c>
      <c r="Q32" s="122"/>
      <c r="R32" s="180"/>
      <c r="S32" s="121">
        <f t="shared" si="30"/>
        <v>0</v>
      </c>
      <c r="T32" s="181">
        <v>22</v>
      </c>
      <c r="U32" s="125">
        <f t="shared" si="31"/>
        <v>107.5437</v>
      </c>
      <c r="V32" s="9" t="str">
        <f t="shared" si="11"/>
        <v/>
      </c>
      <c r="W32" s="9" t="str">
        <f t="shared" si="12"/>
        <v/>
      </c>
      <c r="X32" s="9"/>
      <c r="Y32" s="9"/>
      <c r="Z32" s="9"/>
      <c r="AA32" s="9"/>
    </row>
    <row r="33" spans="1:27" ht="13.5" customHeight="1" outlineLevel="1" x14ac:dyDescent="0.25">
      <c r="A33" s="371"/>
      <c r="B33" s="53"/>
      <c r="C33" s="54">
        <v>1.2E-2</v>
      </c>
      <c r="D33" s="55">
        <v>0.12</v>
      </c>
      <c r="E33" s="183">
        <v>4.5</v>
      </c>
      <c r="F33" s="112">
        <f t="shared" si="22"/>
        <v>6.4799999999999996E-3</v>
      </c>
      <c r="G33" s="112">
        <f t="shared" si="23"/>
        <v>0.54</v>
      </c>
      <c r="H33" s="177">
        <v>615</v>
      </c>
      <c r="I33" s="114">
        <f t="shared" ref="I33:I39" si="32">ROUND(H33*1.1667,0)</f>
        <v>718</v>
      </c>
      <c r="J33" s="115">
        <f t="shared" si="24"/>
        <v>5.5857599999999996</v>
      </c>
      <c r="K33" s="116">
        <f t="shared" si="25"/>
        <v>10.343999999999999</v>
      </c>
      <c r="L33" s="117">
        <f t="shared" si="26"/>
        <v>616</v>
      </c>
      <c r="M33" s="178">
        <f t="shared" si="27"/>
        <v>3.9916799999999997</v>
      </c>
      <c r="N33" s="119">
        <f t="shared" si="28"/>
        <v>332.64000000000004</v>
      </c>
      <c r="O33" s="179"/>
      <c r="P33" s="121" t="str">
        <f t="shared" si="29"/>
        <v/>
      </c>
      <c r="Q33" s="122"/>
      <c r="R33" s="180"/>
      <c r="S33" s="121">
        <f t="shared" si="30"/>
        <v>0</v>
      </c>
      <c r="T33" s="181">
        <v>616</v>
      </c>
      <c r="U33" s="125">
        <f t="shared" si="31"/>
        <v>3440.8281599999996</v>
      </c>
      <c r="V33" s="9" t="str">
        <f t="shared" si="11"/>
        <v/>
      </c>
      <c r="W33" s="9" t="str">
        <f t="shared" si="12"/>
        <v/>
      </c>
      <c r="X33" s="9"/>
      <c r="Y33" s="9"/>
      <c r="Z33" s="9"/>
      <c r="AA33" s="9"/>
    </row>
    <row r="34" spans="1:27" ht="13.5" customHeight="1" outlineLevel="1" x14ac:dyDescent="0.25">
      <c r="A34" s="371"/>
      <c r="B34" s="53"/>
      <c r="C34" s="54">
        <v>1.4E-2</v>
      </c>
      <c r="D34" s="55">
        <v>0.09</v>
      </c>
      <c r="E34" s="56">
        <v>2.4</v>
      </c>
      <c r="F34" s="112">
        <f t="shared" si="22"/>
        <v>3.0240000000000002E-3</v>
      </c>
      <c r="G34" s="112">
        <f t="shared" si="23"/>
        <v>0.216</v>
      </c>
      <c r="H34" s="177">
        <v>456.57</v>
      </c>
      <c r="I34" s="114">
        <f t="shared" si="32"/>
        <v>533</v>
      </c>
      <c r="J34" s="115">
        <f t="shared" si="24"/>
        <v>1.9353600000000002</v>
      </c>
      <c r="K34" s="116">
        <f t="shared" si="25"/>
        <v>8.9600000000000009</v>
      </c>
      <c r="L34" s="117">
        <f t="shared" si="26"/>
        <v>99</v>
      </c>
      <c r="M34" s="178">
        <f t="shared" si="27"/>
        <v>0.29937600000000003</v>
      </c>
      <c r="N34" s="119">
        <f t="shared" si="28"/>
        <v>21.384</v>
      </c>
      <c r="O34" s="179"/>
      <c r="P34" s="121" t="str">
        <f t="shared" si="29"/>
        <v/>
      </c>
      <c r="Q34" s="122"/>
      <c r="R34" s="180"/>
      <c r="S34" s="121">
        <f t="shared" si="30"/>
        <v>0</v>
      </c>
      <c r="T34" s="181">
        <v>99</v>
      </c>
      <c r="U34" s="125">
        <f t="shared" si="31"/>
        <v>191.60064000000003</v>
      </c>
      <c r="V34" s="9" t="str">
        <f t="shared" si="11"/>
        <v/>
      </c>
      <c r="W34" s="9" t="str">
        <f t="shared" si="12"/>
        <v/>
      </c>
      <c r="X34" s="9"/>
      <c r="Y34" s="9"/>
      <c r="Z34" s="9"/>
      <c r="AA34" s="9"/>
    </row>
    <row r="35" spans="1:27" ht="13.5" customHeight="1" outlineLevel="1" x14ac:dyDescent="0.25">
      <c r="A35" s="371"/>
      <c r="B35" s="53" t="s">
        <v>58</v>
      </c>
      <c r="C35" s="54">
        <v>1.4E-2</v>
      </c>
      <c r="D35" s="55">
        <v>0.121</v>
      </c>
      <c r="E35" s="56">
        <v>4.8</v>
      </c>
      <c r="F35" s="112">
        <f t="shared" si="22"/>
        <v>8.1311999999999999E-3</v>
      </c>
      <c r="G35" s="112">
        <f t="shared" si="23"/>
        <v>0.58079999999999998</v>
      </c>
      <c r="H35" s="177">
        <v>445</v>
      </c>
      <c r="I35" s="114">
        <f t="shared" si="32"/>
        <v>519</v>
      </c>
      <c r="J35" s="115">
        <f t="shared" si="24"/>
        <v>5.0657376000000003</v>
      </c>
      <c r="K35" s="116">
        <f t="shared" si="25"/>
        <v>8.7220000000000013</v>
      </c>
      <c r="L35" s="117">
        <f t="shared" si="26"/>
        <v>58</v>
      </c>
      <c r="M35" s="178">
        <f t="shared" si="27"/>
        <v>0.47160960000000002</v>
      </c>
      <c r="N35" s="119">
        <f t="shared" si="28"/>
        <v>33.686399999999999</v>
      </c>
      <c r="O35" s="179"/>
      <c r="P35" s="121" t="str">
        <f t="shared" si="29"/>
        <v/>
      </c>
      <c r="Q35" s="122"/>
      <c r="R35" s="180"/>
      <c r="S35" s="121">
        <f t="shared" si="30"/>
        <v>0</v>
      </c>
      <c r="T35" s="181">
        <v>58</v>
      </c>
      <c r="U35" s="125">
        <f t="shared" si="31"/>
        <v>293.81278080000004</v>
      </c>
      <c r="V35" s="9" t="str">
        <f t="shared" si="11"/>
        <v/>
      </c>
      <c r="W35" s="9" t="str">
        <f t="shared" si="12"/>
        <v/>
      </c>
      <c r="X35" s="9"/>
      <c r="Y35" s="9"/>
      <c r="Z35" s="9"/>
      <c r="AA35" s="9"/>
    </row>
    <row r="36" spans="1:27" ht="13.5" customHeight="1" outlineLevel="1" x14ac:dyDescent="0.25">
      <c r="A36" s="371"/>
      <c r="B36" s="53" t="s">
        <v>59</v>
      </c>
      <c r="C36" s="54">
        <v>1.4E-2</v>
      </c>
      <c r="D36" s="55">
        <v>0.121</v>
      </c>
      <c r="E36" s="56">
        <v>4.8</v>
      </c>
      <c r="F36" s="112">
        <f t="shared" si="22"/>
        <v>8.1311999999999999E-3</v>
      </c>
      <c r="G36" s="112">
        <f t="shared" si="23"/>
        <v>0.58079999999999998</v>
      </c>
      <c r="H36" s="177">
        <v>445</v>
      </c>
      <c r="I36" s="114">
        <f t="shared" si="32"/>
        <v>519</v>
      </c>
      <c r="J36" s="115">
        <f t="shared" si="24"/>
        <v>5.0657376000000003</v>
      </c>
      <c r="K36" s="116">
        <f t="shared" si="25"/>
        <v>8.7220000000000013</v>
      </c>
      <c r="L36" s="117">
        <f t="shared" si="26"/>
        <v>257</v>
      </c>
      <c r="M36" s="178">
        <f t="shared" si="27"/>
        <v>2.0897183999999998</v>
      </c>
      <c r="N36" s="119">
        <f t="shared" si="28"/>
        <v>149.26560000000001</v>
      </c>
      <c r="O36" s="179"/>
      <c r="P36" s="121"/>
      <c r="Q36" s="122"/>
      <c r="R36" s="180"/>
      <c r="S36" s="121">
        <f t="shared" si="30"/>
        <v>0</v>
      </c>
      <c r="T36" s="181">
        <v>257</v>
      </c>
      <c r="U36" s="125">
        <f t="shared" si="31"/>
        <v>1301.8945632</v>
      </c>
      <c r="V36" s="9" t="str">
        <f t="shared" si="11"/>
        <v/>
      </c>
      <c r="W36" s="9" t="str">
        <f t="shared" si="12"/>
        <v/>
      </c>
      <c r="X36" s="9"/>
      <c r="Y36" s="9"/>
      <c r="Z36" s="9"/>
      <c r="AA36" s="9"/>
    </row>
    <row r="37" spans="1:27" ht="13.5" customHeight="1" outlineLevel="1" x14ac:dyDescent="0.25">
      <c r="A37" s="371"/>
      <c r="B37" s="53"/>
      <c r="C37" s="184">
        <v>1.7999999999999999E-2</v>
      </c>
      <c r="D37" s="55">
        <v>0.12</v>
      </c>
      <c r="E37" s="56">
        <v>4.5</v>
      </c>
      <c r="F37" s="112">
        <f t="shared" si="22"/>
        <v>9.7199999999999977E-3</v>
      </c>
      <c r="G37" s="112">
        <f t="shared" si="23"/>
        <v>0.54</v>
      </c>
      <c r="H37" s="177">
        <v>450</v>
      </c>
      <c r="I37" s="114">
        <f t="shared" si="32"/>
        <v>525</v>
      </c>
      <c r="J37" s="115">
        <f t="shared" si="24"/>
        <v>6.1235999999999988</v>
      </c>
      <c r="K37" s="116">
        <f t="shared" si="25"/>
        <v>11.339999999999996</v>
      </c>
      <c r="L37" s="117">
        <f t="shared" si="26"/>
        <v>59</v>
      </c>
      <c r="M37" s="178">
        <f t="shared" si="27"/>
        <v>0.57347999999999988</v>
      </c>
      <c r="N37" s="119">
        <f t="shared" si="28"/>
        <v>31.860000000000003</v>
      </c>
      <c r="O37" s="179"/>
      <c r="P37" s="121" t="str">
        <f t="shared" ref="P37:P57" si="33">IF(O37="","",(O37*F37))</f>
        <v/>
      </c>
      <c r="Q37" s="122"/>
      <c r="R37" s="180"/>
      <c r="S37" s="121">
        <f t="shared" si="30"/>
        <v>0</v>
      </c>
      <c r="T37" s="181">
        <v>59</v>
      </c>
      <c r="U37" s="125">
        <f t="shared" si="31"/>
        <v>361.29239999999993</v>
      </c>
      <c r="V37" s="9" t="str">
        <f t="shared" si="11"/>
        <v/>
      </c>
      <c r="W37" s="9" t="str">
        <f t="shared" si="12"/>
        <v/>
      </c>
      <c r="X37" s="9"/>
      <c r="Y37" s="9"/>
      <c r="Z37" s="9"/>
      <c r="AA37" s="9"/>
    </row>
    <row r="38" spans="1:27" ht="13.5" customHeight="1" outlineLevel="1" x14ac:dyDescent="0.25">
      <c r="A38" s="371"/>
      <c r="B38" s="53"/>
      <c r="C38" s="54">
        <v>1.7999999999999999E-2</v>
      </c>
      <c r="D38" s="55">
        <v>0.121</v>
      </c>
      <c r="E38" s="56">
        <v>3.9</v>
      </c>
      <c r="F38" s="112">
        <f t="shared" si="22"/>
        <v>8.4941999999999986E-3</v>
      </c>
      <c r="G38" s="112">
        <f t="shared" si="23"/>
        <v>0.47189999999999999</v>
      </c>
      <c r="H38" s="177">
        <v>477.5</v>
      </c>
      <c r="I38" s="114">
        <f t="shared" si="32"/>
        <v>557</v>
      </c>
      <c r="J38" s="115">
        <f t="shared" si="24"/>
        <v>5.6826197999999994</v>
      </c>
      <c r="K38" s="116">
        <f t="shared" si="25"/>
        <v>12.042</v>
      </c>
      <c r="L38" s="117">
        <f t="shared" si="26"/>
        <v>148</v>
      </c>
      <c r="M38" s="178">
        <f t="shared" si="27"/>
        <v>1.2571415999999997</v>
      </c>
      <c r="N38" s="119">
        <f t="shared" si="28"/>
        <v>69.841200000000001</v>
      </c>
      <c r="O38" s="182"/>
      <c r="P38" s="121" t="str">
        <f t="shared" si="33"/>
        <v/>
      </c>
      <c r="Q38" s="122"/>
      <c r="R38" s="180"/>
      <c r="S38" s="121">
        <f t="shared" si="30"/>
        <v>0</v>
      </c>
      <c r="T38" s="181">
        <v>148</v>
      </c>
      <c r="U38" s="125">
        <f t="shared" si="31"/>
        <v>841.02773039999988</v>
      </c>
      <c r="V38" s="9" t="str">
        <f t="shared" si="11"/>
        <v/>
      </c>
      <c r="W38" s="9" t="str">
        <f t="shared" si="12"/>
        <v/>
      </c>
      <c r="X38" s="9"/>
      <c r="Y38" s="9"/>
      <c r="Z38" s="9"/>
      <c r="AA38" s="9"/>
    </row>
    <row r="39" spans="1:27" ht="13.5" customHeight="1" outlineLevel="1" x14ac:dyDescent="0.25">
      <c r="A39" s="371"/>
      <c r="B39" s="53"/>
      <c r="C39" s="175">
        <v>1.7999999999999999E-2</v>
      </c>
      <c r="D39" s="176">
        <v>0.14499999999999999</v>
      </c>
      <c r="E39" s="121">
        <v>3</v>
      </c>
      <c r="F39" s="112">
        <f t="shared" si="22"/>
        <v>7.8299999999999984E-3</v>
      </c>
      <c r="G39" s="112">
        <f t="shared" si="23"/>
        <v>0.43499999999999994</v>
      </c>
      <c r="H39" s="177">
        <v>340</v>
      </c>
      <c r="I39" s="114">
        <f t="shared" si="32"/>
        <v>397</v>
      </c>
      <c r="J39" s="115">
        <f t="shared" si="24"/>
        <v>3.7349099999999993</v>
      </c>
      <c r="K39" s="116">
        <f t="shared" si="25"/>
        <v>8.5860000000000003</v>
      </c>
      <c r="L39" s="117">
        <f t="shared" si="26"/>
        <v>0</v>
      </c>
      <c r="M39" s="178">
        <f t="shared" si="27"/>
        <v>0</v>
      </c>
      <c r="N39" s="146">
        <f t="shared" si="28"/>
        <v>0</v>
      </c>
      <c r="O39" s="179"/>
      <c r="P39" s="121" t="str">
        <f t="shared" si="33"/>
        <v/>
      </c>
      <c r="Q39" s="122"/>
      <c r="R39" s="180"/>
      <c r="S39" s="121">
        <f t="shared" si="30"/>
        <v>0</v>
      </c>
      <c r="T39" s="181">
        <v>0</v>
      </c>
      <c r="U39" s="125">
        <f t="shared" si="31"/>
        <v>0</v>
      </c>
      <c r="V39" s="9" t="str">
        <f t="shared" si="11"/>
        <v/>
      </c>
      <c r="W39" s="9" t="str">
        <f t="shared" si="12"/>
        <v/>
      </c>
      <c r="X39" s="185"/>
      <c r="Y39" s="9"/>
      <c r="Z39" s="9"/>
      <c r="AA39" s="9"/>
    </row>
    <row r="40" spans="1:27" ht="13.5" customHeight="1" outlineLevel="1" x14ac:dyDescent="0.25">
      <c r="A40" s="371"/>
      <c r="B40" s="53" t="s">
        <v>60</v>
      </c>
      <c r="C40" s="54">
        <v>1.7999999999999999E-2</v>
      </c>
      <c r="D40" s="55">
        <v>0.14499999999999999</v>
      </c>
      <c r="E40" s="56">
        <v>6</v>
      </c>
      <c r="F40" s="112">
        <f t="shared" si="22"/>
        <v>1.5659999999999997E-2</v>
      </c>
      <c r="G40" s="112">
        <f t="shared" si="23"/>
        <v>0.86999999999999988</v>
      </c>
      <c r="H40" s="177">
        <v>427.02</v>
      </c>
      <c r="I40" s="114">
        <f t="shared" ref="I40:I41" si="34">ROUND(H40*1.063,0)</f>
        <v>454</v>
      </c>
      <c r="J40" s="115">
        <f t="shared" si="24"/>
        <v>8.5346999999999991</v>
      </c>
      <c r="K40" s="116">
        <f t="shared" si="25"/>
        <v>9.81</v>
      </c>
      <c r="L40" s="117">
        <f t="shared" si="26"/>
        <v>618</v>
      </c>
      <c r="M40" s="178">
        <f t="shared" si="27"/>
        <v>9.6778799999999983</v>
      </c>
      <c r="N40" s="119">
        <f t="shared" si="28"/>
        <v>537.66</v>
      </c>
      <c r="O40" s="182"/>
      <c r="P40" s="121" t="str">
        <f t="shared" si="33"/>
        <v/>
      </c>
      <c r="Q40" s="122"/>
      <c r="R40" s="180"/>
      <c r="S40" s="121">
        <f t="shared" si="30"/>
        <v>0</v>
      </c>
      <c r="T40" s="181">
        <v>618</v>
      </c>
      <c r="U40" s="125">
        <f t="shared" si="31"/>
        <v>5274.4445999999998</v>
      </c>
      <c r="V40" s="9" t="str">
        <f t="shared" si="11"/>
        <v/>
      </c>
      <c r="W40" s="9" t="str">
        <f t="shared" si="12"/>
        <v/>
      </c>
      <c r="X40" s="9"/>
      <c r="Y40" s="9"/>
      <c r="Z40" s="9"/>
      <c r="AA40" s="9"/>
    </row>
    <row r="41" spans="1:27" ht="13.5" customHeight="1" outlineLevel="1" x14ac:dyDescent="0.25">
      <c r="A41" s="371"/>
      <c r="B41" s="53" t="s">
        <v>30</v>
      </c>
      <c r="C41" s="54">
        <v>1.7999999999999999E-2</v>
      </c>
      <c r="D41" s="55">
        <v>0.14499999999999999</v>
      </c>
      <c r="E41" s="56">
        <v>6</v>
      </c>
      <c r="F41" s="112">
        <f t="shared" si="22"/>
        <v>1.5659999999999997E-2</v>
      </c>
      <c r="G41" s="112">
        <f t="shared" si="23"/>
        <v>0.86999999999999988</v>
      </c>
      <c r="H41" s="177">
        <v>427.02</v>
      </c>
      <c r="I41" s="114">
        <f t="shared" si="34"/>
        <v>454</v>
      </c>
      <c r="J41" s="115">
        <f t="shared" si="24"/>
        <v>8.5346999999999991</v>
      </c>
      <c r="K41" s="116">
        <f t="shared" si="25"/>
        <v>9.81</v>
      </c>
      <c r="L41" s="117">
        <f t="shared" si="26"/>
        <v>36</v>
      </c>
      <c r="M41" s="178">
        <f t="shared" si="27"/>
        <v>0.56375999999999993</v>
      </c>
      <c r="N41" s="119">
        <f t="shared" si="28"/>
        <v>31.319999999999997</v>
      </c>
      <c r="O41" s="182"/>
      <c r="P41" s="121" t="str">
        <f t="shared" si="33"/>
        <v/>
      </c>
      <c r="Q41" s="122"/>
      <c r="R41" s="180"/>
      <c r="S41" s="121">
        <f t="shared" si="30"/>
        <v>0</v>
      </c>
      <c r="T41" s="181">
        <v>36</v>
      </c>
      <c r="U41" s="125">
        <f t="shared" si="31"/>
        <v>307.24919999999997</v>
      </c>
      <c r="V41" s="9" t="str">
        <f t="shared" si="11"/>
        <v/>
      </c>
      <c r="W41" s="9" t="str">
        <f t="shared" si="12"/>
        <v/>
      </c>
      <c r="X41" s="9"/>
      <c r="Y41" s="9"/>
      <c r="Z41" s="9"/>
      <c r="AA41" s="9"/>
    </row>
    <row r="42" spans="1:27" ht="13.5" customHeight="1" outlineLevel="1" x14ac:dyDescent="0.25">
      <c r="A42" s="371"/>
      <c r="B42" s="53"/>
      <c r="C42" s="175">
        <v>1.9E-2</v>
      </c>
      <c r="D42" s="176">
        <v>0.14599999999999999</v>
      </c>
      <c r="E42" s="121">
        <v>4.8</v>
      </c>
      <c r="F42" s="112">
        <f t="shared" si="22"/>
        <v>1.3315199999999998E-2</v>
      </c>
      <c r="G42" s="112">
        <f t="shared" si="23"/>
        <v>0.70079999999999998</v>
      </c>
      <c r="H42" s="177">
        <v>415</v>
      </c>
      <c r="I42" s="114">
        <f>ROUND(H42*1.1667,0)</f>
        <v>484</v>
      </c>
      <c r="J42" s="115">
        <f t="shared" si="24"/>
        <v>7.7361311999999982</v>
      </c>
      <c r="K42" s="116">
        <f t="shared" si="25"/>
        <v>11.038999999999998</v>
      </c>
      <c r="L42" s="117">
        <f t="shared" si="26"/>
        <v>210</v>
      </c>
      <c r="M42" s="178">
        <f t="shared" si="27"/>
        <v>2.7961919999999996</v>
      </c>
      <c r="N42" s="119">
        <f t="shared" si="28"/>
        <v>147.16800000000001</v>
      </c>
      <c r="O42" s="179"/>
      <c r="P42" s="121" t="str">
        <f t="shared" si="33"/>
        <v/>
      </c>
      <c r="Q42" s="122"/>
      <c r="R42" s="180"/>
      <c r="S42" s="121">
        <f t="shared" si="30"/>
        <v>0</v>
      </c>
      <c r="T42" s="181">
        <v>210</v>
      </c>
      <c r="U42" s="125">
        <f t="shared" si="31"/>
        <v>1624.5875519999997</v>
      </c>
      <c r="V42" s="9" t="str">
        <f t="shared" si="11"/>
        <v/>
      </c>
      <c r="W42" s="9" t="str">
        <f t="shared" si="12"/>
        <v/>
      </c>
      <c r="X42" s="9"/>
      <c r="Y42" s="9"/>
      <c r="Z42" s="9"/>
      <c r="AA42" s="9"/>
    </row>
    <row r="43" spans="1:27" ht="13.5" customHeight="1" outlineLevel="1" x14ac:dyDescent="0.25">
      <c r="A43" s="371"/>
      <c r="B43" s="53"/>
      <c r="C43" s="54">
        <v>0.02</v>
      </c>
      <c r="D43" s="55">
        <v>9.5000000000000001E-2</v>
      </c>
      <c r="E43" s="56">
        <v>4.8</v>
      </c>
      <c r="F43" s="112">
        <f t="shared" si="22"/>
        <v>9.1199999999999996E-3</v>
      </c>
      <c r="G43" s="112">
        <f t="shared" si="23"/>
        <v>0.45599999999999996</v>
      </c>
      <c r="H43" s="177">
        <v>425.18</v>
      </c>
      <c r="I43" s="114">
        <f>ROUND(H43*1.05,0)</f>
        <v>446</v>
      </c>
      <c r="J43" s="115">
        <f t="shared" si="24"/>
        <v>4.8792</v>
      </c>
      <c r="K43" s="116">
        <f t="shared" si="25"/>
        <v>10.700000000000001</v>
      </c>
      <c r="L43" s="117">
        <f t="shared" si="26"/>
        <v>120</v>
      </c>
      <c r="M43" s="178">
        <f t="shared" si="27"/>
        <v>1.0944</v>
      </c>
      <c r="N43" s="119">
        <f t="shared" si="28"/>
        <v>54.72</v>
      </c>
      <c r="O43" s="182"/>
      <c r="P43" s="121" t="str">
        <f t="shared" si="33"/>
        <v/>
      </c>
      <c r="Q43" s="122"/>
      <c r="R43" s="180"/>
      <c r="S43" s="121">
        <f t="shared" si="30"/>
        <v>0</v>
      </c>
      <c r="T43" s="181">
        <v>120</v>
      </c>
      <c r="U43" s="125">
        <f t="shared" si="31"/>
        <v>585.50400000000002</v>
      </c>
      <c r="V43" s="9" t="str">
        <f t="shared" si="11"/>
        <v/>
      </c>
      <c r="W43" s="9" t="str">
        <f t="shared" si="12"/>
        <v/>
      </c>
      <c r="X43" s="9"/>
      <c r="Y43" s="9"/>
      <c r="Z43" s="9"/>
      <c r="AA43" s="9"/>
    </row>
    <row r="44" spans="1:27" ht="13.5" customHeight="1" outlineLevel="1" x14ac:dyDescent="0.25">
      <c r="A44" s="371"/>
      <c r="B44" s="53"/>
      <c r="C44" s="54">
        <v>0.02</v>
      </c>
      <c r="D44" s="55">
        <v>9.5000000000000001E-2</v>
      </c>
      <c r="E44" s="56">
        <v>6</v>
      </c>
      <c r="F44" s="112">
        <f t="shared" si="22"/>
        <v>1.14E-2</v>
      </c>
      <c r="G44" s="112">
        <f t="shared" si="23"/>
        <v>0.57000000000000006</v>
      </c>
      <c r="H44" s="177">
        <v>425.18</v>
      </c>
      <c r="I44" s="114">
        <f>ROUND(H44*1.07,0)</f>
        <v>455</v>
      </c>
      <c r="J44" s="115">
        <f t="shared" si="24"/>
        <v>6.2244000000000002</v>
      </c>
      <c r="K44" s="116">
        <f t="shared" si="25"/>
        <v>10.92</v>
      </c>
      <c r="L44" s="117">
        <f t="shared" si="26"/>
        <v>26</v>
      </c>
      <c r="M44" s="178">
        <f t="shared" si="27"/>
        <v>0.2964</v>
      </c>
      <c r="N44" s="146">
        <f t="shared" si="28"/>
        <v>14.820000000000002</v>
      </c>
      <c r="O44" s="179"/>
      <c r="P44" s="121" t="str">
        <f t="shared" si="33"/>
        <v/>
      </c>
      <c r="Q44" s="122"/>
      <c r="R44" s="180"/>
      <c r="S44" s="121">
        <f t="shared" si="30"/>
        <v>0</v>
      </c>
      <c r="T44" s="181">
        <v>26</v>
      </c>
      <c r="U44" s="125">
        <f t="shared" si="31"/>
        <v>161.83440000000002</v>
      </c>
      <c r="V44" s="9" t="str">
        <f t="shared" si="11"/>
        <v/>
      </c>
      <c r="W44" s="9" t="str">
        <f t="shared" si="12"/>
        <v/>
      </c>
      <c r="X44" s="9"/>
      <c r="Y44" s="9"/>
      <c r="Z44" s="9"/>
      <c r="AA44" s="9"/>
    </row>
    <row r="45" spans="1:27" ht="13.5" customHeight="1" outlineLevel="1" x14ac:dyDescent="0.25">
      <c r="A45" s="371"/>
      <c r="B45" s="53"/>
      <c r="C45" s="54">
        <v>0.02</v>
      </c>
      <c r="D45" s="55">
        <v>0.1</v>
      </c>
      <c r="E45" s="56">
        <v>4</v>
      </c>
      <c r="F45" s="112">
        <f t="shared" si="22"/>
        <v>8.0000000000000002E-3</v>
      </c>
      <c r="G45" s="112">
        <f t="shared" si="23"/>
        <v>0.4</v>
      </c>
      <c r="H45" s="177">
        <v>424.32</v>
      </c>
      <c r="I45" s="114">
        <f>ROUND(H45*1.1667,0)</f>
        <v>495</v>
      </c>
      <c r="J45" s="115">
        <f t="shared" si="24"/>
        <v>4.7519999999999998</v>
      </c>
      <c r="K45" s="116">
        <f t="shared" si="25"/>
        <v>11.879999999999999</v>
      </c>
      <c r="L45" s="117">
        <f t="shared" si="26"/>
        <v>162</v>
      </c>
      <c r="M45" s="178">
        <f t="shared" si="27"/>
        <v>1.296</v>
      </c>
      <c r="N45" s="119">
        <f t="shared" si="28"/>
        <v>64.8</v>
      </c>
      <c r="O45" s="182"/>
      <c r="P45" s="121" t="str">
        <f t="shared" si="33"/>
        <v/>
      </c>
      <c r="Q45" s="122"/>
      <c r="R45" s="180"/>
      <c r="S45" s="121">
        <f t="shared" si="30"/>
        <v>0</v>
      </c>
      <c r="T45" s="181">
        <v>162</v>
      </c>
      <c r="U45" s="125">
        <f t="shared" si="31"/>
        <v>769.82399999999996</v>
      </c>
      <c r="V45" s="9" t="str">
        <f t="shared" si="11"/>
        <v/>
      </c>
      <c r="W45" s="9" t="str">
        <f t="shared" si="12"/>
        <v/>
      </c>
      <c r="X45" s="9"/>
      <c r="Y45" s="9"/>
      <c r="Z45" s="9"/>
      <c r="AA45" s="9"/>
    </row>
    <row r="46" spans="1:27" ht="13.5" customHeight="1" outlineLevel="1" x14ac:dyDescent="0.25">
      <c r="A46" s="371"/>
      <c r="B46" s="53"/>
      <c r="C46" s="54">
        <v>0.02</v>
      </c>
      <c r="D46" s="55">
        <v>0.115</v>
      </c>
      <c r="E46" s="56">
        <v>3</v>
      </c>
      <c r="F46" s="112">
        <f t="shared" si="22"/>
        <v>6.8999999999999999E-3</v>
      </c>
      <c r="G46" s="112">
        <f t="shared" si="23"/>
        <v>0.34500000000000003</v>
      </c>
      <c r="H46" s="177">
        <v>422.19</v>
      </c>
      <c r="I46" s="114">
        <f>ROUND(H46*1.1,0)</f>
        <v>464</v>
      </c>
      <c r="J46" s="115">
        <f t="shared" si="24"/>
        <v>3.8432999999999997</v>
      </c>
      <c r="K46" s="116">
        <f t="shared" si="25"/>
        <v>11.139999999999999</v>
      </c>
      <c r="L46" s="117">
        <f t="shared" si="26"/>
        <v>249</v>
      </c>
      <c r="M46" s="178">
        <f t="shared" si="27"/>
        <v>1.7181</v>
      </c>
      <c r="N46" s="119">
        <f t="shared" si="28"/>
        <v>85.905000000000001</v>
      </c>
      <c r="O46" s="182"/>
      <c r="P46" s="121" t="str">
        <f t="shared" si="33"/>
        <v/>
      </c>
      <c r="Q46" s="122"/>
      <c r="R46" s="180"/>
      <c r="S46" s="121">
        <f t="shared" si="30"/>
        <v>0</v>
      </c>
      <c r="T46" s="181">
        <v>249</v>
      </c>
      <c r="U46" s="125">
        <f t="shared" si="31"/>
        <v>956.98169999999993</v>
      </c>
      <c r="V46" s="9" t="str">
        <f t="shared" si="11"/>
        <v/>
      </c>
      <c r="W46" s="9" t="str">
        <f t="shared" si="12"/>
        <v/>
      </c>
      <c r="X46" s="9"/>
      <c r="Y46" s="9"/>
      <c r="Z46" s="9"/>
      <c r="AA46" s="9"/>
    </row>
    <row r="47" spans="1:27" ht="13.5" customHeight="1" outlineLevel="1" x14ac:dyDescent="0.25">
      <c r="A47" s="371"/>
      <c r="B47" s="53"/>
      <c r="C47" s="175">
        <v>0.02</v>
      </c>
      <c r="D47" s="176">
        <v>0.14499999999999999</v>
      </c>
      <c r="E47" s="121">
        <v>4.8</v>
      </c>
      <c r="F47" s="112">
        <f t="shared" si="22"/>
        <v>1.3919999999999998E-2</v>
      </c>
      <c r="G47" s="112">
        <f t="shared" si="23"/>
        <v>0.69599999999999995</v>
      </c>
      <c r="H47" s="177">
        <v>419.26</v>
      </c>
      <c r="I47" s="114">
        <f>ROUND(H47*1.08,0)</f>
        <v>453</v>
      </c>
      <c r="J47" s="115">
        <f t="shared" si="24"/>
        <v>7.5724799999999988</v>
      </c>
      <c r="K47" s="116">
        <f t="shared" si="25"/>
        <v>10.879999999999999</v>
      </c>
      <c r="L47" s="117">
        <f t="shared" si="26"/>
        <v>15</v>
      </c>
      <c r="M47" s="178">
        <f t="shared" si="27"/>
        <v>0.20879999999999999</v>
      </c>
      <c r="N47" s="146">
        <f t="shared" si="28"/>
        <v>10.44</v>
      </c>
      <c r="O47" s="179"/>
      <c r="P47" s="121" t="str">
        <f t="shared" si="33"/>
        <v/>
      </c>
      <c r="Q47" s="122"/>
      <c r="R47" s="180"/>
      <c r="S47" s="121">
        <f t="shared" si="30"/>
        <v>0</v>
      </c>
      <c r="T47" s="181">
        <v>15</v>
      </c>
      <c r="U47" s="125">
        <f t="shared" si="31"/>
        <v>113.58719999999998</v>
      </c>
      <c r="V47" s="9" t="str">
        <f t="shared" si="11"/>
        <v/>
      </c>
      <c r="W47" s="9" t="str">
        <f t="shared" si="12"/>
        <v/>
      </c>
      <c r="X47" s="9"/>
      <c r="Y47" s="9"/>
      <c r="Z47" s="9"/>
      <c r="AA47" s="9"/>
    </row>
    <row r="48" spans="1:27" ht="13.5" customHeight="1" outlineLevel="1" x14ac:dyDescent="0.25">
      <c r="A48" s="371"/>
      <c r="B48" s="53"/>
      <c r="C48" s="54">
        <v>0.02</v>
      </c>
      <c r="D48" s="55">
        <v>0.17499999999999999</v>
      </c>
      <c r="E48" s="56">
        <v>3</v>
      </c>
      <c r="F48" s="112">
        <f t="shared" si="22"/>
        <v>1.0499999999999999E-2</v>
      </c>
      <c r="G48" s="112">
        <f t="shared" si="23"/>
        <v>0.52499999999999991</v>
      </c>
      <c r="H48" s="177">
        <v>417.33</v>
      </c>
      <c r="I48" s="114">
        <f>ROUND(H48*1.07,0)</f>
        <v>447</v>
      </c>
      <c r="J48" s="115">
        <f t="shared" si="24"/>
        <v>5.6384999999999996</v>
      </c>
      <c r="K48" s="116">
        <f t="shared" si="25"/>
        <v>10.74</v>
      </c>
      <c r="L48" s="117">
        <f t="shared" si="26"/>
        <v>198</v>
      </c>
      <c r="M48" s="178">
        <f t="shared" si="27"/>
        <v>2.0789999999999997</v>
      </c>
      <c r="N48" s="119">
        <f t="shared" si="28"/>
        <v>103.94999999999999</v>
      </c>
      <c r="O48" s="182"/>
      <c r="P48" s="121" t="str">
        <f t="shared" si="33"/>
        <v/>
      </c>
      <c r="Q48" s="122"/>
      <c r="R48" s="180"/>
      <c r="S48" s="121">
        <f t="shared" si="30"/>
        <v>0</v>
      </c>
      <c r="T48" s="181">
        <v>198</v>
      </c>
      <c r="U48" s="125">
        <f t="shared" si="31"/>
        <v>1116.423</v>
      </c>
      <c r="V48" s="9" t="str">
        <f t="shared" si="11"/>
        <v/>
      </c>
      <c r="W48" s="9" t="str">
        <f t="shared" si="12"/>
        <v/>
      </c>
      <c r="X48" s="9"/>
      <c r="Y48" s="9"/>
      <c r="Z48" s="9"/>
      <c r="AA48" s="9"/>
    </row>
    <row r="49" spans="1:27" ht="13.5" customHeight="1" outlineLevel="1" x14ac:dyDescent="0.25">
      <c r="A49" s="371"/>
      <c r="B49" s="53" t="s">
        <v>61</v>
      </c>
      <c r="C49" s="54">
        <v>2.1000000000000001E-2</v>
      </c>
      <c r="D49" s="55">
        <v>0.12</v>
      </c>
      <c r="E49" s="56">
        <v>4.2</v>
      </c>
      <c r="F49" s="112">
        <f t="shared" si="22"/>
        <v>1.0584000000000001E-2</v>
      </c>
      <c r="G49" s="112">
        <f t="shared" si="23"/>
        <v>0.504</v>
      </c>
      <c r="H49" s="177">
        <v>385</v>
      </c>
      <c r="I49" s="114">
        <f t="shared" ref="I49:I51" si="35">ROUND(H49*1.1667,0)</f>
        <v>449</v>
      </c>
      <c r="J49" s="115">
        <f t="shared" si="24"/>
        <v>5.7047760000000007</v>
      </c>
      <c r="K49" s="116">
        <f t="shared" si="25"/>
        <v>11.319000000000001</v>
      </c>
      <c r="L49" s="117">
        <f t="shared" si="26"/>
        <v>296</v>
      </c>
      <c r="M49" s="178">
        <f t="shared" si="27"/>
        <v>3.1328640000000005</v>
      </c>
      <c r="N49" s="119">
        <f t="shared" si="28"/>
        <v>149.184</v>
      </c>
      <c r="O49" s="179"/>
      <c r="P49" s="121" t="str">
        <f t="shared" si="33"/>
        <v/>
      </c>
      <c r="Q49" s="122"/>
      <c r="R49" s="180"/>
      <c r="S49" s="121">
        <f t="shared" si="30"/>
        <v>0</v>
      </c>
      <c r="T49" s="181">
        <v>296</v>
      </c>
      <c r="U49" s="125">
        <f t="shared" si="31"/>
        <v>1688.6136960000001</v>
      </c>
      <c r="V49" s="9" t="str">
        <f t="shared" si="11"/>
        <v/>
      </c>
      <c r="W49" s="9" t="str">
        <f t="shared" si="12"/>
        <v/>
      </c>
      <c r="X49" s="9"/>
      <c r="Y49" s="9"/>
      <c r="Z49" s="9"/>
      <c r="AA49" s="9"/>
    </row>
    <row r="50" spans="1:27" ht="13.5" customHeight="1" outlineLevel="1" x14ac:dyDescent="0.25">
      <c r="A50" s="371"/>
      <c r="B50" s="53" t="s">
        <v>62</v>
      </c>
      <c r="C50" s="184">
        <v>2.1000000000000001E-2</v>
      </c>
      <c r="D50" s="55">
        <v>0.12</v>
      </c>
      <c r="E50" s="56">
        <v>4.2</v>
      </c>
      <c r="F50" s="112">
        <f t="shared" si="22"/>
        <v>1.0584000000000001E-2</v>
      </c>
      <c r="G50" s="112">
        <f t="shared" si="23"/>
        <v>0.504</v>
      </c>
      <c r="H50" s="177">
        <v>385</v>
      </c>
      <c r="I50" s="114">
        <f t="shared" si="35"/>
        <v>449</v>
      </c>
      <c r="J50" s="115">
        <f t="shared" si="24"/>
        <v>5.7047760000000007</v>
      </c>
      <c r="K50" s="116">
        <f t="shared" si="25"/>
        <v>11.319000000000001</v>
      </c>
      <c r="L50" s="117">
        <f t="shared" si="26"/>
        <v>376</v>
      </c>
      <c r="M50" s="178">
        <f t="shared" si="27"/>
        <v>3.9795840000000005</v>
      </c>
      <c r="N50" s="119">
        <f t="shared" si="28"/>
        <v>189.50399999999999</v>
      </c>
      <c r="O50" s="179"/>
      <c r="P50" s="121" t="str">
        <f t="shared" si="33"/>
        <v/>
      </c>
      <c r="Q50" s="122"/>
      <c r="R50" s="180"/>
      <c r="S50" s="121">
        <f t="shared" si="30"/>
        <v>0</v>
      </c>
      <c r="T50" s="181">
        <v>376</v>
      </c>
      <c r="U50" s="125">
        <f t="shared" si="31"/>
        <v>2144.9957760000002</v>
      </c>
      <c r="V50" s="9" t="str">
        <f t="shared" si="11"/>
        <v/>
      </c>
      <c r="W50" s="9" t="str">
        <f t="shared" si="12"/>
        <v/>
      </c>
      <c r="X50" s="9"/>
      <c r="Y50" s="9"/>
      <c r="Z50" s="9"/>
      <c r="AA50" s="9"/>
    </row>
    <row r="51" spans="1:27" ht="13.5" customHeight="1" outlineLevel="1" x14ac:dyDescent="0.25">
      <c r="A51" s="371"/>
      <c r="B51" s="53"/>
      <c r="C51" s="54">
        <v>2.1000000000000001E-2</v>
      </c>
      <c r="D51" s="55">
        <v>0.12</v>
      </c>
      <c r="E51" s="56">
        <v>4.8</v>
      </c>
      <c r="F51" s="112">
        <f t="shared" si="22"/>
        <v>1.2096000000000001E-2</v>
      </c>
      <c r="G51" s="112">
        <f t="shared" si="23"/>
        <v>0.57599999999999996</v>
      </c>
      <c r="H51" s="177">
        <v>385</v>
      </c>
      <c r="I51" s="114">
        <f t="shared" si="35"/>
        <v>449</v>
      </c>
      <c r="J51" s="115">
        <f t="shared" si="24"/>
        <v>6.5197440000000002</v>
      </c>
      <c r="K51" s="116">
        <f t="shared" si="25"/>
        <v>11.319000000000001</v>
      </c>
      <c r="L51" s="117">
        <f t="shared" si="26"/>
        <v>17</v>
      </c>
      <c r="M51" s="178">
        <f t="shared" si="27"/>
        <v>0.20563200000000001</v>
      </c>
      <c r="N51" s="146">
        <f t="shared" si="28"/>
        <v>9.7919999999999998</v>
      </c>
      <c r="O51" s="179"/>
      <c r="P51" s="121" t="str">
        <f t="shared" si="33"/>
        <v/>
      </c>
      <c r="Q51" s="122"/>
      <c r="R51" s="180"/>
      <c r="S51" s="121">
        <f t="shared" si="30"/>
        <v>0</v>
      </c>
      <c r="T51" s="181">
        <v>17</v>
      </c>
      <c r="U51" s="125">
        <f t="shared" si="31"/>
        <v>110.83564800000001</v>
      </c>
      <c r="V51" s="9" t="str">
        <f t="shared" si="11"/>
        <v/>
      </c>
      <c r="W51" s="9" t="str">
        <f t="shared" si="12"/>
        <v/>
      </c>
      <c r="X51" s="9"/>
      <c r="Y51" s="9"/>
      <c r="Z51" s="9"/>
      <c r="AA51" s="9"/>
    </row>
    <row r="52" spans="1:27" ht="13.5" customHeight="1" outlineLevel="1" x14ac:dyDescent="0.25">
      <c r="A52" s="371"/>
      <c r="B52" s="53"/>
      <c r="C52" s="54">
        <v>2.1000000000000001E-2</v>
      </c>
      <c r="D52" s="55">
        <v>0.12</v>
      </c>
      <c r="E52" s="56">
        <v>5.4</v>
      </c>
      <c r="F52" s="112">
        <f t="shared" si="22"/>
        <v>1.3608000000000002E-2</v>
      </c>
      <c r="G52" s="112">
        <f t="shared" si="23"/>
        <v>0.64800000000000002</v>
      </c>
      <c r="H52" s="177">
        <v>418.25</v>
      </c>
      <c r="I52" s="114">
        <f>ROUND(H52*1.1,0)</f>
        <v>460</v>
      </c>
      <c r="J52" s="115">
        <f t="shared" si="24"/>
        <v>7.511616000000001</v>
      </c>
      <c r="K52" s="116">
        <f t="shared" si="25"/>
        <v>11.592000000000001</v>
      </c>
      <c r="L52" s="117">
        <f t="shared" si="26"/>
        <v>68</v>
      </c>
      <c r="M52" s="178">
        <f t="shared" si="27"/>
        <v>0.92534400000000017</v>
      </c>
      <c r="N52" s="119">
        <f t="shared" si="28"/>
        <v>44.064</v>
      </c>
      <c r="O52" s="182"/>
      <c r="P52" s="121" t="str">
        <f t="shared" si="33"/>
        <v/>
      </c>
      <c r="Q52" s="122"/>
      <c r="R52" s="180"/>
      <c r="S52" s="121">
        <f t="shared" si="30"/>
        <v>0</v>
      </c>
      <c r="T52" s="181">
        <v>68</v>
      </c>
      <c r="U52" s="125">
        <f t="shared" si="31"/>
        <v>510.78988800000008</v>
      </c>
      <c r="V52" s="9" t="str">
        <f t="shared" si="11"/>
        <v/>
      </c>
      <c r="W52" s="9" t="str">
        <f t="shared" si="12"/>
        <v/>
      </c>
      <c r="X52" s="9"/>
      <c r="Y52" s="9"/>
      <c r="Z52" s="9"/>
      <c r="AA52" s="9"/>
    </row>
    <row r="53" spans="1:27" ht="13.5" customHeight="1" outlineLevel="1" x14ac:dyDescent="0.25">
      <c r="A53" s="371"/>
      <c r="B53" s="186"/>
      <c r="C53" s="54">
        <v>2.1000000000000001E-2</v>
      </c>
      <c r="D53" s="55">
        <v>0.14499999999999999</v>
      </c>
      <c r="E53" s="56">
        <v>5.0999999999999996</v>
      </c>
      <c r="F53" s="112">
        <f t="shared" si="22"/>
        <v>1.5529499999999998E-2</v>
      </c>
      <c r="G53" s="112">
        <f t="shared" si="23"/>
        <v>0.73949999999999994</v>
      </c>
      <c r="H53" s="177">
        <v>380</v>
      </c>
      <c r="I53" s="114">
        <f>ROUND(H53*1.1667,0)</f>
        <v>443</v>
      </c>
      <c r="J53" s="115">
        <f t="shared" si="24"/>
        <v>8.2616939999999985</v>
      </c>
      <c r="K53" s="116">
        <f t="shared" si="25"/>
        <v>11.171999999999999</v>
      </c>
      <c r="L53" s="117">
        <f t="shared" si="26"/>
        <v>52</v>
      </c>
      <c r="M53" s="178">
        <f t="shared" si="27"/>
        <v>0.80753399999999986</v>
      </c>
      <c r="N53" s="119">
        <f t="shared" si="28"/>
        <v>38.453999999999994</v>
      </c>
      <c r="O53" s="182"/>
      <c r="P53" s="121" t="str">
        <f t="shared" si="33"/>
        <v/>
      </c>
      <c r="Q53" s="122"/>
      <c r="R53" s="180"/>
      <c r="S53" s="121">
        <f t="shared" si="30"/>
        <v>0</v>
      </c>
      <c r="T53" s="181">
        <v>52</v>
      </c>
      <c r="U53" s="125">
        <f t="shared" si="31"/>
        <v>429.60808799999995</v>
      </c>
      <c r="V53" s="9" t="str">
        <f t="shared" si="11"/>
        <v/>
      </c>
      <c r="W53" s="9" t="str">
        <f t="shared" si="12"/>
        <v/>
      </c>
      <c r="X53" s="9"/>
      <c r="Y53" s="9"/>
      <c r="Z53" s="9"/>
      <c r="AA53" s="9"/>
    </row>
    <row r="54" spans="1:27" ht="13.5" customHeight="1" outlineLevel="1" x14ac:dyDescent="0.25">
      <c r="A54" s="371"/>
      <c r="B54" s="53"/>
      <c r="C54" s="54">
        <v>2.1000000000000001E-2</v>
      </c>
      <c r="D54" s="55">
        <v>0.14599999999999999</v>
      </c>
      <c r="E54" s="56">
        <v>4.5</v>
      </c>
      <c r="F54" s="112">
        <f t="shared" si="22"/>
        <v>1.3797E-2</v>
      </c>
      <c r="G54" s="112">
        <f t="shared" si="23"/>
        <v>0.65699999999999992</v>
      </c>
      <c r="H54" s="187">
        <v>415.85</v>
      </c>
      <c r="I54" s="114">
        <f>ROUND(H54*1.1,0)</f>
        <v>457</v>
      </c>
      <c r="J54" s="115">
        <f t="shared" si="24"/>
        <v>7.5745529999999999</v>
      </c>
      <c r="K54" s="116">
        <f t="shared" si="25"/>
        <v>11.529000000000002</v>
      </c>
      <c r="L54" s="117">
        <f t="shared" si="26"/>
        <v>31</v>
      </c>
      <c r="M54" s="178">
        <f t="shared" si="27"/>
        <v>0.427707</v>
      </c>
      <c r="N54" s="119">
        <f t="shared" si="28"/>
        <v>20.366999999999997</v>
      </c>
      <c r="O54" s="182"/>
      <c r="P54" s="121" t="str">
        <f t="shared" si="33"/>
        <v/>
      </c>
      <c r="Q54" s="122"/>
      <c r="R54" s="180"/>
      <c r="S54" s="121">
        <f t="shared" si="30"/>
        <v>0</v>
      </c>
      <c r="T54" s="181">
        <v>31</v>
      </c>
      <c r="U54" s="125">
        <f t="shared" si="31"/>
        <v>234.81114299999999</v>
      </c>
      <c r="V54" s="9" t="str">
        <f t="shared" si="11"/>
        <v/>
      </c>
      <c r="W54" s="9" t="str">
        <f t="shared" si="12"/>
        <v/>
      </c>
      <c r="X54" s="9"/>
      <c r="Y54" s="9"/>
      <c r="Z54" s="9"/>
      <c r="AA54" s="9"/>
    </row>
    <row r="55" spans="1:27" ht="13.5" customHeight="1" outlineLevel="1" x14ac:dyDescent="0.25">
      <c r="A55" s="371"/>
      <c r="B55" s="53"/>
      <c r="C55" s="175">
        <v>2.1000000000000001E-2</v>
      </c>
      <c r="D55" s="176">
        <v>0.17</v>
      </c>
      <c r="E55" s="121">
        <v>6</v>
      </c>
      <c r="F55" s="112">
        <f t="shared" si="22"/>
        <v>2.1420000000000005E-2</v>
      </c>
      <c r="G55" s="112">
        <f t="shared" si="23"/>
        <v>1.02</v>
      </c>
      <c r="H55" s="113">
        <v>380</v>
      </c>
      <c r="I55" s="114">
        <f>ROUND(H55*1.1667,0)</f>
        <v>443</v>
      </c>
      <c r="J55" s="115">
        <f t="shared" si="24"/>
        <v>11.395440000000002</v>
      </c>
      <c r="K55" s="116">
        <f t="shared" si="25"/>
        <v>11.172000000000002</v>
      </c>
      <c r="L55" s="117">
        <f t="shared" si="26"/>
        <v>144</v>
      </c>
      <c r="M55" s="178">
        <f t="shared" si="27"/>
        <v>3.0844800000000006</v>
      </c>
      <c r="N55" s="119">
        <f t="shared" si="28"/>
        <v>146.88</v>
      </c>
      <c r="O55" s="179"/>
      <c r="P55" s="121" t="str">
        <f t="shared" si="33"/>
        <v/>
      </c>
      <c r="Q55" s="122"/>
      <c r="R55" s="180"/>
      <c r="S55" s="121">
        <f t="shared" si="30"/>
        <v>0</v>
      </c>
      <c r="T55" s="181">
        <v>144</v>
      </c>
      <c r="U55" s="125">
        <f t="shared" si="31"/>
        <v>1640.9433600000004</v>
      </c>
      <c r="V55" s="9" t="str">
        <f t="shared" si="11"/>
        <v/>
      </c>
      <c r="W55" s="9" t="str">
        <f t="shared" si="12"/>
        <v/>
      </c>
      <c r="X55" s="9"/>
      <c r="Y55" s="9"/>
      <c r="Z55" s="9"/>
      <c r="AA55" s="9"/>
    </row>
    <row r="56" spans="1:27" ht="13.5" customHeight="1" outlineLevel="1" x14ac:dyDescent="0.25">
      <c r="A56" s="371"/>
      <c r="B56" s="53"/>
      <c r="C56" s="175">
        <v>2.5000000000000001E-2</v>
      </c>
      <c r="D56" s="176">
        <v>9.5000000000000001E-2</v>
      </c>
      <c r="E56" s="121">
        <v>3</v>
      </c>
      <c r="F56" s="112">
        <f t="shared" si="22"/>
        <v>7.1250000000000011E-3</v>
      </c>
      <c r="G56" s="112">
        <f t="shared" si="23"/>
        <v>0.28500000000000003</v>
      </c>
      <c r="H56" s="177">
        <v>411.01</v>
      </c>
      <c r="I56" s="114">
        <f>ROUND(H56*1.08,0)</f>
        <v>444</v>
      </c>
      <c r="J56" s="115">
        <f t="shared" si="24"/>
        <v>3.7976250000000005</v>
      </c>
      <c r="K56" s="116">
        <f t="shared" si="25"/>
        <v>13.325000000000001</v>
      </c>
      <c r="L56" s="117">
        <f t="shared" si="26"/>
        <v>77</v>
      </c>
      <c r="M56" s="178">
        <f t="shared" si="27"/>
        <v>0.54862500000000014</v>
      </c>
      <c r="N56" s="119">
        <f t="shared" si="28"/>
        <v>21.945000000000004</v>
      </c>
      <c r="O56" s="179"/>
      <c r="P56" s="121" t="str">
        <f t="shared" si="33"/>
        <v/>
      </c>
      <c r="Q56" s="122"/>
      <c r="R56" s="180"/>
      <c r="S56" s="121">
        <f t="shared" si="30"/>
        <v>0</v>
      </c>
      <c r="T56" s="181">
        <v>77</v>
      </c>
      <c r="U56" s="125">
        <f t="shared" si="31"/>
        <v>292.41712500000006</v>
      </c>
      <c r="V56" s="9" t="str">
        <f t="shared" si="11"/>
        <v/>
      </c>
      <c r="W56" s="9" t="str">
        <f t="shared" si="12"/>
        <v/>
      </c>
      <c r="X56" s="9"/>
      <c r="Y56" s="9"/>
      <c r="Z56" s="9"/>
      <c r="AA56" s="9"/>
    </row>
    <row r="57" spans="1:27" ht="13.5" customHeight="1" outlineLevel="1" x14ac:dyDescent="0.25">
      <c r="A57" s="371"/>
      <c r="B57" s="53" t="s">
        <v>63</v>
      </c>
      <c r="C57" s="54">
        <v>2.8000000000000001E-2</v>
      </c>
      <c r="D57" s="55">
        <v>0.14499999999999999</v>
      </c>
      <c r="E57" s="56">
        <v>4.5</v>
      </c>
      <c r="F57" s="112">
        <f t="shared" si="22"/>
        <v>1.8269999999999998E-2</v>
      </c>
      <c r="G57" s="112">
        <f t="shared" si="23"/>
        <v>0.65249999999999997</v>
      </c>
      <c r="H57" s="177">
        <v>428.56</v>
      </c>
      <c r="I57" s="114">
        <f>ROUND(H57*1.1667,0)</f>
        <v>500</v>
      </c>
      <c r="J57" s="115">
        <f t="shared" si="24"/>
        <v>10.961999999999998</v>
      </c>
      <c r="K57" s="116">
        <f t="shared" si="25"/>
        <v>16.799999999999997</v>
      </c>
      <c r="L57" s="117">
        <f t="shared" si="26"/>
        <v>141</v>
      </c>
      <c r="M57" s="178">
        <f t="shared" si="27"/>
        <v>2.5760699999999996</v>
      </c>
      <c r="N57" s="119">
        <f t="shared" si="28"/>
        <v>92.002499999999998</v>
      </c>
      <c r="O57" s="182"/>
      <c r="P57" s="121" t="str">
        <f t="shared" si="33"/>
        <v/>
      </c>
      <c r="Q57" s="122"/>
      <c r="R57" s="180"/>
      <c r="S57" s="121">
        <f t="shared" si="30"/>
        <v>0</v>
      </c>
      <c r="T57" s="181">
        <v>141</v>
      </c>
      <c r="U57" s="125">
        <f t="shared" si="31"/>
        <v>1545.6419999999998</v>
      </c>
      <c r="V57" s="9" t="str">
        <f t="shared" si="11"/>
        <v/>
      </c>
      <c r="W57" s="9" t="str">
        <f t="shared" si="12"/>
        <v/>
      </c>
      <c r="X57" s="9"/>
      <c r="Y57" s="9"/>
      <c r="Z57" s="9"/>
      <c r="AA57" s="9"/>
    </row>
    <row r="58" spans="1:27" ht="13.5" customHeight="1" x14ac:dyDescent="0.25">
      <c r="A58" s="371"/>
      <c r="B58" s="148" t="s">
        <v>56</v>
      </c>
      <c r="C58" s="149"/>
      <c r="D58" s="150"/>
      <c r="E58" s="149"/>
      <c r="F58" s="151"/>
      <c r="G58" s="151"/>
      <c r="H58" s="152">
        <f t="shared" ref="H58:I58" si="36">AVERAGE(H31:H57)</f>
        <v>429.54148148148153</v>
      </c>
      <c r="I58" s="153">
        <f t="shared" si="36"/>
        <v>484.66666666666669</v>
      </c>
      <c r="J58" s="154"/>
      <c r="K58" s="152">
        <f>AVERAGE(K31:K57)</f>
        <v>10.66859259259259</v>
      </c>
      <c r="L58" s="155"/>
      <c r="M58" s="156">
        <f>SUM(M31:M57)</f>
        <v>45.356877599999997</v>
      </c>
      <c r="N58" s="156"/>
      <c r="O58" s="157"/>
      <c r="P58" s="158">
        <f t="shared" ref="P58:Q58" si="37">SUM(P31:P57)</f>
        <v>0</v>
      </c>
      <c r="Q58" s="159">
        <f t="shared" si="37"/>
        <v>0</v>
      </c>
      <c r="R58" s="160"/>
      <c r="S58" s="161">
        <f>SUM(S31:S57)</f>
        <v>0</v>
      </c>
      <c r="T58" s="162"/>
      <c r="U58" s="163">
        <f>SUM(U31:U57)</f>
        <v>26751.597950399999</v>
      </c>
      <c r="V58" s="9" t="str">
        <f t="shared" si="11"/>
        <v/>
      </c>
      <c r="W58" s="9" t="str">
        <f t="shared" si="12"/>
        <v/>
      </c>
      <c r="X58" s="9"/>
      <c r="Y58" s="9"/>
      <c r="Z58" s="9"/>
      <c r="AA58" s="9"/>
    </row>
    <row r="59" spans="1:27" ht="13.5" customHeight="1" x14ac:dyDescent="0.25">
      <c r="A59" s="371"/>
      <c r="B59" s="164" t="s">
        <v>64</v>
      </c>
      <c r="C59" s="164"/>
      <c r="D59" s="164"/>
      <c r="E59" s="164"/>
      <c r="F59" s="164"/>
      <c r="G59" s="164"/>
      <c r="H59" s="164"/>
      <c r="I59" s="167"/>
      <c r="J59" s="168"/>
      <c r="K59" s="164"/>
      <c r="L59" s="164"/>
      <c r="M59" s="164"/>
      <c r="N59" s="169"/>
      <c r="O59" s="188"/>
      <c r="P59" s="164"/>
      <c r="Q59" s="189"/>
      <c r="R59" s="173"/>
      <c r="S59" s="164"/>
      <c r="T59" s="164"/>
      <c r="U59" s="174"/>
      <c r="V59" s="9" t="str">
        <f t="shared" si="11"/>
        <v/>
      </c>
      <c r="W59" s="9" t="str">
        <f t="shared" si="12"/>
        <v/>
      </c>
      <c r="X59" s="9"/>
      <c r="Y59" s="9"/>
      <c r="Z59" s="9"/>
      <c r="AA59" s="9"/>
    </row>
    <row r="60" spans="1:27" ht="13.5" customHeight="1" outlineLevel="1" x14ac:dyDescent="0.25">
      <c r="A60" s="371"/>
      <c r="B60" s="53"/>
      <c r="C60" s="54">
        <v>0.02</v>
      </c>
      <c r="D60" s="55">
        <v>0.09</v>
      </c>
      <c r="E60" s="56">
        <v>3</v>
      </c>
      <c r="F60" s="112">
        <f t="shared" ref="F60:F63" si="38">C60*D60*E60</f>
        <v>5.4000000000000003E-3</v>
      </c>
      <c r="G60" s="112">
        <f t="shared" ref="G60:G63" si="39">D60*E60</f>
        <v>0.27</v>
      </c>
      <c r="H60" s="177">
        <v>426.13</v>
      </c>
      <c r="I60" s="114">
        <f t="shared" ref="I60:I62" si="40">ROUND(H60*1.08,0)</f>
        <v>460</v>
      </c>
      <c r="J60" s="115">
        <f t="shared" ref="J60:J63" si="41">ROUND((I60*0.992)*1.21,0)*(C60*D60*E60)</f>
        <v>2.9808000000000003</v>
      </c>
      <c r="K60" s="116">
        <f t="shared" ref="K60:K63" si="42">J60/(D60*E60)</f>
        <v>11.040000000000001</v>
      </c>
      <c r="L60" s="117">
        <f t="shared" ref="L60:L63" si="43">T60+R60-O60</f>
        <v>48</v>
      </c>
      <c r="M60" s="178">
        <f t="shared" ref="M60:M63" si="44">L60*F60</f>
        <v>0.25919999999999999</v>
      </c>
      <c r="N60" s="119">
        <f t="shared" ref="N60:N63" si="45">L60*G60</f>
        <v>12.96</v>
      </c>
      <c r="O60" s="179">
        <v>10</v>
      </c>
      <c r="P60" s="121">
        <f t="shared" ref="P60:P63" si="46">IF(O60="","",(O60*F60))</f>
        <v>5.4000000000000006E-2</v>
      </c>
      <c r="Q60" s="122">
        <v>25</v>
      </c>
      <c r="R60" s="180"/>
      <c r="S60" s="121">
        <f t="shared" ref="S60:S63" si="47">R60*F60</f>
        <v>0</v>
      </c>
      <c r="T60" s="181">
        <v>58</v>
      </c>
      <c r="U60" s="125">
        <f t="shared" ref="U60:U63" si="48">J60*L60</f>
        <v>143.07840000000002</v>
      </c>
      <c r="V60" s="9">
        <f t="shared" si="11"/>
        <v>1.988979999999998</v>
      </c>
      <c r="W60" s="9">
        <f t="shared" si="12"/>
        <v>23.011020000000002</v>
      </c>
      <c r="X60" s="9"/>
      <c r="Y60" s="9"/>
      <c r="Z60" s="9"/>
      <c r="AA60" s="9"/>
    </row>
    <row r="61" spans="1:27" ht="13.5" customHeight="1" outlineLevel="1" x14ac:dyDescent="0.25">
      <c r="A61" s="371"/>
      <c r="B61" s="53"/>
      <c r="C61" s="54">
        <v>0.02</v>
      </c>
      <c r="D61" s="55">
        <v>0.09</v>
      </c>
      <c r="E61" s="56">
        <v>4</v>
      </c>
      <c r="F61" s="112">
        <f t="shared" si="38"/>
        <v>7.1999999999999998E-3</v>
      </c>
      <c r="G61" s="112">
        <f t="shared" si="39"/>
        <v>0.36</v>
      </c>
      <c r="H61" s="177">
        <v>426.13</v>
      </c>
      <c r="I61" s="114">
        <f t="shared" si="40"/>
        <v>460</v>
      </c>
      <c r="J61" s="115">
        <f t="shared" si="41"/>
        <v>3.9743999999999997</v>
      </c>
      <c r="K61" s="116">
        <f t="shared" si="42"/>
        <v>11.04</v>
      </c>
      <c r="L61" s="117">
        <f t="shared" si="43"/>
        <v>15</v>
      </c>
      <c r="M61" s="178">
        <f t="shared" si="44"/>
        <v>0.108</v>
      </c>
      <c r="N61" s="119">
        <f t="shared" si="45"/>
        <v>5.3999999999999995</v>
      </c>
      <c r="O61" s="179"/>
      <c r="P61" s="121" t="str">
        <f t="shared" si="46"/>
        <v/>
      </c>
      <c r="Q61" s="122"/>
      <c r="R61" s="180"/>
      <c r="S61" s="121">
        <f t="shared" si="47"/>
        <v>0</v>
      </c>
      <c r="T61" s="181">
        <v>15</v>
      </c>
      <c r="U61" s="125">
        <f t="shared" si="48"/>
        <v>59.615999999999993</v>
      </c>
      <c r="V61" s="9" t="str">
        <f t="shared" si="11"/>
        <v/>
      </c>
      <c r="W61" s="9" t="str">
        <f t="shared" si="12"/>
        <v/>
      </c>
      <c r="X61" s="9"/>
      <c r="Y61" s="9"/>
      <c r="Z61" s="9"/>
      <c r="AA61" s="9"/>
    </row>
    <row r="62" spans="1:27" ht="13.5" customHeight="1" outlineLevel="1" x14ac:dyDescent="0.25">
      <c r="A62" s="371"/>
      <c r="B62" s="53"/>
      <c r="C62" s="54">
        <v>0.02</v>
      </c>
      <c r="D62" s="55">
        <v>9.5000000000000001E-2</v>
      </c>
      <c r="E62" s="56">
        <v>2.4</v>
      </c>
      <c r="F62" s="112">
        <f t="shared" si="38"/>
        <v>4.5599999999999998E-3</v>
      </c>
      <c r="G62" s="112">
        <f t="shared" si="39"/>
        <v>0.22799999999999998</v>
      </c>
      <c r="H62" s="177">
        <v>426.13</v>
      </c>
      <c r="I62" s="114">
        <f t="shared" si="40"/>
        <v>460</v>
      </c>
      <c r="J62" s="115">
        <f t="shared" si="41"/>
        <v>2.5171199999999998</v>
      </c>
      <c r="K62" s="116">
        <f t="shared" si="42"/>
        <v>11.040000000000001</v>
      </c>
      <c r="L62" s="117">
        <f t="shared" si="43"/>
        <v>48</v>
      </c>
      <c r="M62" s="178">
        <f t="shared" si="44"/>
        <v>0.21887999999999999</v>
      </c>
      <c r="N62" s="119">
        <f t="shared" si="45"/>
        <v>10.943999999999999</v>
      </c>
      <c r="O62" s="179"/>
      <c r="P62" s="121" t="str">
        <f t="shared" si="46"/>
        <v/>
      </c>
      <c r="Q62" s="122"/>
      <c r="R62" s="180"/>
      <c r="S62" s="121">
        <f t="shared" si="47"/>
        <v>0</v>
      </c>
      <c r="T62" s="181">
        <v>48</v>
      </c>
      <c r="U62" s="125">
        <f t="shared" si="48"/>
        <v>120.82175999999998</v>
      </c>
      <c r="V62" s="9" t="str">
        <f t="shared" si="11"/>
        <v/>
      </c>
      <c r="W62" s="9" t="str">
        <f t="shared" si="12"/>
        <v/>
      </c>
      <c r="X62" s="9"/>
      <c r="Y62" s="9"/>
      <c r="Z62" s="9"/>
      <c r="AA62" s="9"/>
    </row>
    <row r="63" spans="1:27" ht="13.5" customHeight="1" outlineLevel="1" x14ac:dyDescent="0.25">
      <c r="A63" s="371"/>
      <c r="B63" s="53"/>
      <c r="C63" s="54">
        <v>2.1000000000000001E-2</v>
      </c>
      <c r="D63" s="55">
        <v>0.12</v>
      </c>
      <c r="E63" s="56">
        <v>4.2</v>
      </c>
      <c r="F63" s="112">
        <f t="shared" si="38"/>
        <v>1.0584000000000001E-2</v>
      </c>
      <c r="G63" s="112">
        <f t="shared" si="39"/>
        <v>0.504</v>
      </c>
      <c r="H63" s="177">
        <v>385</v>
      </c>
      <c r="I63" s="114">
        <f>ROUND(H63*1.1,0)</f>
        <v>424</v>
      </c>
      <c r="J63" s="115">
        <f t="shared" si="41"/>
        <v>5.3872560000000007</v>
      </c>
      <c r="K63" s="116">
        <f t="shared" si="42"/>
        <v>10.689000000000002</v>
      </c>
      <c r="L63" s="117">
        <f t="shared" si="43"/>
        <v>241</v>
      </c>
      <c r="M63" s="178">
        <f t="shared" si="44"/>
        <v>2.5507440000000003</v>
      </c>
      <c r="N63" s="119">
        <f t="shared" si="45"/>
        <v>121.464</v>
      </c>
      <c r="O63" s="179"/>
      <c r="P63" s="121" t="str">
        <f t="shared" si="46"/>
        <v/>
      </c>
      <c r="Q63" s="122"/>
      <c r="R63" s="180"/>
      <c r="S63" s="121">
        <f t="shared" si="47"/>
        <v>0</v>
      </c>
      <c r="T63" s="181">
        <v>241</v>
      </c>
      <c r="U63" s="125">
        <f t="shared" si="48"/>
        <v>1298.3286960000003</v>
      </c>
      <c r="V63" s="9" t="str">
        <f t="shared" si="11"/>
        <v/>
      </c>
      <c r="W63" s="9" t="str">
        <f t="shared" si="12"/>
        <v/>
      </c>
      <c r="X63" s="9"/>
      <c r="Y63" s="9"/>
      <c r="Z63" s="9"/>
      <c r="AA63" s="9"/>
    </row>
    <row r="64" spans="1:27" ht="13.5" customHeight="1" x14ac:dyDescent="0.25">
      <c r="A64" s="371"/>
      <c r="B64" s="148" t="s">
        <v>56</v>
      </c>
      <c r="C64" s="149"/>
      <c r="D64" s="150"/>
      <c r="E64" s="149"/>
      <c r="F64" s="151"/>
      <c r="G64" s="151"/>
      <c r="H64" s="152">
        <f t="shared" ref="H64:I64" si="49">AVERAGE(H60:H63)</f>
        <v>415.84749999999997</v>
      </c>
      <c r="I64" s="153">
        <f t="shared" si="49"/>
        <v>451</v>
      </c>
      <c r="J64" s="154"/>
      <c r="K64" s="152">
        <f>AVERAGE(K60:K63)</f>
        <v>10.952249999999999</v>
      </c>
      <c r="L64" s="155"/>
      <c r="M64" s="156">
        <f>SUM(M60:M63)</f>
        <v>3.1368240000000003</v>
      </c>
      <c r="N64" s="156"/>
      <c r="O64" s="157"/>
      <c r="P64" s="158">
        <f>SUM(P60:P62)</f>
        <v>5.4000000000000006E-2</v>
      </c>
      <c r="Q64" s="159">
        <f>SUM(Q60:Q63)</f>
        <v>25</v>
      </c>
      <c r="R64" s="190"/>
      <c r="S64" s="161">
        <f>SUM(S60:S63)</f>
        <v>0</v>
      </c>
      <c r="T64" s="162"/>
      <c r="U64" s="163">
        <f>SUM(U60:U63)</f>
        <v>1621.8448560000002</v>
      </c>
      <c r="V64" s="9" t="str">
        <f t="shared" si="11"/>
        <v/>
      </c>
      <c r="W64" s="9" t="str">
        <f t="shared" si="12"/>
        <v/>
      </c>
      <c r="X64" s="9"/>
      <c r="Y64" s="9"/>
      <c r="Z64" s="9"/>
      <c r="AA64" s="9"/>
    </row>
    <row r="65" spans="1:27" ht="13.5" customHeight="1" x14ac:dyDescent="0.25">
      <c r="A65" s="371"/>
      <c r="B65" s="164" t="s">
        <v>65</v>
      </c>
      <c r="C65" s="164"/>
      <c r="D65" s="164"/>
      <c r="E65" s="164"/>
      <c r="F65" s="164"/>
      <c r="G65" s="164"/>
      <c r="H65" s="164"/>
      <c r="I65" s="167"/>
      <c r="J65" s="168"/>
      <c r="K65" s="164"/>
      <c r="L65" s="164"/>
      <c r="M65" s="164"/>
      <c r="N65" s="169"/>
      <c r="O65" s="188"/>
      <c r="P65" s="164"/>
      <c r="Q65" s="189"/>
      <c r="R65" s="173"/>
      <c r="S65" s="164"/>
      <c r="T65" s="164"/>
      <c r="U65" s="174"/>
      <c r="V65" s="9" t="str">
        <f t="shared" si="11"/>
        <v/>
      </c>
      <c r="W65" s="9" t="str">
        <f t="shared" si="12"/>
        <v/>
      </c>
      <c r="X65" s="9"/>
      <c r="Y65" s="9"/>
      <c r="Z65" s="9"/>
      <c r="AA65" s="9"/>
    </row>
    <row r="66" spans="1:27" ht="13.5" customHeight="1" outlineLevel="1" x14ac:dyDescent="0.25">
      <c r="A66" s="371"/>
      <c r="B66" s="53"/>
      <c r="C66" s="54">
        <v>2.8000000000000001E-2</v>
      </c>
      <c r="D66" s="55">
        <v>9.5000000000000001E-2</v>
      </c>
      <c r="E66" s="183">
        <v>3</v>
      </c>
      <c r="F66" s="112">
        <f t="shared" ref="F66:F67" si="50">C66*D66*E66</f>
        <v>7.980000000000001E-3</v>
      </c>
      <c r="G66" s="112">
        <f t="shared" ref="G66:G67" si="51">D66*E66</f>
        <v>0.28500000000000003</v>
      </c>
      <c r="H66" s="177">
        <v>404.93</v>
      </c>
      <c r="I66" s="114">
        <f>ROUND(H66*1.08,0)</f>
        <v>437</v>
      </c>
      <c r="J66" s="115">
        <f t="shared" ref="J66:J67" si="52">ROUND((I66*0.992)*1.21,0)*(C66*D66*E66)</f>
        <v>4.1895000000000007</v>
      </c>
      <c r="K66" s="116">
        <f t="shared" ref="K66:K67" si="53">J66/(D66*E66)</f>
        <v>14.700000000000001</v>
      </c>
      <c r="L66" s="117">
        <f t="shared" ref="L66:L67" si="54">T66+R66-O66</f>
        <v>708</v>
      </c>
      <c r="M66" s="178">
        <f t="shared" ref="M66:M67" si="55">L66*F66</f>
        <v>5.6498400000000011</v>
      </c>
      <c r="N66" s="119">
        <f t="shared" ref="N66:N67" si="56">L66*G66</f>
        <v>201.78000000000003</v>
      </c>
      <c r="O66" s="182"/>
      <c r="P66" s="121" t="str">
        <f>IF(O66="","",(O66*F66))</f>
        <v/>
      </c>
      <c r="Q66" s="122"/>
      <c r="R66" s="180"/>
      <c r="S66" s="121">
        <f t="shared" ref="S66:S67" si="57">R66*F66</f>
        <v>0</v>
      </c>
      <c r="T66" s="181">
        <v>708</v>
      </c>
      <c r="U66" s="125">
        <f t="shared" ref="U66:U67" si="58">J66*L66</f>
        <v>2966.1660000000006</v>
      </c>
      <c r="V66" s="9" t="str">
        <f t="shared" si="11"/>
        <v/>
      </c>
      <c r="W66" s="9" t="str">
        <f t="shared" si="12"/>
        <v/>
      </c>
      <c r="X66" s="9"/>
      <c r="Y66" s="9"/>
      <c r="Z66" s="9"/>
      <c r="AA66" s="9"/>
    </row>
    <row r="67" spans="1:27" ht="13.5" customHeight="1" outlineLevel="1" x14ac:dyDescent="0.25">
      <c r="A67" s="371"/>
      <c r="B67" s="53"/>
      <c r="C67" s="54">
        <v>2.8000000000000001E-2</v>
      </c>
      <c r="D67" s="55">
        <v>0.12</v>
      </c>
      <c r="E67" s="183">
        <v>5.4</v>
      </c>
      <c r="F67" s="112">
        <f t="shared" si="50"/>
        <v>1.8144E-2</v>
      </c>
      <c r="G67" s="112">
        <f t="shared" si="51"/>
        <v>0.64800000000000002</v>
      </c>
      <c r="H67" s="177">
        <v>401.52</v>
      </c>
      <c r="I67" s="114">
        <f>ROUND(H67*1.1667,0)</f>
        <v>468</v>
      </c>
      <c r="J67" s="115">
        <f t="shared" si="52"/>
        <v>10.196928</v>
      </c>
      <c r="K67" s="116">
        <f t="shared" si="53"/>
        <v>15.735999999999999</v>
      </c>
      <c r="L67" s="117">
        <f t="shared" si="54"/>
        <v>200</v>
      </c>
      <c r="M67" s="178">
        <f t="shared" si="55"/>
        <v>3.6288</v>
      </c>
      <c r="N67" s="119">
        <f t="shared" si="56"/>
        <v>129.6</v>
      </c>
      <c r="O67" s="182"/>
      <c r="P67" s="121"/>
      <c r="Q67" s="122"/>
      <c r="R67" s="180"/>
      <c r="S67" s="121">
        <f t="shared" si="57"/>
        <v>0</v>
      </c>
      <c r="T67" s="181">
        <v>200</v>
      </c>
      <c r="U67" s="125">
        <f t="shared" si="58"/>
        <v>2039.3856000000001</v>
      </c>
      <c r="V67" s="9" t="str">
        <f t="shared" si="11"/>
        <v/>
      </c>
      <c r="W67" s="9" t="str">
        <f t="shared" si="12"/>
        <v/>
      </c>
      <c r="X67" s="9"/>
      <c r="Y67" s="9"/>
      <c r="Z67" s="9"/>
      <c r="AA67" s="9"/>
    </row>
    <row r="68" spans="1:27" ht="13.5" customHeight="1" x14ac:dyDescent="0.25">
      <c r="A68" s="371"/>
      <c r="B68" s="148" t="s">
        <v>56</v>
      </c>
      <c r="C68" s="149"/>
      <c r="D68" s="150"/>
      <c r="E68" s="149"/>
      <c r="F68" s="151"/>
      <c r="G68" s="151"/>
      <c r="H68" s="152">
        <f t="shared" ref="H68:I68" si="59">AVERAGE(H66:H67)</f>
        <v>403.22500000000002</v>
      </c>
      <c r="I68" s="153">
        <f t="shared" si="59"/>
        <v>452.5</v>
      </c>
      <c r="J68" s="154"/>
      <c r="K68" s="152">
        <f>AVERAGE(K66:K67)</f>
        <v>15.218</v>
      </c>
      <c r="L68" s="155"/>
      <c r="M68" s="156">
        <f>SUM(M66:M67)</f>
        <v>9.2786400000000011</v>
      </c>
      <c r="N68" s="156"/>
      <c r="O68" s="157"/>
      <c r="P68" s="158">
        <f t="shared" ref="P68:Q68" si="60">SUM(P66:P67)</f>
        <v>0</v>
      </c>
      <c r="Q68" s="159">
        <f t="shared" si="60"/>
        <v>0</v>
      </c>
      <c r="R68" s="190"/>
      <c r="S68" s="161">
        <f>SUM(S66:S67)</f>
        <v>0</v>
      </c>
      <c r="T68" s="162"/>
      <c r="U68" s="163">
        <f>SUM(U66:U67)</f>
        <v>5005.5516000000007</v>
      </c>
      <c r="V68" s="9" t="str">
        <f t="shared" si="11"/>
        <v/>
      </c>
      <c r="W68" s="9" t="str">
        <f t="shared" si="12"/>
        <v/>
      </c>
      <c r="X68" s="9"/>
      <c r="Y68" s="9"/>
      <c r="Z68" s="9"/>
      <c r="AA68" s="9"/>
    </row>
    <row r="69" spans="1:27" ht="13.5" customHeight="1" x14ac:dyDescent="0.25">
      <c r="A69" s="371"/>
      <c r="B69" s="164" t="s">
        <v>66</v>
      </c>
      <c r="C69" s="164"/>
      <c r="D69" s="164"/>
      <c r="E69" s="164"/>
      <c r="F69" s="164"/>
      <c r="G69" s="164"/>
      <c r="H69" s="164"/>
      <c r="I69" s="167"/>
      <c r="J69" s="168"/>
      <c r="K69" s="164"/>
      <c r="L69" s="164"/>
      <c r="M69" s="164"/>
      <c r="N69" s="169"/>
      <c r="O69" s="188"/>
      <c r="P69" s="164"/>
      <c r="Q69" s="189"/>
      <c r="R69" s="173"/>
      <c r="S69" s="164"/>
      <c r="T69" s="164"/>
      <c r="U69" s="174"/>
      <c r="V69" s="9" t="str">
        <f t="shared" si="11"/>
        <v/>
      </c>
      <c r="W69" s="9" t="str">
        <f t="shared" si="12"/>
        <v/>
      </c>
      <c r="X69" s="9"/>
      <c r="Y69" s="9"/>
      <c r="Z69" s="9"/>
      <c r="AA69" s="9"/>
    </row>
    <row r="70" spans="1:27" ht="13.5" customHeight="1" outlineLevel="1" x14ac:dyDescent="0.25">
      <c r="A70" s="371"/>
      <c r="B70" s="75" t="s">
        <v>67</v>
      </c>
      <c r="C70" s="131">
        <v>1.2E-2</v>
      </c>
      <c r="D70" s="111">
        <v>1.5249999999999999</v>
      </c>
      <c r="E70" s="111">
        <v>1.5249999999999999</v>
      </c>
      <c r="F70" s="133">
        <f t="shared" ref="F70:F72" si="61">C70*D70*E70</f>
        <v>2.7907499999999998E-2</v>
      </c>
      <c r="G70" s="133">
        <f t="shared" ref="G70:G72" si="62">D70*E70</f>
        <v>2.3256249999999996</v>
      </c>
      <c r="H70" s="191">
        <v>550</v>
      </c>
      <c r="I70" s="114">
        <f t="shared" ref="I70:I71" si="63">ROUND(H70*1.1667,0)</f>
        <v>642</v>
      </c>
      <c r="J70" s="115">
        <f t="shared" ref="J70:J71" si="64">ROUND((I70*0.992)*1.21,0)*(C70*D70*E70)</f>
        <v>21.516682499999998</v>
      </c>
      <c r="K70" s="192">
        <f t="shared" ref="K70:K72" si="65">J70/(D70*E70)</f>
        <v>9.2520000000000007</v>
      </c>
      <c r="L70" s="117">
        <v>3</v>
      </c>
      <c r="M70" s="178">
        <f t="shared" ref="M70:M72" si="66">L70*F70</f>
        <v>8.3722499999999991E-2</v>
      </c>
      <c r="N70" s="134">
        <f t="shared" ref="N70:N72" si="67">L70*G70</f>
        <v>6.9768749999999988</v>
      </c>
      <c r="O70" s="193"/>
      <c r="P70" s="121" t="str">
        <f t="shared" ref="P70:P72" si="68">IF(O70="","",(O70*F70))</f>
        <v/>
      </c>
      <c r="Q70" s="136"/>
      <c r="R70" s="194"/>
      <c r="S70" s="78">
        <f t="shared" ref="S70:S72" si="69">R70*F70</f>
        <v>0</v>
      </c>
      <c r="T70" s="181">
        <v>3</v>
      </c>
      <c r="U70" s="125">
        <f t="shared" ref="U70:U72" si="70">J70*L70</f>
        <v>64.550047499999991</v>
      </c>
      <c r="V70" s="9" t="str">
        <f t="shared" si="11"/>
        <v/>
      </c>
      <c r="W70" s="9" t="str">
        <f t="shared" si="12"/>
        <v/>
      </c>
      <c r="X70" s="9"/>
      <c r="Y70" s="9"/>
      <c r="Z70" s="9"/>
      <c r="AA70" s="9"/>
    </row>
    <row r="71" spans="1:27" ht="13.5" customHeight="1" outlineLevel="1" x14ac:dyDescent="0.25">
      <c r="A71" s="371"/>
      <c r="B71" s="53" t="s">
        <v>67</v>
      </c>
      <c r="C71" s="54">
        <v>1.7999999999999999E-2</v>
      </c>
      <c r="D71" s="55">
        <v>1.5249999999999999</v>
      </c>
      <c r="E71" s="55">
        <v>1.5249999999999999</v>
      </c>
      <c r="F71" s="112">
        <f t="shared" si="61"/>
        <v>4.1861249999999989E-2</v>
      </c>
      <c r="G71" s="112">
        <f t="shared" si="62"/>
        <v>2.3256249999999996</v>
      </c>
      <c r="H71" s="177">
        <v>550</v>
      </c>
      <c r="I71" s="114">
        <f t="shared" si="63"/>
        <v>642</v>
      </c>
      <c r="J71" s="115">
        <f t="shared" si="64"/>
        <v>32.275023749999988</v>
      </c>
      <c r="K71" s="116">
        <f t="shared" si="65"/>
        <v>13.877999999999997</v>
      </c>
      <c r="L71" s="117">
        <f t="shared" ref="L71:L72" si="71">T71+R71-O71</f>
        <v>0</v>
      </c>
      <c r="M71" s="178">
        <f t="shared" si="66"/>
        <v>0</v>
      </c>
      <c r="N71" s="119">
        <f t="shared" si="67"/>
        <v>0</v>
      </c>
      <c r="O71" s="179"/>
      <c r="P71" s="121" t="str">
        <f t="shared" si="68"/>
        <v/>
      </c>
      <c r="Q71" s="122"/>
      <c r="R71" s="180"/>
      <c r="S71" s="121">
        <f t="shared" si="69"/>
        <v>0</v>
      </c>
      <c r="T71" s="181">
        <v>0</v>
      </c>
      <c r="U71" s="125">
        <f t="shared" si="70"/>
        <v>0</v>
      </c>
      <c r="V71" s="9" t="str">
        <f t="shared" si="11"/>
        <v/>
      </c>
      <c r="W71" s="9" t="str">
        <f t="shared" si="12"/>
        <v/>
      </c>
      <c r="X71" s="9"/>
      <c r="Y71" s="9"/>
      <c r="Z71" s="9"/>
      <c r="AA71" s="9"/>
    </row>
    <row r="72" spans="1:27" ht="13.5" customHeight="1" outlineLevel="1" x14ac:dyDescent="0.25">
      <c r="A72" s="371"/>
      <c r="B72" s="53"/>
      <c r="C72" s="54">
        <v>4.4999999999999998E-2</v>
      </c>
      <c r="D72" s="55">
        <v>0.22</v>
      </c>
      <c r="E72" s="56">
        <v>4.8</v>
      </c>
      <c r="F72" s="112">
        <f t="shared" si="61"/>
        <v>4.7519999999999993E-2</v>
      </c>
      <c r="G72" s="112">
        <f t="shared" si="62"/>
        <v>1.056</v>
      </c>
      <c r="H72" s="177">
        <v>376.95</v>
      </c>
      <c r="I72" s="114">
        <f>ROUND(H72*1.06,0)</f>
        <v>400</v>
      </c>
      <c r="J72" s="115">
        <f>ROUND((I72*0.88)*1.21,0)*(C72*D72*E72)</f>
        <v>20.243519999999997</v>
      </c>
      <c r="K72" s="116">
        <f t="shared" si="65"/>
        <v>19.169999999999995</v>
      </c>
      <c r="L72" s="117">
        <f t="shared" si="71"/>
        <v>375</v>
      </c>
      <c r="M72" s="178">
        <f t="shared" si="66"/>
        <v>17.819999999999997</v>
      </c>
      <c r="N72" s="119">
        <f t="shared" si="67"/>
        <v>396</v>
      </c>
      <c r="O72" s="182"/>
      <c r="P72" s="121" t="str">
        <f t="shared" si="68"/>
        <v/>
      </c>
      <c r="Q72" s="122"/>
      <c r="R72" s="180"/>
      <c r="S72" s="121">
        <f t="shared" si="69"/>
        <v>0</v>
      </c>
      <c r="T72" s="181">
        <v>375</v>
      </c>
      <c r="U72" s="125">
        <f t="shared" si="70"/>
        <v>7591.3199999999988</v>
      </c>
      <c r="V72" s="9" t="str">
        <f t="shared" si="11"/>
        <v/>
      </c>
      <c r="W72" s="9" t="str">
        <f t="shared" si="12"/>
        <v/>
      </c>
      <c r="X72" s="9"/>
      <c r="Y72" s="9"/>
      <c r="Z72" s="9"/>
      <c r="AA72" s="9"/>
    </row>
    <row r="73" spans="1:27" ht="13.5" customHeight="1" x14ac:dyDescent="0.25">
      <c r="A73" s="371"/>
      <c r="B73" s="148" t="s">
        <v>56</v>
      </c>
      <c r="C73" s="149"/>
      <c r="D73" s="150"/>
      <c r="E73" s="149"/>
      <c r="F73" s="151"/>
      <c r="G73" s="151"/>
      <c r="H73" s="152">
        <f t="shared" ref="H73:I73" si="72">AVERAGE(H70:H72)</f>
        <v>492.31666666666666</v>
      </c>
      <c r="I73" s="153">
        <f t="shared" si="72"/>
        <v>561.33333333333337</v>
      </c>
      <c r="J73" s="154"/>
      <c r="K73" s="152">
        <f>AVERAGE(K70:K72)</f>
        <v>14.099999999999996</v>
      </c>
      <c r="L73" s="155"/>
      <c r="M73" s="156">
        <f>SUM(M70:M72)</f>
        <v>17.903722499999997</v>
      </c>
      <c r="N73" s="156"/>
      <c r="O73" s="157"/>
      <c r="P73" s="158">
        <f t="shared" ref="P73:Q73" si="73">SUM(P70:P72)</f>
        <v>0</v>
      </c>
      <c r="Q73" s="159">
        <f t="shared" si="73"/>
        <v>0</v>
      </c>
      <c r="R73" s="190"/>
      <c r="S73" s="161">
        <f>SUM(S70:S72)</f>
        <v>0</v>
      </c>
      <c r="T73" s="162"/>
      <c r="U73" s="163">
        <f>SUM(U70:U72)</f>
        <v>7655.8700474999987</v>
      </c>
      <c r="V73" s="9" t="str">
        <f t="shared" si="11"/>
        <v/>
      </c>
      <c r="W73" s="9" t="str">
        <f t="shared" si="12"/>
        <v/>
      </c>
      <c r="X73" s="9"/>
      <c r="Y73" s="9"/>
      <c r="Z73" s="9"/>
      <c r="AA73" s="9"/>
    </row>
    <row r="74" spans="1:27" ht="13.5" customHeight="1" x14ac:dyDescent="0.25">
      <c r="A74" s="371"/>
      <c r="B74" s="164" t="s">
        <v>68</v>
      </c>
      <c r="C74" s="164"/>
      <c r="D74" s="164"/>
      <c r="E74" s="164"/>
      <c r="F74" s="164"/>
      <c r="G74" s="164"/>
      <c r="H74" s="164"/>
      <c r="I74" s="167"/>
      <c r="J74" s="168"/>
      <c r="K74" s="164"/>
      <c r="L74" s="164"/>
      <c r="M74" s="164"/>
      <c r="N74" s="169"/>
      <c r="O74" s="188"/>
      <c r="P74" s="164"/>
      <c r="Q74" s="189"/>
      <c r="R74" s="173"/>
      <c r="S74" s="164"/>
      <c r="T74" s="164"/>
      <c r="U74" s="174"/>
      <c r="V74" s="9" t="str">
        <f t="shared" si="11"/>
        <v/>
      </c>
      <c r="W74" s="9" t="str">
        <f t="shared" si="12"/>
        <v/>
      </c>
      <c r="X74" s="9"/>
      <c r="Y74" s="9"/>
      <c r="Z74" s="9"/>
      <c r="AA74" s="9"/>
    </row>
    <row r="75" spans="1:27" ht="13.5" customHeight="1" outlineLevel="1" x14ac:dyDescent="0.25">
      <c r="A75" s="371"/>
      <c r="B75" s="53" t="s">
        <v>69</v>
      </c>
      <c r="C75" s="54">
        <v>1.7999999999999999E-2</v>
      </c>
      <c r="D75" s="55">
        <v>9.2999999999999999E-2</v>
      </c>
      <c r="E75" s="56">
        <v>3.1</v>
      </c>
      <c r="F75" s="112">
        <f t="shared" ref="F75:F81" si="74">C75*D75*E75</f>
        <v>5.1894000000000003E-3</v>
      </c>
      <c r="G75" s="112">
        <f t="shared" ref="G75:G81" si="75">D75*E75</f>
        <v>0.2883</v>
      </c>
      <c r="H75" s="177">
        <v>800</v>
      </c>
      <c r="I75" s="114">
        <f t="shared" ref="I75:I81" si="76">ROUND(H75*1.1667,0)</f>
        <v>933</v>
      </c>
      <c r="J75" s="115">
        <f t="shared" ref="J75:J81" si="77">ROUND((I75*0.992)*1.21,0)*(C75*D75*E75)</f>
        <v>5.8121280000000004</v>
      </c>
      <c r="K75" s="116">
        <f t="shared" ref="K75:K81" si="78">J75/(D75*E75)</f>
        <v>20.16</v>
      </c>
      <c r="L75" s="117">
        <f t="shared" ref="L75:L81" si="79">T75+R75-O75</f>
        <v>297</v>
      </c>
      <c r="M75" s="178">
        <f t="shared" ref="M75:M81" si="80">L75*F75</f>
        <v>1.5412518000000002</v>
      </c>
      <c r="N75" s="119">
        <f t="shared" ref="N75:N81" si="81">L75*G75</f>
        <v>85.625100000000003</v>
      </c>
      <c r="O75" s="182"/>
      <c r="P75" s="121" t="str">
        <f t="shared" ref="P75:P81" si="82">IF(O75="","",(O75*F75))</f>
        <v/>
      </c>
      <c r="Q75" s="122"/>
      <c r="R75" s="180"/>
      <c r="S75" s="121">
        <f t="shared" ref="S75:S81" si="83">R75*F75</f>
        <v>0</v>
      </c>
      <c r="T75" s="181">
        <v>297</v>
      </c>
      <c r="U75" s="125">
        <f t="shared" ref="U75:U81" si="84">J75*L75</f>
        <v>1726.2020160000002</v>
      </c>
      <c r="V75" s="9" t="str">
        <f t="shared" si="11"/>
        <v/>
      </c>
      <c r="W75" s="9" t="str">
        <f t="shared" si="12"/>
        <v/>
      </c>
      <c r="X75" s="9"/>
      <c r="Y75" s="9"/>
      <c r="Z75" s="9"/>
      <c r="AA75" s="9"/>
    </row>
    <row r="76" spans="1:27" ht="13.5" customHeight="1" outlineLevel="1" x14ac:dyDescent="0.25">
      <c r="A76" s="371"/>
      <c r="B76" s="53" t="s">
        <v>70</v>
      </c>
      <c r="C76" s="175">
        <v>0.02</v>
      </c>
      <c r="D76" s="176">
        <v>4.4999999999999998E-2</v>
      </c>
      <c r="E76" s="121">
        <v>3</v>
      </c>
      <c r="F76" s="112">
        <f t="shared" si="74"/>
        <v>2.7000000000000001E-3</v>
      </c>
      <c r="G76" s="112">
        <f t="shared" si="75"/>
        <v>0.13500000000000001</v>
      </c>
      <c r="H76" s="177">
        <v>800</v>
      </c>
      <c r="I76" s="114">
        <f t="shared" si="76"/>
        <v>933</v>
      </c>
      <c r="J76" s="115">
        <f t="shared" si="77"/>
        <v>3.024</v>
      </c>
      <c r="K76" s="116">
        <f t="shared" si="78"/>
        <v>22.4</v>
      </c>
      <c r="L76" s="117">
        <f t="shared" si="79"/>
        <v>18</v>
      </c>
      <c r="M76" s="178">
        <f t="shared" si="80"/>
        <v>4.8600000000000004E-2</v>
      </c>
      <c r="N76" s="119">
        <f t="shared" si="81"/>
        <v>2.4300000000000002</v>
      </c>
      <c r="O76" s="182"/>
      <c r="P76" s="121" t="str">
        <f t="shared" si="82"/>
        <v/>
      </c>
      <c r="Q76" s="122"/>
      <c r="R76" s="180"/>
      <c r="S76" s="121">
        <f t="shared" si="83"/>
        <v>0</v>
      </c>
      <c r="T76" s="181">
        <v>18</v>
      </c>
      <c r="U76" s="125">
        <f t="shared" si="84"/>
        <v>54.432000000000002</v>
      </c>
      <c r="V76" s="9" t="str">
        <f t="shared" si="11"/>
        <v/>
      </c>
      <c r="W76" s="9" t="str">
        <f t="shared" si="12"/>
        <v/>
      </c>
      <c r="X76" s="9"/>
      <c r="Y76" s="9"/>
      <c r="Z76" s="9"/>
      <c r="AA76" s="9"/>
    </row>
    <row r="77" spans="1:27" ht="13.5" customHeight="1" outlineLevel="1" x14ac:dyDescent="0.25">
      <c r="A77" s="371"/>
      <c r="B77" s="53" t="s">
        <v>69</v>
      </c>
      <c r="C77" s="54">
        <v>0.02</v>
      </c>
      <c r="D77" s="55">
        <v>4.4999999999999998E-2</v>
      </c>
      <c r="E77" s="56">
        <v>3.1</v>
      </c>
      <c r="F77" s="112">
        <f t="shared" si="74"/>
        <v>2.7899999999999999E-3</v>
      </c>
      <c r="G77" s="112">
        <f t="shared" si="75"/>
        <v>0.13949999999999999</v>
      </c>
      <c r="H77" s="177">
        <v>800</v>
      </c>
      <c r="I77" s="114">
        <f t="shared" si="76"/>
        <v>933</v>
      </c>
      <c r="J77" s="115">
        <f t="shared" si="77"/>
        <v>3.1248</v>
      </c>
      <c r="K77" s="116">
        <f t="shared" si="78"/>
        <v>22.400000000000002</v>
      </c>
      <c r="L77" s="117">
        <f t="shared" si="79"/>
        <v>142</v>
      </c>
      <c r="M77" s="178">
        <f t="shared" si="80"/>
        <v>0.39617999999999998</v>
      </c>
      <c r="N77" s="119">
        <f t="shared" si="81"/>
        <v>19.808999999999997</v>
      </c>
      <c r="O77" s="182"/>
      <c r="P77" s="121" t="str">
        <f t="shared" si="82"/>
        <v/>
      </c>
      <c r="Q77" s="122"/>
      <c r="R77" s="180"/>
      <c r="S77" s="121">
        <f t="shared" si="83"/>
        <v>0</v>
      </c>
      <c r="T77" s="181">
        <v>142</v>
      </c>
      <c r="U77" s="125">
        <f t="shared" si="84"/>
        <v>443.72160000000002</v>
      </c>
      <c r="V77" s="9" t="str">
        <f t="shared" si="11"/>
        <v/>
      </c>
      <c r="W77" s="9" t="str">
        <f t="shared" si="12"/>
        <v/>
      </c>
      <c r="X77" s="9"/>
      <c r="Y77" s="9"/>
      <c r="Z77" s="9"/>
      <c r="AA77" s="9"/>
    </row>
    <row r="78" spans="1:27" ht="13.5" customHeight="1" outlineLevel="1" x14ac:dyDescent="0.25">
      <c r="A78" s="371"/>
      <c r="B78" s="53" t="s">
        <v>70</v>
      </c>
      <c r="C78" s="54">
        <v>0.04</v>
      </c>
      <c r="D78" s="55">
        <v>9.5000000000000001E-2</v>
      </c>
      <c r="E78" s="56">
        <v>2.4</v>
      </c>
      <c r="F78" s="112">
        <f t="shared" si="74"/>
        <v>9.1199999999999996E-3</v>
      </c>
      <c r="G78" s="112">
        <f t="shared" si="75"/>
        <v>0.22799999999999998</v>
      </c>
      <c r="H78" s="177">
        <v>800</v>
      </c>
      <c r="I78" s="114">
        <f t="shared" si="76"/>
        <v>933</v>
      </c>
      <c r="J78" s="115">
        <f t="shared" si="77"/>
        <v>10.214399999999999</v>
      </c>
      <c r="K78" s="116">
        <f t="shared" si="78"/>
        <v>44.800000000000004</v>
      </c>
      <c r="L78" s="117">
        <f t="shared" si="79"/>
        <v>100</v>
      </c>
      <c r="M78" s="178">
        <f t="shared" si="80"/>
        <v>0.91199999999999992</v>
      </c>
      <c r="N78" s="119">
        <f t="shared" si="81"/>
        <v>22.799999999999997</v>
      </c>
      <c r="O78" s="195"/>
      <c r="P78" s="121" t="str">
        <f t="shared" si="82"/>
        <v/>
      </c>
      <c r="Q78" s="122"/>
      <c r="R78" s="180"/>
      <c r="S78" s="121">
        <f t="shared" si="83"/>
        <v>0</v>
      </c>
      <c r="T78" s="181">
        <v>100</v>
      </c>
      <c r="U78" s="125">
        <f t="shared" si="84"/>
        <v>1021.4399999999999</v>
      </c>
      <c r="V78" s="9" t="str">
        <f t="shared" si="11"/>
        <v/>
      </c>
      <c r="W78" s="9" t="str">
        <f t="shared" si="12"/>
        <v/>
      </c>
      <c r="X78" s="9"/>
      <c r="Y78" s="9"/>
      <c r="Z78" s="9"/>
      <c r="AA78" s="9"/>
    </row>
    <row r="79" spans="1:27" ht="13.5" customHeight="1" outlineLevel="1" x14ac:dyDescent="0.25">
      <c r="A79" s="371"/>
      <c r="B79" s="53" t="s">
        <v>69</v>
      </c>
      <c r="C79" s="54">
        <v>4.4999999999999998E-2</v>
      </c>
      <c r="D79" s="55">
        <v>4.4999999999999998E-2</v>
      </c>
      <c r="E79" s="56">
        <v>3.1</v>
      </c>
      <c r="F79" s="112">
        <f t="shared" si="74"/>
        <v>6.2775000000000001E-3</v>
      </c>
      <c r="G79" s="112">
        <f t="shared" si="75"/>
        <v>0.13949999999999999</v>
      </c>
      <c r="H79" s="177">
        <v>800</v>
      </c>
      <c r="I79" s="114">
        <f t="shared" si="76"/>
        <v>933</v>
      </c>
      <c r="J79" s="115">
        <f t="shared" si="77"/>
        <v>7.0308000000000002</v>
      </c>
      <c r="K79" s="116">
        <f t="shared" si="78"/>
        <v>50.400000000000006</v>
      </c>
      <c r="L79" s="117">
        <f t="shared" si="79"/>
        <v>42</v>
      </c>
      <c r="M79" s="178">
        <f t="shared" si="80"/>
        <v>0.26365500000000003</v>
      </c>
      <c r="N79" s="119">
        <f t="shared" si="81"/>
        <v>5.8589999999999991</v>
      </c>
      <c r="O79" s="195"/>
      <c r="P79" s="121" t="str">
        <f t="shared" si="82"/>
        <v/>
      </c>
      <c r="Q79" s="122"/>
      <c r="R79" s="180"/>
      <c r="S79" s="121">
        <f t="shared" si="83"/>
        <v>0</v>
      </c>
      <c r="T79" s="181">
        <v>42</v>
      </c>
      <c r="U79" s="125">
        <f t="shared" si="84"/>
        <v>295.29360000000003</v>
      </c>
      <c r="V79" s="9" t="str">
        <f t="shared" si="11"/>
        <v/>
      </c>
      <c r="W79" s="9" t="str">
        <f t="shared" si="12"/>
        <v/>
      </c>
      <c r="X79" s="9"/>
      <c r="Y79" s="9"/>
      <c r="Z79" s="9"/>
      <c r="AA79" s="9"/>
    </row>
    <row r="80" spans="1:27" ht="13.5" customHeight="1" outlineLevel="1" x14ac:dyDescent="0.25">
      <c r="A80" s="371"/>
      <c r="B80" s="53" t="s">
        <v>69</v>
      </c>
      <c r="C80" s="54">
        <v>4.4999999999999998E-2</v>
      </c>
      <c r="D80" s="55">
        <v>9.5000000000000001E-2</v>
      </c>
      <c r="E80" s="56">
        <v>3.1</v>
      </c>
      <c r="F80" s="112">
        <f t="shared" si="74"/>
        <v>1.32525E-2</v>
      </c>
      <c r="G80" s="112">
        <f t="shared" si="75"/>
        <v>0.29450000000000004</v>
      </c>
      <c r="H80" s="177">
        <v>800</v>
      </c>
      <c r="I80" s="114">
        <f t="shared" si="76"/>
        <v>933</v>
      </c>
      <c r="J80" s="115">
        <f t="shared" si="77"/>
        <v>14.8428</v>
      </c>
      <c r="K80" s="116">
        <f t="shared" si="78"/>
        <v>50.399999999999991</v>
      </c>
      <c r="L80" s="117">
        <f t="shared" si="79"/>
        <v>113</v>
      </c>
      <c r="M80" s="178">
        <f t="shared" si="80"/>
        <v>1.4975325000000002</v>
      </c>
      <c r="N80" s="119">
        <f t="shared" si="81"/>
        <v>33.278500000000001</v>
      </c>
      <c r="O80" s="195"/>
      <c r="P80" s="121" t="str">
        <f t="shared" si="82"/>
        <v/>
      </c>
      <c r="Q80" s="122"/>
      <c r="R80" s="180"/>
      <c r="S80" s="121">
        <f t="shared" si="83"/>
        <v>0</v>
      </c>
      <c r="T80" s="181">
        <v>113</v>
      </c>
      <c r="U80" s="125">
        <f t="shared" si="84"/>
        <v>1677.2364</v>
      </c>
      <c r="V80" s="9" t="str">
        <f t="shared" si="11"/>
        <v/>
      </c>
      <c r="W80" s="9" t="str">
        <f t="shared" si="12"/>
        <v/>
      </c>
      <c r="X80" s="9"/>
      <c r="Y80" s="9"/>
      <c r="Z80" s="9"/>
      <c r="AA80" s="9"/>
    </row>
    <row r="81" spans="1:27" ht="13.5" customHeight="1" outlineLevel="1" x14ac:dyDescent="0.25">
      <c r="A81" s="371"/>
      <c r="B81" s="53" t="s">
        <v>69</v>
      </c>
      <c r="C81" s="54">
        <v>4.4999999999999998E-2</v>
      </c>
      <c r="D81" s="55">
        <v>0.15</v>
      </c>
      <c r="E81" s="56">
        <v>3.1</v>
      </c>
      <c r="F81" s="112">
        <f t="shared" si="74"/>
        <v>2.0924999999999999E-2</v>
      </c>
      <c r="G81" s="112">
        <f t="shared" si="75"/>
        <v>0.46499999999999997</v>
      </c>
      <c r="H81" s="177">
        <v>800</v>
      </c>
      <c r="I81" s="114">
        <f t="shared" si="76"/>
        <v>933</v>
      </c>
      <c r="J81" s="115">
        <f t="shared" si="77"/>
        <v>23.436</v>
      </c>
      <c r="K81" s="116">
        <f t="shared" si="78"/>
        <v>50.400000000000006</v>
      </c>
      <c r="L81" s="117">
        <f t="shared" si="79"/>
        <v>33</v>
      </c>
      <c r="M81" s="178">
        <f t="shared" si="80"/>
        <v>0.69052499999999994</v>
      </c>
      <c r="N81" s="119">
        <f t="shared" si="81"/>
        <v>15.344999999999999</v>
      </c>
      <c r="O81" s="182"/>
      <c r="P81" s="121" t="str">
        <f t="shared" si="82"/>
        <v/>
      </c>
      <c r="Q81" s="122"/>
      <c r="R81" s="180"/>
      <c r="S81" s="121">
        <f t="shared" si="83"/>
        <v>0</v>
      </c>
      <c r="T81" s="181">
        <v>33</v>
      </c>
      <c r="U81" s="125">
        <f t="shared" si="84"/>
        <v>773.38800000000003</v>
      </c>
      <c r="V81" s="9" t="str">
        <f t="shared" si="11"/>
        <v/>
      </c>
      <c r="W81" s="9" t="str">
        <f t="shared" si="12"/>
        <v/>
      </c>
      <c r="X81" s="9"/>
      <c r="Y81" s="9"/>
      <c r="Z81" s="9"/>
      <c r="AA81" s="9"/>
    </row>
    <row r="82" spans="1:27" ht="13.5" customHeight="1" x14ac:dyDescent="0.25">
      <c r="A82" s="371"/>
      <c r="B82" s="148" t="s">
        <v>56</v>
      </c>
      <c r="C82" s="149"/>
      <c r="D82" s="150"/>
      <c r="E82" s="149" t="s">
        <v>34</v>
      </c>
      <c r="F82" s="151"/>
      <c r="G82" s="151"/>
      <c r="H82" s="152">
        <f t="shared" ref="H82:I82" si="85">AVERAGE(H75:H81)</f>
        <v>800</v>
      </c>
      <c r="I82" s="153">
        <f t="shared" si="85"/>
        <v>933</v>
      </c>
      <c r="J82" s="154"/>
      <c r="K82" s="152">
        <f>AVERAGE(K75:K81)</f>
        <v>37.280000000000008</v>
      </c>
      <c r="L82" s="155"/>
      <c r="M82" s="156">
        <f>SUM(M75:M81)</f>
        <v>5.3497443000000002</v>
      </c>
      <c r="N82" s="156"/>
      <c r="O82" s="157"/>
      <c r="P82" s="158">
        <f t="shared" ref="P82:Q82" si="86">SUM(P75:P81)</f>
        <v>0</v>
      </c>
      <c r="Q82" s="159">
        <f t="shared" si="86"/>
        <v>0</v>
      </c>
      <c r="R82" s="190"/>
      <c r="S82" s="161">
        <f>SUM(S75:S81)</f>
        <v>0</v>
      </c>
      <c r="T82" s="162"/>
      <c r="U82" s="163">
        <f>SUM(U75:U81)</f>
        <v>5991.713616</v>
      </c>
      <c r="V82" s="9" t="str">
        <f t="shared" si="11"/>
        <v/>
      </c>
      <c r="W82" s="9" t="str">
        <f t="shared" si="12"/>
        <v/>
      </c>
      <c r="X82" s="9"/>
      <c r="Y82" s="9"/>
      <c r="Z82" s="9"/>
      <c r="AA82" s="9"/>
    </row>
    <row r="83" spans="1:27" ht="13.5" customHeight="1" x14ac:dyDescent="0.25">
      <c r="A83" s="371"/>
      <c r="B83" s="164" t="s">
        <v>71</v>
      </c>
      <c r="C83" s="164"/>
      <c r="D83" s="164"/>
      <c r="E83" s="164"/>
      <c r="F83" s="164"/>
      <c r="G83" s="164"/>
      <c r="H83" s="164"/>
      <c r="I83" s="167"/>
      <c r="J83" s="168"/>
      <c r="K83" s="164"/>
      <c r="L83" s="164"/>
      <c r="M83" s="164"/>
      <c r="N83" s="169"/>
      <c r="O83" s="188"/>
      <c r="P83" s="164"/>
      <c r="Q83" s="189"/>
      <c r="R83" s="173"/>
      <c r="S83" s="164"/>
      <c r="T83" s="164"/>
      <c r="U83" s="174"/>
      <c r="V83" s="9" t="str">
        <f t="shared" si="11"/>
        <v/>
      </c>
      <c r="W83" s="9" t="str">
        <f t="shared" si="12"/>
        <v/>
      </c>
      <c r="X83" s="9"/>
      <c r="Y83" s="9"/>
      <c r="Z83" s="9"/>
      <c r="AA83" s="9"/>
    </row>
    <row r="84" spans="1:27" ht="13.5" customHeight="1" outlineLevel="1" x14ac:dyDescent="0.25">
      <c r="A84" s="371"/>
      <c r="B84" s="53" t="s">
        <v>72</v>
      </c>
      <c r="C84" s="54">
        <v>4.4999999999999998E-2</v>
      </c>
      <c r="D84" s="55">
        <v>4.4999999999999998E-2</v>
      </c>
      <c r="E84" s="183">
        <v>6</v>
      </c>
      <c r="F84" s="112">
        <f t="shared" ref="F84:F85" si="87">C84*D84*E84</f>
        <v>1.2149999999999999E-2</v>
      </c>
      <c r="G84" s="112">
        <f t="shared" ref="G84:G85" si="88">D84*E84</f>
        <v>0.27</v>
      </c>
      <c r="H84" s="177">
        <v>403.13</v>
      </c>
      <c r="I84" s="114">
        <f>ROUND(H84*1.125,0)</f>
        <v>454</v>
      </c>
      <c r="J84" s="115">
        <f t="shared" ref="J84:J85" si="89">ROUND((I84*0.992)*1.21,0)*(C84*D84*E84)</f>
        <v>6.6217499999999996</v>
      </c>
      <c r="K84" s="116">
        <f t="shared" ref="K84:K85" si="90">J84/(D84*E84)</f>
        <v>24.524999999999999</v>
      </c>
      <c r="L84" s="117">
        <f t="shared" ref="L84:L85" si="91">T84+R84-O84</f>
        <v>272</v>
      </c>
      <c r="M84" s="178">
        <f t="shared" ref="M84:M85" si="92">L84*F84</f>
        <v>3.3047999999999997</v>
      </c>
      <c r="N84" s="119">
        <f t="shared" ref="N84:N85" si="93">L84*G84</f>
        <v>73.44</v>
      </c>
      <c r="O84" s="179">
        <v>40</v>
      </c>
      <c r="P84" s="121">
        <f t="shared" ref="P84:P85" si="94">IF(O84="","",(O84*F84))</f>
        <v>0.48599999999999999</v>
      </c>
      <c r="Q84" s="122">
        <v>245</v>
      </c>
      <c r="R84" s="180"/>
      <c r="S84" s="121">
        <f t="shared" ref="S84:S85" si="95">R84*F84</f>
        <v>0</v>
      </c>
      <c r="T84" s="181">
        <v>312</v>
      </c>
      <c r="U84" s="125">
        <f t="shared" ref="U84:U85" si="96">J84*L84</f>
        <v>1801.116</v>
      </c>
      <c r="V84" s="9">
        <f t="shared" si="11"/>
        <v>49.078820000000007</v>
      </c>
      <c r="W84" s="9">
        <f t="shared" si="12"/>
        <v>195.92117999999999</v>
      </c>
      <c r="X84" s="9"/>
      <c r="Y84" s="9"/>
      <c r="Z84" s="9"/>
      <c r="AA84" s="9"/>
    </row>
    <row r="85" spans="1:27" ht="13.5" customHeight="1" outlineLevel="1" x14ac:dyDescent="0.25">
      <c r="A85" s="371"/>
      <c r="B85" s="53" t="s">
        <v>72</v>
      </c>
      <c r="C85" s="54">
        <v>9.5000000000000001E-2</v>
      </c>
      <c r="D85" s="55">
        <v>9.5000000000000001E-2</v>
      </c>
      <c r="E85" s="183">
        <v>2.4</v>
      </c>
      <c r="F85" s="112">
        <f t="shared" si="87"/>
        <v>2.1659999999999999E-2</v>
      </c>
      <c r="G85" s="112">
        <f t="shared" si="88"/>
        <v>0.22799999999999998</v>
      </c>
      <c r="H85" s="177">
        <v>369.23</v>
      </c>
      <c r="I85" s="114">
        <f>ROUND(H85*0.9546,0)</f>
        <v>352</v>
      </c>
      <c r="J85" s="115">
        <f t="shared" si="89"/>
        <v>9.1621799999999993</v>
      </c>
      <c r="K85" s="116">
        <f t="shared" si="90"/>
        <v>40.185000000000002</v>
      </c>
      <c r="L85" s="117">
        <f t="shared" si="91"/>
        <v>69</v>
      </c>
      <c r="M85" s="178">
        <f t="shared" si="92"/>
        <v>1.49454</v>
      </c>
      <c r="N85" s="119">
        <f t="shared" si="93"/>
        <v>15.731999999999999</v>
      </c>
      <c r="O85" s="182"/>
      <c r="P85" s="121" t="str">
        <f t="shared" si="94"/>
        <v/>
      </c>
      <c r="Q85" s="122"/>
      <c r="R85" s="180"/>
      <c r="S85" s="121">
        <f t="shared" si="95"/>
        <v>0</v>
      </c>
      <c r="T85" s="181">
        <v>69</v>
      </c>
      <c r="U85" s="125">
        <f t="shared" si="96"/>
        <v>632.1904199999999</v>
      </c>
      <c r="V85" s="9" t="str">
        <f t="shared" si="11"/>
        <v/>
      </c>
      <c r="W85" s="9" t="str">
        <f t="shared" si="12"/>
        <v/>
      </c>
      <c r="X85" s="9"/>
      <c r="Y85" s="9"/>
      <c r="Z85" s="9"/>
      <c r="AA85" s="9"/>
    </row>
    <row r="86" spans="1:27" ht="13.5" customHeight="1" x14ac:dyDescent="0.25">
      <c r="A86" s="371"/>
      <c r="B86" s="148" t="s">
        <v>56</v>
      </c>
      <c r="C86" s="149"/>
      <c r="D86" s="150"/>
      <c r="E86" s="149"/>
      <c r="F86" s="151"/>
      <c r="G86" s="151"/>
      <c r="H86" s="152">
        <f t="shared" ref="H86:I86" si="97">AVERAGE(H84:H85)</f>
        <v>386.18</v>
      </c>
      <c r="I86" s="153">
        <f t="shared" si="97"/>
        <v>403</v>
      </c>
      <c r="J86" s="154"/>
      <c r="K86" s="152">
        <f>AVERAGE(K84:K85)</f>
        <v>32.355000000000004</v>
      </c>
      <c r="L86" s="155"/>
      <c r="M86" s="196">
        <f>SUM(M84+M85)</f>
        <v>4.7993399999999999</v>
      </c>
      <c r="N86" s="156"/>
      <c r="O86" s="157"/>
      <c r="P86" s="158" t="e">
        <f t="shared" ref="P86:Q86" si="98">SUM(P84+P85)</f>
        <v>#VALUE!</v>
      </c>
      <c r="Q86" s="154">
        <f t="shared" si="98"/>
        <v>245</v>
      </c>
      <c r="R86" s="190"/>
      <c r="S86" s="161">
        <f>SUM(S84+S85)</f>
        <v>0</v>
      </c>
      <c r="T86" s="162"/>
      <c r="U86" s="163">
        <f>SUM(U84:U85)</f>
        <v>2433.3064199999999</v>
      </c>
      <c r="V86" s="9" t="str">
        <f t="shared" si="11"/>
        <v/>
      </c>
      <c r="W86" s="9" t="str">
        <f t="shared" si="12"/>
        <v/>
      </c>
      <c r="X86" s="9"/>
      <c r="Y86" s="9"/>
      <c r="Z86" s="9"/>
      <c r="AA86" s="9"/>
    </row>
    <row r="87" spans="1:27" ht="13.5" customHeight="1" x14ac:dyDescent="0.25">
      <c r="A87" s="371"/>
      <c r="B87" s="164" t="s">
        <v>73</v>
      </c>
      <c r="C87" s="164"/>
      <c r="D87" s="164"/>
      <c r="E87" s="164"/>
      <c r="F87" s="164"/>
      <c r="G87" s="164"/>
      <c r="H87" s="164"/>
      <c r="I87" s="167"/>
      <c r="J87" s="168"/>
      <c r="K87" s="164"/>
      <c r="L87" s="164"/>
      <c r="M87" s="164"/>
      <c r="N87" s="169"/>
      <c r="O87" s="188"/>
      <c r="P87" s="164"/>
      <c r="Q87" s="189"/>
      <c r="R87" s="173"/>
      <c r="S87" s="164"/>
      <c r="T87" s="164"/>
      <c r="U87" s="174"/>
      <c r="V87" s="9" t="str">
        <f t="shared" si="11"/>
        <v/>
      </c>
      <c r="W87" s="9" t="str">
        <f t="shared" si="12"/>
        <v/>
      </c>
      <c r="X87" s="9"/>
      <c r="Y87" s="9"/>
      <c r="Z87" s="9"/>
      <c r="AA87" s="9"/>
    </row>
    <row r="88" spans="1:27" ht="13.5" customHeight="1" outlineLevel="1" x14ac:dyDescent="0.25">
      <c r="A88" s="371"/>
      <c r="B88" s="53" t="s">
        <v>74</v>
      </c>
      <c r="C88" s="175">
        <v>0.01</v>
      </c>
      <c r="D88" s="176">
        <v>0.02</v>
      </c>
      <c r="E88" s="121">
        <v>1.6</v>
      </c>
      <c r="F88" s="112">
        <f>C88*D88*E88</f>
        <v>3.2000000000000003E-4</v>
      </c>
      <c r="G88" s="112">
        <f>D88*E88</f>
        <v>3.2000000000000001E-2</v>
      </c>
      <c r="H88" s="177">
        <v>571.20000000000005</v>
      </c>
      <c r="I88" s="114">
        <f>ROUND(H88*1.35,0)</f>
        <v>771</v>
      </c>
      <c r="J88" s="115">
        <f>ROUND((I88*0.992)*1.21,0)*(C88*D88*E88)</f>
        <v>0.29600000000000004</v>
      </c>
      <c r="K88" s="116">
        <f>J88/(D88*E88)</f>
        <v>9.2500000000000018</v>
      </c>
      <c r="L88" s="117">
        <f>T88+R88-O88</f>
        <v>568</v>
      </c>
      <c r="M88" s="178">
        <f>L88*F88</f>
        <v>0.18176</v>
      </c>
      <c r="N88" s="119">
        <f>L88*G88</f>
        <v>18.176000000000002</v>
      </c>
      <c r="O88" s="182"/>
      <c r="P88" s="121" t="str">
        <f>IF(O88="","",(O88*F88))</f>
        <v/>
      </c>
      <c r="Q88" s="122"/>
      <c r="R88" s="180"/>
      <c r="S88" s="121">
        <f>R88*F88</f>
        <v>0</v>
      </c>
      <c r="T88" s="181">
        <v>568</v>
      </c>
      <c r="U88" s="125">
        <f>J88*L88</f>
        <v>168.12800000000001</v>
      </c>
      <c r="V88" s="9" t="str">
        <f t="shared" si="11"/>
        <v/>
      </c>
      <c r="W88" s="9" t="str">
        <f t="shared" si="12"/>
        <v/>
      </c>
      <c r="X88" s="9"/>
      <c r="Y88" s="9"/>
      <c r="Z88" s="9"/>
      <c r="AA88" s="9"/>
    </row>
    <row r="89" spans="1:27" ht="13.5" customHeight="1" x14ac:dyDescent="0.25">
      <c r="A89" s="371"/>
      <c r="B89" s="148" t="s">
        <v>56</v>
      </c>
      <c r="C89" s="149"/>
      <c r="D89" s="150"/>
      <c r="E89" s="149"/>
      <c r="F89" s="151"/>
      <c r="G89" s="151"/>
      <c r="H89" s="152">
        <f t="shared" ref="H89:I89" si="99">AVERAGE(H88)</f>
        <v>571.20000000000005</v>
      </c>
      <c r="I89" s="153">
        <f t="shared" si="99"/>
        <v>771</v>
      </c>
      <c r="J89" s="154"/>
      <c r="K89" s="152">
        <f>AVERAGE(K88)</f>
        <v>9.2500000000000018</v>
      </c>
      <c r="L89" s="155"/>
      <c r="M89" s="156">
        <f>SUM(M88)</f>
        <v>0.18176</v>
      </c>
      <c r="N89" s="156"/>
      <c r="O89" s="157"/>
      <c r="P89" s="158">
        <f t="shared" ref="P89:Q89" si="100">SUM(P88)</f>
        <v>0</v>
      </c>
      <c r="Q89" s="159">
        <f t="shared" si="100"/>
        <v>0</v>
      </c>
      <c r="R89" s="190"/>
      <c r="S89" s="161">
        <f>SUM(S88)</f>
        <v>0</v>
      </c>
      <c r="T89" s="162"/>
      <c r="U89" s="163">
        <f>SUM(U88)</f>
        <v>168.12800000000001</v>
      </c>
      <c r="V89" s="9" t="str">
        <f t="shared" si="11"/>
        <v/>
      </c>
      <c r="W89" s="9" t="str">
        <f t="shared" si="12"/>
        <v/>
      </c>
      <c r="X89" s="9"/>
      <c r="Y89" s="9"/>
      <c r="Z89" s="9"/>
      <c r="AA89" s="9"/>
    </row>
    <row r="90" spans="1:27" ht="13.5" customHeight="1" x14ac:dyDescent="0.25">
      <c r="A90" s="371"/>
      <c r="B90" s="164" t="s">
        <v>75</v>
      </c>
      <c r="C90" s="164"/>
      <c r="D90" s="164"/>
      <c r="E90" s="164"/>
      <c r="F90" s="164"/>
      <c r="G90" s="164"/>
      <c r="H90" s="164"/>
      <c r="I90" s="167"/>
      <c r="J90" s="168"/>
      <c r="K90" s="164"/>
      <c r="L90" s="164"/>
      <c r="M90" s="164"/>
      <c r="N90" s="169"/>
      <c r="O90" s="188"/>
      <c r="P90" s="164"/>
      <c r="Q90" s="189"/>
      <c r="R90" s="173"/>
      <c r="S90" s="164"/>
      <c r="T90" s="164"/>
      <c r="U90" s="174"/>
      <c r="V90" s="9" t="str">
        <f t="shared" si="11"/>
        <v/>
      </c>
      <c r="W90" s="9" t="str">
        <f t="shared" si="12"/>
        <v/>
      </c>
      <c r="X90" s="9"/>
      <c r="Y90" s="9"/>
      <c r="Z90" s="9"/>
      <c r="AA90" s="9"/>
    </row>
    <row r="91" spans="1:27" ht="13.5" customHeight="1" outlineLevel="1" x14ac:dyDescent="0.25">
      <c r="A91" s="371"/>
      <c r="B91" s="53" t="s">
        <v>76</v>
      </c>
      <c r="C91" s="53">
        <v>0.9</v>
      </c>
      <c r="D91" s="56">
        <v>0.36</v>
      </c>
      <c r="E91" s="183">
        <v>1.04</v>
      </c>
      <c r="F91" s="372"/>
      <c r="G91" s="361"/>
      <c r="H91" s="361"/>
      <c r="I91" s="359"/>
      <c r="J91" s="197">
        <v>66.55</v>
      </c>
      <c r="K91" s="53"/>
      <c r="L91" s="117">
        <f t="shared" ref="L91:L98" si="101">T91+R91-O91</f>
        <v>1</v>
      </c>
      <c r="M91" s="198"/>
      <c r="N91" s="199"/>
      <c r="O91" s="200"/>
      <c r="P91" s="198"/>
      <c r="Q91" s="122"/>
      <c r="R91" s="201"/>
      <c r="S91" s="56"/>
      <c r="T91" s="124">
        <v>1</v>
      </c>
      <c r="U91" s="125">
        <f t="shared" ref="U91:U98" si="102">J91*L91</f>
        <v>66.55</v>
      </c>
      <c r="V91" s="9" t="str">
        <f t="shared" si="11"/>
        <v/>
      </c>
      <c r="W91" s="9" t="str">
        <f t="shared" si="12"/>
        <v/>
      </c>
      <c r="X91" s="9"/>
      <c r="Y91" s="9"/>
      <c r="Z91" s="9"/>
      <c r="AA91" s="9"/>
    </row>
    <row r="92" spans="1:27" ht="13.5" customHeight="1" outlineLevel="1" x14ac:dyDescent="0.25">
      <c r="A92" s="371"/>
      <c r="B92" s="53" t="s">
        <v>77</v>
      </c>
      <c r="C92" s="53">
        <v>0.35</v>
      </c>
      <c r="D92" s="56">
        <v>0.35</v>
      </c>
      <c r="E92" s="183">
        <v>1</v>
      </c>
      <c r="F92" s="372"/>
      <c r="G92" s="361"/>
      <c r="H92" s="361"/>
      <c r="I92" s="359"/>
      <c r="J92" s="197">
        <v>42.35</v>
      </c>
      <c r="K92" s="53"/>
      <c r="L92" s="117">
        <f t="shared" si="101"/>
        <v>1</v>
      </c>
      <c r="M92" s="198"/>
      <c r="N92" s="199"/>
      <c r="O92" s="200"/>
      <c r="P92" s="198"/>
      <c r="Q92" s="122"/>
      <c r="R92" s="201"/>
      <c r="S92" s="56"/>
      <c r="T92" s="124">
        <v>1</v>
      </c>
      <c r="U92" s="125">
        <f t="shared" si="102"/>
        <v>42.35</v>
      </c>
      <c r="V92" s="9" t="str">
        <f t="shared" si="11"/>
        <v/>
      </c>
      <c r="W92" s="9" t="str">
        <f t="shared" si="12"/>
        <v/>
      </c>
      <c r="X92" s="9"/>
      <c r="Y92" s="9"/>
      <c r="Z92" s="9"/>
      <c r="AA92" s="9"/>
    </row>
    <row r="93" spans="1:27" ht="13.5" customHeight="1" outlineLevel="1" x14ac:dyDescent="0.25">
      <c r="A93" s="371"/>
      <c r="B93" s="53" t="s">
        <v>78</v>
      </c>
      <c r="C93" s="53">
        <v>0.38</v>
      </c>
      <c r="D93" s="56">
        <v>0.38</v>
      </c>
      <c r="E93" s="183">
        <v>0.4</v>
      </c>
      <c r="F93" s="372"/>
      <c r="G93" s="361"/>
      <c r="H93" s="361"/>
      <c r="I93" s="359"/>
      <c r="J93" s="197">
        <v>36.299999999999997</v>
      </c>
      <c r="K93" s="53"/>
      <c r="L93" s="117">
        <f t="shared" si="101"/>
        <v>1</v>
      </c>
      <c r="M93" s="198"/>
      <c r="N93" s="199"/>
      <c r="O93" s="200"/>
      <c r="P93" s="198"/>
      <c r="Q93" s="122"/>
      <c r="R93" s="201"/>
      <c r="S93" s="56"/>
      <c r="T93" s="124">
        <v>1</v>
      </c>
      <c r="U93" s="125">
        <f t="shared" si="102"/>
        <v>36.299999999999997</v>
      </c>
      <c r="V93" s="9" t="str">
        <f t="shared" si="11"/>
        <v/>
      </c>
      <c r="W93" s="9" t="str">
        <f t="shared" si="12"/>
        <v/>
      </c>
      <c r="X93" s="9"/>
      <c r="Y93" s="9"/>
      <c r="Z93" s="9"/>
      <c r="AA93" s="9"/>
    </row>
    <row r="94" spans="1:27" ht="13.5" customHeight="1" outlineLevel="1" x14ac:dyDescent="0.25">
      <c r="A94" s="371"/>
      <c r="B94" s="53" t="s">
        <v>79</v>
      </c>
      <c r="C94" s="53">
        <v>0.9</v>
      </c>
      <c r="D94" s="56">
        <v>0.59</v>
      </c>
      <c r="E94" s="183">
        <v>1.2</v>
      </c>
      <c r="F94" s="372"/>
      <c r="G94" s="361"/>
      <c r="H94" s="361"/>
      <c r="I94" s="359"/>
      <c r="J94" s="197">
        <v>72.599999999999994</v>
      </c>
      <c r="K94" s="53"/>
      <c r="L94" s="117">
        <f t="shared" si="101"/>
        <v>1</v>
      </c>
      <c r="M94" s="198"/>
      <c r="N94" s="199"/>
      <c r="O94" s="200"/>
      <c r="P94" s="198"/>
      <c r="Q94" s="122"/>
      <c r="R94" s="201"/>
      <c r="S94" s="56"/>
      <c r="T94" s="124">
        <v>1</v>
      </c>
      <c r="U94" s="125">
        <f t="shared" si="102"/>
        <v>72.599999999999994</v>
      </c>
      <c r="V94" s="9" t="str">
        <f t="shared" si="11"/>
        <v/>
      </c>
      <c r="W94" s="9" t="str">
        <f t="shared" si="12"/>
        <v/>
      </c>
      <c r="X94" s="9"/>
      <c r="Y94" s="9"/>
      <c r="Z94" s="9"/>
      <c r="AA94" s="9"/>
    </row>
    <row r="95" spans="1:27" ht="13.5" customHeight="1" outlineLevel="1" x14ac:dyDescent="0.25">
      <c r="A95" s="371"/>
      <c r="B95" s="53" t="s">
        <v>80</v>
      </c>
      <c r="C95" s="53">
        <v>0.96</v>
      </c>
      <c r="D95" s="56">
        <v>0.8</v>
      </c>
      <c r="E95" s="183">
        <v>1.7</v>
      </c>
      <c r="F95" s="372"/>
      <c r="G95" s="361"/>
      <c r="H95" s="361"/>
      <c r="I95" s="359"/>
      <c r="J95" s="202">
        <v>170</v>
      </c>
      <c r="K95" s="53"/>
      <c r="L95" s="117">
        <f t="shared" si="101"/>
        <v>1</v>
      </c>
      <c r="M95" s="198"/>
      <c r="N95" s="199"/>
      <c r="O95" s="200"/>
      <c r="P95" s="198"/>
      <c r="Q95" s="122"/>
      <c r="R95" s="201"/>
      <c r="S95" s="56"/>
      <c r="T95" s="124">
        <v>1</v>
      </c>
      <c r="U95" s="125">
        <f t="shared" si="102"/>
        <v>170</v>
      </c>
      <c r="V95" s="9" t="str">
        <f t="shared" si="11"/>
        <v/>
      </c>
      <c r="W95" s="9" t="str">
        <f t="shared" si="12"/>
        <v/>
      </c>
      <c r="X95" s="9"/>
      <c r="Y95" s="9"/>
      <c r="Z95" s="9"/>
      <c r="AA95" s="9"/>
    </row>
    <row r="96" spans="1:27" ht="13.5" customHeight="1" outlineLevel="1" x14ac:dyDescent="0.25">
      <c r="A96" s="371"/>
      <c r="B96" s="53" t="s">
        <v>81</v>
      </c>
      <c r="C96" s="53">
        <v>0.96</v>
      </c>
      <c r="D96" s="56">
        <v>0.8</v>
      </c>
      <c r="E96" s="183">
        <v>1.7</v>
      </c>
      <c r="F96" s="372"/>
      <c r="G96" s="361"/>
      <c r="H96" s="361"/>
      <c r="I96" s="359"/>
      <c r="J96" s="202">
        <v>150</v>
      </c>
      <c r="K96" s="53"/>
      <c r="L96" s="117">
        <f t="shared" si="101"/>
        <v>1</v>
      </c>
      <c r="M96" s="198"/>
      <c r="N96" s="199"/>
      <c r="O96" s="200"/>
      <c r="P96" s="198"/>
      <c r="Q96" s="122"/>
      <c r="R96" s="201"/>
      <c r="S96" s="56"/>
      <c r="T96" s="124">
        <v>1</v>
      </c>
      <c r="U96" s="125">
        <f t="shared" si="102"/>
        <v>150</v>
      </c>
      <c r="V96" s="9" t="str">
        <f t="shared" si="11"/>
        <v/>
      </c>
      <c r="W96" s="9" t="str">
        <f t="shared" si="12"/>
        <v/>
      </c>
      <c r="X96" s="9"/>
      <c r="Y96" s="9"/>
      <c r="Z96" s="9"/>
      <c r="AA96" s="9"/>
    </row>
    <row r="97" spans="1:27" ht="13.5" customHeight="1" outlineLevel="1" x14ac:dyDescent="0.25">
      <c r="A97" s="371"/>
      <c r="B97" s="53" t="s">
        <v>82</v>
      </c>
      <c r="C97" s="53">
        <v>0.96</v>
      </c>
      <c r="D97" s="56">
        <v>0.8</v>
      </c>
      <c r="E97" s="183">
        <v>1.7</v>
      </c>
      <c r="F97" s="372"/>
      <c r="G97" s="361"/>
      <c r="H97" s="361"/>
      <c r="I97" s="359"/>
      <c r="J97" s="202">
        <v>150</v>
      </c>
      <c r="K97" s="53"/>
      <c r="L97" s="117">
        <f t="shared" si="101"/>
        <v>1</v>
      </c>
      <c r="M97" s="198"/>
      <c r="N97" s="199"/>
      <c r="O97" s="200"/>
      <c r="P97" s="198"/>
      <c r="Q97" s="122"/>
      <c r="R97" s="201"/>
      <c r="S97" s="56"/>
      <c r="T97" s="124">
        <v>1</v>
      </c>
      <c r="U97" s="125">
        <f t="shared" si="102"/>
        <v>150</v>
      </c>
      <c r="V97" s="9" t="str">
        <f t="shared" si="11"/>
        <v/>
      </c>
      <c r="W97" s="9" t="str">
        <f t="shared" si="12"/>
        <v/>
      </c>
      <c r="X97" s="9"/>
      <c r="Y97" s="9"/>
      <c r="Z97" s="9"/>
      <c r="AA97" s="9"/>
    </row>
    <row r="98" spans="1:27" ht="13.5" customHeight="1" outlineLevel="1" x14ac:dyDescent="0.25">
      <c r="A98" s="371"/>
      <c r="B98" s="186" t="s">
        <v>83</v>
      </c>
      <c r="C98" s="186">
        <v>0.14000000000000001</v>
      </c>
      <c r="D98" s="140">
        <v>0.35</v>
      </c>
      <c r="E98" s="203">
        <v>0.91</v>
      </c>
      <c r="F98" s="373"/>
      <c r="G98" s="374"/>
      <c r="H98" s="374"/>
      <c r="I98" s="375"/>
      <c r="J98" s="204"/>
      <c r="K98" s="186"/>
      <c r="L98" s="117">
        <f t="shared" si="101"/>
        <v>1</v>
      </c>
      <c r="M98" s="205"/>
      <c r="N98" s="206"/>
      <c r="O98" s="207"/>
      <c r="P98" s="205"/>
      <c r="Q98" s="122"/>
      <c r="R98" s="208"/>
      <c r="S98" s="140"/>
      <c r="T98" s="124">
        <v>1</v>
      </c>
      <c r="U98" s="125">
        <f t="shared" si="102"/>
        <v>0</v>
      </c>
      <c r="V98" s="9" t="str">
        <f t="shared" si="11"/>
        <v/>
      </c>
      <c r="W98" s="9" t="str">
        <f t="shared" si="12"/>
        <v/>
      </c>
      <c r="X98" s="9"/>
      <c r="Y98" s="9"/>
      <c r="Z98" s="9"/>
      <c r="AA98" s="9"/>
    </row>
    <row r="99" spans="1:27" ht="15" customHeight="1" x14ac:dyDescent="0.25">
      <c r="A99" s="371"/>
      <c r="B99" s="149" t="s">
        <v>56</v>
      </c>
      <c r="C99" s="209"/>
      <c r="D99" s="209"/>
      <c r="E99" s="209"/>
      <c r="F99" s="209"/>
      <c r="G99" s="209"/>
      <c r="H99" s="209"/>
      <c r="I99" s="210"/>
      <c r="J99" s="211"/>
      <c r="K99" s="149"/>
      <c r="L99" s="155"/>
      <c r="M99" s="156"/>
      <c r="N99" s="212"/>
      <c r="O99" s="211"/>
      <c r="P99" s="158"/>
      <c r="Q99" s="159">
        <f>SUM(Q91:Q98)</f>
        <v>0</v>
      </c>
      <c r="R99" s="190"/>
      <c r="S99" s="161">
        <f>SUM(S91:S98)</f>
        <v>0</v>
      </c>
      <c r="T99" s="162"/>
      <c r="U99" s="163">
        <f>SUM(U91:U98)</f>
        <v>687.8</v>
      </c>
      <c r="V99" s="9" t="str">
        <f t="shared" si="11"/>
        <v/>
      </c>
      <c r="W99" s="9" t="str">
        <f t="shared" si="12"/>
        <v/>
      </c>
      <c r="X99" s="9"/>
      <c r="Y99" s="9"/>
      <c r="Z99" s="9"/>
      <c r="AA99" s="9"/>
    </row>
    <row r="100" spans="1:27" ht="15" customHeight="1" x14ac:dyDescent="0.25">
      <c r="A100" s="332"/>
      <c r="B100" s="213" t="s">
        <v>84</v>
      </c>
      <c r="C100" s="214"/>
      <c r="D100" s="214"/>
      <c r="E100" s="214"/>
      <c r="F100" s="214"/>
      <c r="G100" s="214"/>
      <c r="H100" s="215">
        <f t="shared" ref="H100:I100" si="103">AVERAGE(H29:H58:H64:H68:H73:H82:H86:H89)</f>
        <v>489.07377046098117</v>
      </c>
      <c r="I100" s="216">
        <f t="shared" si="103"/>
        <v>489.07377046098117</v>
      </c>
      <c r="J100" s="217"/>
      <c r="K100" s="215">
        <f>AVERAGE(K29:K58:K64:K68:K73:K82:K86:K89)</f>
        <v>16.39174708504801</v>
      </c>
      <c r="L100" s="218"/>
      <c r="M100" s="214">
        <f>SUM(M29+M58+M64+M68+M73+M82+M86+M89)</f>
        <v>166.38146839999996</v>
      </c>
      <c r="N100" s="219"/>
      <c r="O100" s="220"/>
      <c r="P100" s="215" t="e">
        <f>SUM(P29+P58+P64+P68+P73+P82+P86+P89)</f>
        <v>#VALUE!</v>
      </c>
      <c r="Q100" s="221">
        <f>SUM(Q29+Q58+Q64+Q68+Q73+Q82+Q86+Q89+Q99)</f>
        <v>270</v>
      </c>
      <c r="R100" s="222"/>
      <c r="S100" s="215">
        <f>SUM(S29+S58+S64+S68+S73+S82+S86+S89+S99)</f>
        <v>0</v>
      </c>
      <c r="T100" s="223"/>
      <c r="U100" s="224">
        <f>SUM(U29+U58+U64+U68+U73+U82+U86+U89+U99)</f>
        <v>98115.523597899984</v>
      </c>
      <c r="V100" s="9" t="str">
        <f t="shared" si="11"/>
        <v/>
      </c>
      <c r="W100" s="9" t="str">
        <f t="shared" si="12"/>
        <v/>
      </c>
      <c r="X100" s="9"/>
      <c r="Y100" s="9"/>
      <c r="Z100" s="9"/>
      <c r="AA100" s="9"/>
    </row>
    <row r="101" spans="1:27" ht="13.5" customHeight="1" x14ac:dyDescent="0.25">
      <c r="A101" s="365" t="s">
        <v>85</v>
      </c>
      <c r="B101" s="164" t="s">
        <v>86</v>
      </c>
      <c r="C101" s="164"/>
      <c r="D101" s="164"/>
      <c r="E101" s="164"/>
      <c r="F101" s="164"/>
      <c r="G101" s="164"/>
      <c r="H101" s="164"/>
      <c r="I101" s="167"/>
      <c r="J101" s="168"/>
      <c r="K101" s="164"/>
      <c r="L101" s="164"/>
      <c r="M101" s="164"/>
      <c r="N101" s="169"/>
      <c r="O101" s="188"/>
      <c r="P101" s="164"/>
      <c r="Q101" s="189"/>
      <c r="R101" s="173"/>
      <c r="S101" s="164"/>
      <c r="T101" s="164"/>
      <c r="U101" s="174"/>
      <c r="V101" s="9" t="str">
        <f t="shared" si="11"/>
        <v/>
      </c>
      <c r="W101" s="9" t="str">
        <f t="shared" si="12"/>
        <v/>
      </c>
      <c r="X101" s="9"/>
      <c r="Y101" s="9"/>
      <c r="Z101" s="9"/>
      <c r="AA101" s="9"/>
    </row>
    <row r="102" spans="1:27" ht="13.5" customHeight="1" outlineLevel="1" x14ac:dyDescent="0.25">
      <c r="A102" s="366"/>
      <c r="B102" s="53" t="s">
        <v>87</v>
      </c>
      <c r="C102" s="175">
        <v>4.4999999999999998E-2</v>
      </c>
      <c r="D102" s="176">
        <v>0.12</v>
      </c>
      <c r="E102" s="121">
        <v>3.9</v>
      </c>
      <c r="F102" s="112">
        <f t="shared" ref="F102:F107" si="104">C102*D102*E102</f>
        <v>2.1059999999999999E-2</v>
      </c>
      <c r="G102" s="112">
        <f t="shared" ref="G102:G107" si="105">D102*E102</f>
        <v>0.46799999999999997</v>
      </c>
      <c r="H102" s="177">
        <v>210</v>
      </c>
      <c r="I102" s="114">
        <v>300</v>
      </c>
      <c r="J102" s="115">
        <f t="shared" ref="J102:J106" si="106">I102*F102</f>
        <v>6.3179999999999996</v>
      </c>
      <c r="K102" s="116">
        <f t="shared" ref="K102:K107" si="107">J102/(D102*E102)</f>
        <v>13.5</v>
      </c>
      <c r="L102" s="117">
        <f t="shared" ref="L102:L107" si="108">T102+R102-O102</f>
        <v>160</v>
      </c>
      <c r="M102" s="178">
        <f t="shared" ref="M102:M107" si="109">L102*F102</f>
        <v>3.3695999999999997</v>
      </c>
      <c r="N102" s="119">
        <f t="shared" ref="N102:N107" si="110">L102*G102</f>
        <v>74.88</v>
      </c>
      <c r="O102" s="182"/>
      <c r="P102" s="121" t="str">
        <f t="shared" ref="P102:P107" si="111">IF(O102="","",(O102*F102))</f>
        <v/>
      </c>
      <c r="Q102" s="122"/>
      <c r="R102" s="180"/>
      <c r="S102" s="121">
        <f t="shared" ref="S102:S107" si="112">R102*F102</f>
        <v>0</v>
      </c>
      <c r="T102" s="181">
        <v>160</v>
      </c>
      <c r="U102" s="125">
        <f t="shared" ref="U102:U107" si="113">J102*L102</f>
        <v>1010.8799999999999</v>
      </c>
      <c r="V102" s="9" t="str">
        <f t="shared" si="11"/>
        <v/>
      </c>
      <c r="W102" s="9" t="str">
        <f t="shared" si="12"/>
        <v/>
      </c>
      <c r="X102" s="9"/>
      <c r="Y102" s="9"/>
      <c r="Z102" s="9"/>
      <c r="AA102" s="9"/>
    </row>
    <row r="103" spans="1:27" ht="13.5" customHeight="1" outlineLevel="1" x14ac:dyDescent="0.25">
      <c r="A103" s="366"/>
      <c r="B103" s="53" t="s">
        <v>87</v>
      </c>
      <c r="C103" s="175">
        <v>4.4999999999999998E-2</v>
      </c>
      <c r="D103" s="176">
        <v>0.12</v>
      </c>
      <c r="E103" s="121">
        <v>4.2</v>
      </c>
      <c r="F103" s="112">
        <f t="shared" si="104"/>
        <v>2.2679999999999999E-2</v>
      </c>
      <c r="G103" s="112">
        <f t="shared" si="105"/>
        <v>0.504</v>
      </c>
      <c r="H103" s="177">
        <v>210</v>
      </c>
      <c r="I103" s="114">
        <v>300</v>
      </c>
      <c r="J103" s="115">
        <f t="shared" si="106"/>
        <v>6.8039999999999994</v>
      </c>
      <c r="K103" s="116">
        <f t="shared" si="107"/>
        <v>13.499999999999998</v>
      </c>
      <c r="L103" s="117">
        <f t="shared" si="108"/>
        <v>1280</v>
      </c>
      <c r="M103" s="178">
        <f t="shared" si="109"/>
        <v>29.0304</v>
      </c>
      <c r="N103" s="119">
        <f t="shared" si="110"/>
        <v>645.12</v>
      </c>
      <c r="O103" s="182"/>
      <c r="P103" s="121" t="str">
        <f t="shared" si="111"/>
        <v/>
      </c>
      <c r="Q103" s="122"/>
      <c r="R103" s="180"/>
      <c r="S103" s="121">
        <f t="shared" si="112"/>
        <v>0</v>
      </c>
      <c r="T103" s="181">
        <v>1280</v>
      </c>
      <c r="U103" s="125">
        <f t="shared" si="113"/>
        <v>8709.119999999999</v>
      </c>
      <c r="V103" s="9" t="str">
        <f t="shared" si="11"/>
        <v/>
      </c>
      <c r="W103" s="9" t="str">
        <f t="shared" si="12"/>
        <v/>
      </c>
      <c r="X103" s="9"/>
      <c r="Y103" s="9"/>
      <c r="Z103" s="9"/>
      <c r="AA103" s="9"/>
    </row>
    <row r="104" spans="1:27" ht="13.5" customHeight="1" outlineLevel="1" x14ac:dyDescent="0.25">
      <c r="A104" s="366"/>
      <c r="B104" s="324" t="s">
        <v>88</v>
      </c>
      <c r="C104" s="175">
        <v>4.4999999999999998E-2</v>
      </c>
      <c r="D104" s="176">
        <v>0.14499999999999999</v>
      </c>
      <c r="E104" s="121">
        <v>4.8</v>
      </c>
      <c r="F104" s="112">
        <f t="shared" si="104"/>
        <v>3.1319999999999994E-2</v>
      </c>
      <c r="G104" s="112">
        <f t="shared" si="105"/>
        <v>0.69599999999999995</v>
      </c>
      <c r="H104" s="177">
        <f>345+2.7</f>
        <v>347.7</v>
      </c>
      <c r="I104" s="114">
        <f>H104*1.05838</f>
        <v>367.99872600000003</v>
      </c>
      <c r="J104" s="115">
        <f t="shared" si="106"/>
        <v>11.525720098319999</v>
      </c>
      <c r="K104" s="116">
        <f t="shared" si="107"/>
        <v>16.559942669999998</v>
      </c>
      <c r="L104" s="117">
        <f t="shared" si="108"/>
        <v>336</v>
      </c>
      <c r="M104" s="178">
        <f t="shared" si="109"/>
        <v>10.523519999999998</v>
      </c>
      <c r="N104" s="119">
        <f t="shared" si="110"/>
        <v>233.85599999999999</v>
      </c>
      <c r="O104" s="182"/>
      <c r="P104" s="121" t="str">
        <f t="shared" si="111"/>
        <v/>
      </c>
      <c r="Q104" s="122"/>
      <c r="R104" s="180"/>
      <c r="S104" s="121">
        <f t="shared" si="112"/>
        <v>0</v>
      </c>
      <c r="T104" s="181">
        <v>336</v>
      </c>
      <c r="U104" s="125">
        <f t="shared" si="113"/>
        <v>3872.6419530355197</v>
      </c>
      <c r="V104" s="9" t="str">
        <f t="shared" si="11"/>
        <v/>
      </c>
      <c r="W104" s="9" t="str">
        <f t="shared" si="12"/>
        <v/>
      </c>
      <c r="X104" s="9"/>
      <c r="Y104" s="9"/>
      <c r="Z104" s="9"/>
      <c r="AA104" s="9"/>
    </row>
    <row r="105" spans="1:27" ht="13.5" customHeight="1" outlineLevel="1" x14ac:dyDescent="0.25">
      <c r="A105" s="366"/>
      <c r="B105" s="324" t="s">
        <v>88</v>
      </c>
      <c r="C105" s="175">
        <v>4.4999999999999998E-2</v>
      </c>
      <c r="D105" s="176">
        <v>0.14499999999999999</v>
      </c>
      <c r="E105" s="121">
        <v>6</v>
      </c>
      <c r="F105" s="112">
        <f t="shared" si="104"/>
        <v>3.9149999999999997E-2</v>
      </c>
      <c r="G105" s="112">
        <f t="shared" si="105"/>
        <v>0.86999999999999988</v>
      </c>
      <c r="H105" s="177">
        <f>370+2.9</f>
        <v>372.9</v>
      </c>
      <c r="I105" s="114">
        <f>H105*1.0539</f>
        <v>392.99930999999998</v>
      </c>
      <c r="J105" s="115">
        <f t="shared" si="106"/>
        <v>15.385922986499999</v>
      </c>
      <c r="K105" s="116">
        <f t="shared" si="107"/>
        <v>17.684968950000002</v>
      </c>
      <c r="L105" s="117">
        <f t="shared" si="108"/>
        <v>315</v>
      </c>
      <c r="M105" s="178">
        <f t="shared" si="109"/>
        <v>12.332249999999998</v>
      </c>
      <c r="N105" s="119">
        <f t="shared" si="110"/>
        <v>274.04999999999995</v>
      </c>
      <c r="O105" s="182"/>
      <c r="P105" s="121" t="str">
        <f t="shared" si="111"/>
        <v/>
      </c>
      <c r="Q105" s="122"/>
      <c r="R105" s="180"/>
      <c r="S105" s="121">
        <f t="shared" si="112"/>
        <v>0</v>
      </c>
      <c r="T105" s="181">
        <v>315</v>
      </c>
      <c r="U105" s="125">
        <f t="shared" si="113"/>
        <v>4846.5657407475001</v>
      </c>
      <c r="V105" s="9" t="str">
        <f t="shared" si="11"/>
        <v/>
      </c>
      <c r="W105" s="9" t="str">
        <f t="shared" si="12"/>
        <v/>
      </c>
      <c r="X105" s="9"/>
      <c r="Y105" s="9"/>
      <c r="Z105" s="9"/>
      <c r="AA105" s="9"/>
    </row>
    <row r="106" spans="1:27" ht="13.5" customHeight="1" outlineLevel="1" x14ac:dyDescent="0.25">
      <c r="A106" s="366"/>
      <c r="B106" s="324" t="s">
        <v>88</v>
      </c>
      <c r="C106" s="54">
        <v>4.4999999999999998E-2</v>
      </c>
      <c r="D106" s="55">
        <v>0.19500000000000001</v>
      </c>
      <c r="E106" s="56">
        <v>4.8</v>
      </c>
      <c r="F106" s="112">
        <f t="shared" si="104"/>
        <v>4.2119999999999998E-2</v>
      </c>
      <c r="G106" s="112">
        <f t="shared" si="105"/>
        <v>0.93599999999999994</v>
      </c>
      <c r="H106" s="177">
        <f>345+2.7</f>
        <v>347.7</v>
      </c>
      <c r="I106" s="114">
        <f>H106*1.05838</f>
        <v>367.99872600000003</v>
      </c>
      <c r="J106" s="115">
        <f t="shared" si="106"/>
        <v>15.50010633912</v>
      </c>
      <c r="K106" s="116">
        <f t="shared" si="107"/>
        <v>16.559942670000002</v>
      </c>
      <c r="L106" s="117">
        <f t="shared" si="108"/>
        <v>180</v>
      </c>
      <c r="M106" s="178">
        <f t="shared" si="109"/>
        <v>7.5815999999999999</v>
      </c>
      <c r="N106" s="119">
        <f t="shared" si="110"/>
        <v>168.48</v>
      </c>
      <c r="O106" s="182"/>
      <c r="P106" s="121" t="str">
        <f t="shared" si="111"/>
        <v/>
      </c>
      <c r="Q106" s="122"/>
      <c r="R106" s="180"/>
      <c r="S106" s="121">
        <f t="shared" si="112"/>
        <v>0</v>
      </c>
      <c r="T106" s="181">
        <v>180</v>
      </c>
      <c r="U106" s="125">
        <f t="shared" si="113"/>
        <v>2790.0191410416001</v>
      </c>
      <c r="V106" s="9" t="str">
        <f t="shared" si="11"/>
        <v/>
      </c>
      <c r="W106" s="9" t="str">
        <f t="shared" si="12"/>
        <v/>
      </c>
      <c r="X106" s="9"/>
      <c r="Y106" s="9"/>
      <c r="Z106" s="9"/>
      <c r="AA106" s="9"/>
    </row>
    <row r="107" spans="1:27" ht="13.5" customHeight="1" outlineLevel="1" x14ac:dyDescent="0.25">
      <c r="A107" s="366"/>
      <c r="B107" s="324" t="s">
        <v>89</v>
      </c>
      <c r="C107" s="175">
        <v>4.4999999999999998E-2</v>
      </c>
      <c r="D107" s="176">
        <v>0.19500000000000001</v>
      </c>
      <c r="E107" s="121">
        <v>6</v>
      </c>
      <c r="F107" s="112">
        <f t="shared" si="104"/>
        <v>5.2650000000000002E-2</v>
      </c>
      <c r="G107" s="112">
        <f t="shared" si="105"/>
        <v>1.17</v>
      </c>
      <c r="H107" s="177">
        <f>370+2.9</f>
        <v>372.9</v>
      </c>
      <c r="I107" s="114">
        <f>ROUND(H107*1.1667,0)</f>
        <v>435</v>
      </c>
      <c r="J107" s="115">
        <f>ROUND((I107*0.992)*1.21,0)*(C107*D107*E107)</f>
        <v>27.4833</v>
      </c>
      <c r="K107" s="116">
        <f t="shared" si="107"/>
        <v>23.490000000000002</v>
      </c>
      <c r="L107" s="117">
        <f t="shared" si="108"/>
        <v>83</v>
      </c>
      <c r="M107" s="178">
        <f t="shared" si="109"/>
        <v>4.3699500000000002</v>
      </c>
      <c r="N107" s="119">
        <f t="shared" si="110"/>
        <v>97.11</v>
      </c>
      <c r="O107" s="182"/>
      <c r="P107" s="121" t="str">
        <f t="shared" si="111"/>
        <v/>
      </c>
      <c r="Q107" s="122"/>
      <c r="R107" s="180"/>
      <c r="S107" s="121">
        <f t="shared" si="112"/>
        <v>0</v>
      </c>
      <c r="T107" s="181">
        <v>83</v>
      </c>
      <c r="U107" s="125">
        <f t="shared" si="113"/>
        <v>2281.1138999999998</v>
      </c>
      <c r="V107" s="9" t="str">
        <f t="shared" si="11"/>
        <v/>
      </c>
      <c r="W107" s="9" t="str">
        <f t="shared" si="12"/>
        <v/>
      </c>
      <c r="X107" s="9"/>
      <c r="Y107" s="9"/>
      <c r="Z107" s="9"/>
      <c r="AA107" s="9"/>
    </row>
    <row r="108" spans="1:27" ht="15" customHeight="1" x14ac:dyDescent="0.25">
      <c r="A108" s="366"/>
      <c r="B108" s="225" t="s">
        <v>90</v>
      </c>
      <c r="C108" s="226"/>
      <c r="D108" s="226"/>
      <c r="E108" s="226"/>
      <c r="F108" s="226"/>
      <c r="G108" s="226"/>
      <c r="H108" s="227">
        <f t="shared" ref="H108:I108" si="114">AVERAGE(H102:H107)</f>
        <v>310.2</v>
      </c>
      <c r="I108" s="228">
        <f t="shared" si="114"/>
        <v>360.66612699999996</v>
      </c>
      <c r="J108" s="229"/>
      <c r="K108" s="227">
        <f>AVERAGE(K102:K107)</f>
        <v>16.882475714999998</v>
      </c>
      <c r="L108" s="230"/>
      <c r="M108" s="227">
        <f>SUM(M102:M107)</f>
        <v>67.207319999999996</v>
      </c>
      <c r="N108" s="231"/>
      <c r="O108" s="232"/>
      <c r="P108" s="227">
        <f t="shared" ref="P108:Q108" si="115">SUM(P102:P107)</f>
        <v>0</v>
      </c>
      <c r="Q108" s="233">
        <f t="shared" si="115"/>
        <v>0</v>
      </c>
      <c r="R108" s="234"/>
      <c r="S108" s="235">
        <f>SUM(S104:S107)</f>
        <v>0</v>
      </c>
      <c r="T108" s="236"/>
      <c r="U108" s="237">
        <f>SUM(U102:U107)</f>
        <v>23510.340734824618</v>
      </c>
      <c r="V108" s="9" t="str">
        <f t="shared" si="11"/>
        <v/>
      </c>
      <c r="W108" s="9" t="str">
        <f t="shared" si="12"/>
        <v/>
      </c>
      <c r="X108" s="9"/>
      <c r="Y108" s="9"/>
      <c r="Z108" s="9"/>
      <c r="AA108" s="9"/>
    </row>
    <row r="109" spans="1:27" ht="13.5" customHeight="1" x14ac:dyDescent="0.25">
      <c r="A109" s="367" t="s">
        <v>91</v>
      </c>
      <c r="B109" s="164" t="s">
        <v>92</v>
      </c>
      <c r="C109" s="164"/>
      <c r="D109" s="164"/>
      <c r="E109" s="164"/>
      <c r="F109" s="164"/>
      <c r="G109" s="164"/>
      <c r="H109" s="164"/>
      <c r="I109" s="167"/>
      <c r="J109" s="168"/>
      <c r="K109" s="164"/>
      <c r="L109" s="164"/>
      <c r="M109" s="164"/>
      <c r="N109" s="169"/>
      <c r="O109" s="188"/>
      <c r="P109" s="164"/>
      <c r="Q109" s="189"/>
      <c r="R109" s="173"/>
      <c r="S109" s="164"/>
      <c r="T109" s="164"/>
      <c r="U109" s="174"/>
      <c r="V109" s="9" t="str">
        <f t="shared" si="11"/>
        <v/>
      </c>
      <c r="W109" s="9" t="str">
        <f t="shared" si="12"/>
        <v/>
      </c>
      <c r="X109" s="9"/>
      <c r="Y109" s="9"/>
      <c r="Z109" s="9"/>
      <c r="AA109" s="9"/>
    </row>
    <row r="110" spans="1:27" ht="13.5" customHeight="1" outlineLevel="1" x14ac:dyDescent="0.25">
      <c r="A110" s="366"/>
      <c r="B110" s="248" t="s">
        <v>118</v>
      </c>
      <c r="C110" s="175">
        <v>0.01</v>
      </c>
      <c r="D110" s="176">
        <v>0.02</v>
      </c>
      <c r="E110" s="121">
        <v>1.6</v>
      </c>
      <c r="F110" s="112">
        <f t="shared" ref="F110:F172" si="116">C110*D110*E110</f>
        <v>3.2000000000000003E-4</v>
      </c>
      <c r="G110" s="112">
        <f t="shared" ref="G110:G172" si="117">D110*E110</f>
        <v>3.2000000000000001E-2</v>
      </c>
      <c r="H110" s="177">
        <v>571.20000000000005</v>
      </c>
      <c r="I110" s="114"/>
      <c r="J110" s="115"/>
      <c r="K110" s="116"/>
      <c r="L110" s="117"/>
      <c r="M110" s="178"/>
      <c r="N110" s="119"/>
      <c r="O110" s="182"/>
      <c r="P110" s="121"/>
      <c r="Q110" s="122"/>
      <c r="R110" s="180"/>
      <c r="S110" s="121"/>
      <c r="T110" s="181"/>
      <c r="U110" s="125"/>
      <c r="V110" s="9" t="str">
        <f t="shared" si="11"/>
        <v/>
      </c>
      <c r="W110" s="9" t="str">
        <f t="shared" si="12"/>
        <v/>
      </c>
      <c r="X110" s="9"/>
      <c r="Y110" s="9"/>
      <c r="Z110" s="9"/>
      <c r="AA110" s="9"/>
    </row>
    <row r="111" spans="1:27" ht="13.5" customHeight="1" outlineLevel="1" x14ac:dyDescent="0.25">
      <c r="A111" s="366"/>
      <c r="B111" s="53" t="s">
        <v>94</v>
      </c>
      <c r="C111" s="175">
        <v>0.02</v>
      </c>
      <c r="D111" s="176">
        <v>4.4999999999999998E-2</v>
      </c>
      <c r="E111" s="121">
        <v>2.5</v>
      </c>
      <c r="F111" s="112">
        <f t="shared" si="116"/>
        <v>2.2499999999999998E-3</v>
      </c>
      <c r="G111" s="112">
        <f t="shared" si="117"/>
        <v>0.11249999999999999</v>
      </c>
      <c r="H111" s="177">
        <f>600/1.1667</f>
        <v>514.27102082797626</v>
      </c>
      <c r="I111" s="114">
        <f t="shared" ref="I111:I112" si="118">ROUND(H111*1.1667,0)</f>
        <v>600</v>
      </c>
      <c r="J111" s="115">
        <f t="shared" ref="J111:J124" si="119">ROUND((I111*0.992)*1.21,0)*(C111*D111*E111)</f>
        <v>1.6199999999999999</v>
      </c>
      <c r="K111" s="116">
        <f t="shared" ref="K111:K172" si="120">J111/(D111*E111)</f>
        <v>14.4</v>
      </c>
      <c r="L111" s="117">
        <f t="shared" ref="L111:L116" si="121">T111+R111-O111</f>
        <v>249</v>
      </c>
      <c r="M111" s="178">
        <f t="shared" ref="M111:M172" si="122">L111*F111</f>
        <v>0.56024999999999991</v>
      </c>
      <c r="N111" s="119">
        <f t="shared" ref="N111:N172" si="123">L111*G111</f>
        <v>28.012499999999996</v>
      </c>
      <c r="O111" s="182"/>
      <c r="P111" s="121" t="str">
        <f t="shared" ref="P111:P172" si="124">IF(O111="","",(O111*F111))</f>
        <v/>
      </c>
      <c r="Q111" s="122"/>
      <c r="R111" s="180"/>
      <c r="S111" s="121">
        <f t="shared" ref="S111:S172" si="125">R111*F111</f>
        <v>0</v>
      </c>
      <c r="T111" s="181">
        <v>249</v>
      </c>
      <c r="U111" s="125">
        <f t="shared" ref="U111:U172" si="126">J111*L111</f>
        <v>403.38</v>
      </c>
      <c r="V111" s="9" t="str">
        <f t="shared" si="11"/>
        <v/>
      </c>
      <c r="W111" s="9" t="str">
        <f t="shared" si="12"/>
        <v/>
      </c>
      <c r="X111" s="9"/>
      <c r="Y111" s="9"/>
      <c r="Z111" s="9"/>
      <c r="AA111" s="9"/>
    </row>
    <row r="112" spans="1:27" ht="13.5" customHeight="1" outlineLevel="1" x14ac:dyDescent="0.25">
      <c r="A112" s="366"/>
      <c r="B112" s="53" t="s">
        <v>94</v>
      </c>
      <c r="C112" s="175">
        <v>0.02</v>
      </c>
      <c r="D112" s="176">
        <v>4.4999999999999998E-2</v>
      </c>
      <c r="E112" s="121">
        <v>3</v>
      </c>
      <c r="F112" s="112">
        <f t="shared" si="116"/>
        <v>2.7000000000000001E-3</v>
      </c>
      <c r="G112" s="112">
        <f t="shared" si="117"/>
        <v>0.13500000000000001</v>
      </c>
      <c r="H112" s="177">
        <v>514.27</v>
      </c>
      <c r="I112" s="114">
        <f t="shared" si="118"/>
        <v>600</v>
      </c>
      <c r="J112" s="115">
        <f t="shared" si="119"/>
        <v>1.9440000000000002</v>
      </c>
      <c r="K112" s="116">
        <f t="shared" si="120"/>
        <v>14.4</v>
      </c>
      <c r="L112" s="117">
        <f t="shared" si="121"/>
        <v>2280</v>
      </c>
      <c r="M112" s="178">
        <f t="shared" si="122"/>
        <v>6.1560000000000006</v>
      </c>
      <c r="N112" s="119">
        <f t="shared" si="123"/>
        <v>307.8</v>
      </c>
      <c r="O112" s="182"/>
      <c r="P112" s="121" t="str">
        <f t="shared" si="124"/>
        <v/>
      </c>
      <c r="Q112" s="122"/>
      <c r="R112" s="180"/>
      <c r="S112" s="121">
        <f t="shared" si="125"/>
        <v>0</v>
      </c>
      <c r="T112" s="181">
        <v>2280</v>
      </c>
      <c r="U112" s="125">
        <f t="shared" si="126"/>
        <v>4432.3200000000006</v>
      </c>
      <c r="V112" s="9" t="str">
        <f t="shared" si="11"/>
        <v/>
      </c>
      <c r="W112" s="9" t="str">
        <f t="shared" si="12"/>
        <v/>
      </c>
      <c r="X112" s="9"/>
      <c r="Y112" s="9"/>
      <c r="Z112" s="9"/>
      <c r="AA112" s="9"/>
    </row>
    <row r="113" spans="1:27" ht="13.5" customHeight="1" outlineLevel="1" x14ac:dyDescent="0.25">
      <c r="A113" s="366"/>
      <c r="B113" s="75" t="s">
        <v>95</v>
      </c>
      <c r="C113" s="76">
        <v>2.3E-2</v>
      </c>
      <c r="D113" s="77">
        <v>0.1</v>
      </c>
      <c r="E113" s="78">
        <v>4.8</v>
      </c>
      <c r="F113" s="133">
        <f t="shared" si="116"/>
        <v>1.1039999999999999E-2</v>
      </c>
      <c r="G113" s="133">
        <f t="shared" si="117"/>
        <v>0.48</v>
      </c>
      <c r="H113" s="191">
        <v>228.8</v>
      </c>
      <c r="I113" s="114">
        <f>ROUND(H113*1.225,0)</f>
        <v>280</v>
      </c>
      <c r="J113" s="115">
        <f t="shared" si="119"/>
        <v>3.7094399999999998</v>
      </c>
      <c r="K113" s="192">
        <f t="shared" si="120"/>
        <v>7.7279999999999998</v>
      </c>
      <c r="L113" s="117">
        <f t="shared" si="121"/>
        <v>1558</v>
      </c>
      <c r="M113" s="178">
        <f t="shared" si="122"/>
        <v>17.200319999999998</v>
      </c>
      <c r="N113" s="134">
        <f t="shared" si="123"/>
        <v>747.83999999999992</v>
      </c>
      <c r="O113" s="240">
        <v>40</v>
      </c>
      <c r="P113" s="121">
        <f t="shared" si="124"/>
        <v>0.44159999999999999</v>
      </c>
      <c r="Q113" s="241">
        <v>145</v>
      </c>
      <c r="R113" s="194"/>
      <c r="S113" s="78">
        <f t="shared" si="125"/>
        <v>0</v>
      </c>
      <c r="T113" s="181">
        <v>1598</v>
      </c>
      <c r="U113" s="242">
        <f t="shared" si="126"/>
        <v>5779.3075199999994</v>
      </c>
      <c r="V113" s="9">
        <f t="shared" si="11"/>
        <v>43.961919999999992</v>
      </c>
      <c r="W113" s="9">
        <f t="shared" si="12"/>
        <v>101.03808000000001</v>
      </c>
      <c r="X113" s="9"/>
      <c r="Y113" s="9"/>
      <c r="Z113" s="9"/>
      <c r="AA113" s="9"/>
    </row>
    <row r="114" spans="1:27" ht="13.5" customHeight="1" outlineLevel="1" x14ac:dyDescent="0.25">
      <c r="A114" s="366"/>
      <c r="B114" s="53" t="s">
        <v>74</v>
      </c>
      <c r="C114" s="175">
        <v>2.5000000000000001E-2</v>
      </c>
      <c r="D114" s="176">
        <v>2.5000000000000001E-2</v>
      </c>
      <c r="E114" s="121">
        <v>1.2</v>
      </c>
      <c r="F114" s="112">
        <f t="shared" si="116"/>
        <v>7.5000000000000012E-4</v>
      </c>
      <c r="G114" s="112">
        <f t="shared" si="117"/>
        <v>0.03</v>
      </c>
      <c r="H114" s="177">
        <v>240</v>
      </c>
      <c r="I114" s="114">
        <f t="shared" ref="I114:I124" si="127">ROUND(H114*1.1667,0)</f>
        <v>280</v>
      </c>
      <c r="J114" s="115">
        <f t="shared" si="119"/>
        <v>0.25200000000000006</v>
      </c>
      <c r="K114" s="116">
        <f t="shared" si="120"/>
        <v>8.4000000000000021</v>
      </c>
      <c r="L114" s="117">
        <f t="shared" si="121"/>
        <v>700</v>
      </c>
      <c r="M114" s="178">
        <f t="shared" si="122"/>
        <v>0.52500000000000013</v>
      </c>
      <c r="N114" s="119">
        <f t="shared" si="123"/>
        <v>21</v>
      </c>
      <c r="O114" s="182"/>
      <c r="P114" s="121" t="str">
        <f t="shared" si="124"/>
        <v/>
      </c>
      <c r="Q114" s="122"/>
      <c r="R114" s="180"/>
      <c r="S114" s="121">
        <f t="shared" si="125"/>
        <v>0</v>
      </c>
      <c r="T114" s="181">
        <v>700</v>
      </c>
      <c r="U114" s="125">
        <f t="shared" si="126"/>
        <v>176.40000000000003</v>
      </c>
      <c r="V114" s="9" t="str">
        <f t="shared" si="11"/>
        <v/>
      </c>
      <c r="W114" s="9" t="str">
        <f t="shared" si="12"/>
        <v/>
      </c>
      <c r="X114" s="9"/>
      <c r="Y114" s="9"/>
      <c r="Z114" s="9"/>
      <c r="AA114" s="9"/>
    </row>
    <row r="115" spans="1:27" ht="13.5" customHeight="1" outlineLevel="1" x14ac:dyDescent="0.25">
      <c r="A115" s="366"/>
      <c r="B115" s="53" t="s">
        <v>95</v>
      </c>
      <c r="C115" s="175">
        <v>2.5000000000000001E-2</v>
      </c>
      <c r="D115" s="176">
        <v>3.7999999999999999E-2</v>
      </c>
      <c r="E115" s="121">
        <v>3.6</v>
      </c>
      <c r="F115" s="112">
        <f t="shared" si="116"/>
        <v>3.4199999999999999E-3</v>
      </c>
      <c r="G115" s="112">
        <f t="shared" si="117"/>
        <v>0.1368</v>
      </c>
      <c r="H115" s="177">
        <v>210</v>
      </c>
      <c r="I115" s="114">
        <f t="shared" si="127"/>
        <v>245</v>
      </c>
      <c r="J115" s="115">
        <f t="shared" si="119"/>
        <v>1.0054799999999999</v>
      </c>
      <c r="K115" s="116">
        <f t="shared" si="120"/>
        <v>7.35</v>
      </c>
      <c r="L115" s="117">
        <f t="shared" si="121"/>
        <v>1520</v>
      </c>
      <c r="M115" s="178">
        <f t="shared" si="122"/>
        <v>5.1983999999999995</v>
      </c>
      <c r="N115" s="119">
        <f t="shared" si="123"/>
        <v>207.93600000000001</v>
      </c>
      <c r="O115" s="182"/>
      <c r="P115" s="121" t="str">
        <f t="shared" si="124"/>
        <v/>
      </c>
      <c r="Q115" s="122"/>
      <c r="R115" s="180"/>
      <c r="S115" s="121">
        <f t="shared" si="125"/>
        <v>0</v>
      </c>
      <c r="T115" s="181">
        <v>1520</v>
      </c>
      <c r="U115" s="125">
        <f t="shared" si="126"/>
        <v>1528.3295999999998</v>
      </c>
      <c r="V115" s="9" t="str">
        <f t="shared" si="11"/>
        <v/>
      </c>
      <c r="W115" s="9" t="str">
        <f t="shared" si="12"/>
        <v/>
      </c>
      <c r="X115" s="9"/>
      <c r="Y115" s="9"/>
      <c r="Z115" s="9"/>
      <c r="AA115" s="9"/>
    </row>
    <row r="116" spans="1:27" ht="13.5" customHeight="1" outlineLevel="1" x14ac:dyDescent="0.25">
      <c r="A116" s="366"/>
      <c r="B116" s="53"/>
      <c r="C116" s="175">
        <v>2.5000000000000001E-2</v>
      </c>
      <c r="D116" s="176">
        <v>0.05</v>
      </c>
      <c r="E116" s="121">
        <v>2.5</v>
      </c>
      <c r="F116" s="112">
        <f t="shared" si="116"/>
        <v>3.1250000000000006E-3</v>
      </c>
      <c r="G116" s="112">
        <f t="shared" si="117"/>
        <v>0.125</v>
      </c>
      <c r="H116" s="177">
        <v>240</v>
      </c>
      <c r="I116" s="114">
        <f t="shared" si="127"/>
        <v>280</v>
      </c>
      <c r="J116" s="115">
        <f t="shared" si="119"/>
        <v>1.0500000000000003</v>
      </c>
      <c r="K116" s="116">
        <f t="shared" si="120"/>
        <v>8.4000000000000021</v>
      </c>
      <c r="L116" s="117">
        <f t="shared" si="121"/>
        <v>507</v>
      </c>
      <c r="M116" s="178">
        <f t="shared" si="122"/>
        <v>1.5843750000000003</v>
      </c>
      <c r="N116" s="119">
        <f t="shared" si="123"/>
        <v>63.375</v>
      </c>
      <c r="O116" s="182"/>
      <c r="P116" s="121" t="str">
        <f t="shared" si="124"/>
        <v/>
      </c>
      <c r="Q116" s="122"/>
      <c r="R116" s="180"/>
      <c r="S116" s="121">
        <f t="shared" si="125"/>
        <v>0</v>
      </c>
      <c r="T116" s="181">
        <v>507</v>
      </c>
      <c r="U116" s="125">
        <f t="shared" si="126"/>
        <v>532.35000000000014</v>
      </c>
      <c r="V116" s="9" t="str">
        <f t="shared" si="11"/>
        <v/>
      </c>
      <c r="W116" s="9" t="str">
        <f t="shared" si="12"/>
        <v/>
      </c>
      <c r="X116" s="9"/>
      <c r="Y116" s="9"/>
      <c r="Z116" s="9"/>
      <c r="AA116" s="9"/>
    </row>
    <row r="117" spans="1:27" ht="13.5" customHeight="1" outlineLevel="1" x14ac:dyDescent="0.25">
      <c r="A117" s="366"/>
      <c r="B117" s="53"/>
      <c r="C117" s="175">
        <v>2.5000000000000001E-2</v>
      </c>
      <c r="D117" s="176">
        <v>0.05</v>
      </c>
      <c r="E117" s="121">
        <v>3</v>
      </c>
      <c r="F117" s="112">
        <f t="shared" si="116"/>
        <v>3.7500000000000007E-3</v>
      </c>
      <c r="G117" s="112">
        <f t="shared" si="117"/>
        <v>0.15000000000000002</v>
      </c>
      <c r="H117" s="177">
        <v>240</v>
      </c>
      <c r="I117" s="114">
        <f t="shared" si="127"/>
        <v>280</v>
      </c>
      <c r="J117" s="115">
        <f t="shared" si="119"/>
        <v>1.2600000000000002</v>
      </c>
      <c r="K117" s="116">
        <f t="shared" si="120"/>
        <v>8.4</v>
      </c>
      <c r="L117" s="117">
        <f>T117+R117-O117-38</f>
        <v>777</v>
      </c>
      <c r="M117" s="178">
        <f t="shared" si="122"/>
        <v>2.9137500000000007</v>
      </c>
      <c r="N117" s="119">
        <f t="shared" si="123"/>
        <v>116.55000000000001</v>
      </c>
      <c r="O117" s="182">
        <v>24</v>
      </c>
      <c r="P117" s="121">
        <f t="shared" si="124"/>
        <v>9.0000000000000024E-2</v>
      </c>
      <c r="Q117" s="122">
        <v>25</v>
      </c>
      <c r="R117" s="180"/>
      <c r="S117" s="121">
        <f t="shared" si="125"/>
        <v>0</v>
      </c>
      <c r="T117" s="181">
        <v>839</v>
      </c>
      <c r="U117" s="125">
        <f t="shared" si="126"/>
        <v>979.02000000000021</v>
      </c>
      <c r="V117" s="9">
        <f t="shared" si="11"/>
        <v>3.3999999999999986</v>
      </c>
      <c r="W117" s="9">
        <f t="shared" si="12"/>
        <v>21.600000000000005</v>
      </c>
      <c r="X117" s="9"/>
      <c r="Y117" s="9"/>
      <c r="Z117" s="9"/>
      <c r="AA117" s="9"/>
    </row>
    <row r="118" spans="1:27" ht="13.5" customHeight="1" outlineLevel="1" x14ac:dyDescent="0.25">
      <c r="A118" s="366"/>
      <c r="B118" s="53"/>
      <c r="C118" s="175">
        <v>2.5000000000000001E-2</v>
      </c>
      <c r="D118" s="176">
        <v>0.05</v>
      </c>
      <c r="E118" s="121">
        <v>4.9000000000000004</v>
      </c>
      <c r="F118" s="112">
        <f t="shared" si="116"/>
        <v>6.125000000000002E-3</v>
      </c>
      <c r="G118" s="112">
        <f t="shared" si="117"/>
        <v>0.24500000000000002</v>
      </c>
      <c r="H118" s="177">
        <v>240</v>
      </c>
      <c r="I118" s="114">
        <f t="shared" si="127"/>
        <v>280</v>
      </c>
      <c r="J118" s="115">
        <f t="shared" si="119"/>
        <v>2.0580000000000007</v>
      </c>
      <c r="K118" s="116">
        <f t="shared" si="120"/>
        <v>8.4000000000000021</v>
      </c>
      <c r="L118" s="117">
        <f t="shared" ref="L118:L125" si="128">T118+R118-O118</f>
        <v>53</v>
      </c>
      <c r="M118" s="178">
        <f t="shared" si="122"/>
        <v>0.32462500000000011</v>
      </c>
      <c r="N118" s="119">
        <f t="shared" si="123"/>
        <v>12.985000000000001</v>
      </c>
      <c r="O118" s="182"/>
      <c r="P118" s="121" t="str">
        <f t="shared" si="124"/>
        <v/>
      </c>
      <c r="Q118" s="122"/>
      <c r="R118" s="180"/>
      <c r="S118" s="121">
        <f t="shared" si="125"/>
        <v>0</v>
      </c>
      <c r="T118" s="181">
        <v>53</v>
      </c>
      <c r="U118" s="125">
        <f t="shared" si="126"/>
        <v>109.07400000000004</v>
      </c>
      <c r="V118" s="9" t="str">
        <f t="shared" si="11"/>
        <v/>
      </c>
      <c r="W118" s="9" t="str">
        <f t="shared" si="12"/>
        <v/>
      </c>
      <c r="X118" s="9"/>
      <c r="Y118" s="9"/>
      <c r="Z118" s="9"/>
      <c r="AA118" s="9"/>
    </row>
    <row r="119" spans="1:27" ht="13.5" customHeight="1" outlineLevel="1" x14ac:dyDescent="0.25">
      <c r="A119" s="366"/>
      <c r="B119" s="53"/>
      <c r="C119" s="175">
        <v>2.5000000000000001E-2</v>
      </c>
      <c r="D119" s="176">
        <v>0.05</v>
      </c>
      <c r="E119" s="121">
        <v>6</v>
      </c>
      <c r="F119" s="112">
        <f t="shared" si="116"/>
        <v>7.5000000000000015E-3</v>
      </c>
      <c r="G119" s="112">
        <f t="shared" si="117"/>
        <v>0.30000000000000004</v>
      </c>
      <c r="H119" s="177">
        <v>240</v>
      </c>
      <c r="I119" s="114">
        <f t="shared" si="127"/>
        <v>280</v>
      </c>
      <c r="J119" s="115">
        <f t="shared" si="119"/>
        <v>2.5200000000000005</v>
      </c>
      <c r="K119" s="116">
        <f t="shared" si="120"/>
        <v>8.4</v>
      </c>
      <c r="L119" s="117">
        <f t="shared" si="128"/>
        <v>23</v>
      </c>
      <c r="M119" s="178">
        <f t="shared" si="122"/>
        <v>0.17250000000000004</v>
      </c>
      <c r="N119" s="119">
        <f t="shared" si="123"/>
        <v>6.9000000000000012</v>
      </c>
      <c r="O119" s="182"/>
      <c r="P119" s="121" t="str">
        <f t="shared" si="124"/>
        <v/>
      </c>
      <c r="Q119" s="122"/>
      <c r="R119" s="180"/>
      <c r="S119" s="121">
        <f t="shared" si="125"/>
        <v>0</v>
      </c>
      <c r="T119" s="181">
        <v>23</v>
      </c>
      <c r="U119" s="125">
        <f t="shared" si="126"/>
        <v>57.960000000000008</v>
      </c>
      <c r="V119" s="9" t="str">
        <f t="shared" si="11"/>
        <v/>
      </c>
      <c r="W119" s="9" t="str">
        <f t="shared" si="12"/>
        <v/>
      </c>
      <c r="X119" s="9"/>
      <c r="Y119" s="9"/>
      <c r="Z119" s="9"/>
      <c r="AA119" s="9"/>
    </row>
    <row r="120" spans="1:27" ht="13.5" customHeight="1" outlineLevel="1" x14ac:dyDescent="0.25">
      <c r="A120" s="366"/>
      <c r="B120" s="53" t="s">
        <v>96</v>
      </c>
      <c r="C120" s="175">
        <v>2.5000000000000001E-2</v>
      </c>
      <c r="D120" s="176">
        <v>0.1</v>
      </c>
      <c r="E120" s="121">
        <v>2.5</v>
      </c>
      <c r="F120" s="112">
        <f t="shared" si="116"/>
        <v>6.2500000000000012E-3</v>
      </c>
      <c r="G120" s="112">
        <f t="shared" si="117"/>
        <v>0.25</v>
      </c>
      <c r="H120" s="177">
        <v>205.71</v>
      </c>
      <c r="I120" s="114">
        <f t="shared" si="127"/>
        <v>240</v>
      </c>
      <c r="J120" s="115">
        <f t="shared" si="119"/>
        <v>1.8000000000000003</v>
      </c>
      <c r="K120" s="116">
        <f t="shared" si="120"/>
        <v>7.2000000000000011</v>
      </c>
      <c r="L120" s="117">
        <f t="shared" si="128"/>
        <v>6738</v>
      </c>
      <c r="M120" s="178">
        <f t="shared" si="122"/>
        <v>42.112500000000011</v>
      </c>
      <c r="N120" s="119">
        <f t="shared" si="123"/>
        <v>1684.5</v>
      </c>
      <c r="O120" s="182">
        <v>80</v>
      </c>
      <c r="P120" s="121">
        <f t="shared" si="124"/>
        <v>0.50000000000000011</v>
      </c>
      <c r="Q120" s="122">
        <v>144</v>
      </c>
      <c r="R120" s="180"/>
      <c r="S120" s="121">
        <f t="shared" si="125"/>
        <v>0</v>
      </c>
      <c r="T120" s="181">
        <v>6818</v>
      </c>
      <c r="U120" s="125">
        <f t="shared" si="126"/>
        <v>12128.400000000001</v>
      </c>
      <c r="V120" s="9">
        <f t="shared" si="11"/>
        <v>41.144999999999982</v>
      </c>
      <c r="W120" s="9">
        <f t="shared" si="12"/>
        <v>102.85500000000003</v>
      </c>
      <c r="X120" s="9"/>
      <c r="Y120" s="9"/>
      <c r="Z120" s="9"/>
      <c r="AA120" s="9"/>
    </row>
    <row r="121" spans="1:27" ht="13.5" customHeight="1" outlineLevel="1" x14ac:dyDescent="0.25">
      <c r="A121" s="366"/>
      <c r="B121" s="53"/>
      <c r="C121" s="175">
        <v>2.5000000000000001E-2</v>
      </c>
      <c r="D121" s="176">
        <v>0.1</v>
      </c>
      <c r="E121" s="121">
        <v>3</v>
      </c>
      <c r="F121" s="112">
        <f t="shared" si="116"/>
        <v>7.5000000000000015E-3</v>
      </c>
      <c r="G121" s="112">
        <f t="shared" si="117"/>
        <v>0.30000000000000004</v>
      </c>
      <c r="H121" s="177">
        <v>240</v>
      </c>
      <c r="I121" s="114">
        <f t="shared" si="127"/>
        <v>280</v>
      </c>
      <c r="J121" s="115">
        <f t="shared" si="119"/>
        <v>2.5200000000000005</v>
      </c>
      <c r="K121" s="116">
        <f t="shared" si="120"/>
        <v>8.4</v>
      </c>
      <c r="L121" s="117">
        <f t="shared" si="128"/>
        <v>271</v>
      </c>
      <c r="M121" s="178">
        <f t="shared" si="122"/>
        <v>2.0325000000000002</v>
      </c>
      <c r="N121" s="119">
        <f t="shared" si="123"/>
        <v>81.300000000000011</v>
      </c>
      <c r="O121" s="182">
        <v>44</v>
      </c>
      <c r="P121" s="121">
        <f t="shared" si="124"/>
        <v>0.33000000000000007</v>
      </c>
      <c r="Q121" s="122">
        <v>92</v>
      </c>
      <c r="R121" s="180"/>
      <c r="S121" s="121">
        <f t="shared" si="125"/>
        <v>0</v>
      </c>
      <c r="T121" s="181">
        <v>315</v>
      </c>
      <c r="U121" s="125">
        <f t="shared" si="126"/>
        <v>682.92000000000007</v>
      </c>
      <c r="V121" s="9">
        <f t="shared" si="11"/>
        <v>12.799999999999983</v>
      </c>
      <c r="W121" s="9">
        <f t="shared" si="12"/>
        <v>79.200000000000017</v>
      </c>
      <c r="X121" s="9"/>
      <c r="Y121" s="9"/>
      <c r="Z121" s="9"/>
      <c r="AA121" s="9"/>
    </row>
    <row r="122" spans="1:27" ht="13.5" customHeight="1" outlineLevel="1" x14ac:dyDescent="0.25">
      <c r="A122" s="366"/>
      <c r="B122" s="53"/>
      <c r="C122" s="175">
        <v>2.5000000000000001E-2</v>
      </c>
      <c r="D122" s="176">
        <v>0.1</v>
      </c>
      <c r="E122" s="121">
        <v>3.6</v>
      </c>
      <c r="F122" s="112">
        <f t="shared" si="116"/>
        <v>9.0000000000000028E-3</v>
      </c>
      <c r="G122" s="112">
        <f t="shared" si="117"/>
        <v>0.36000000000000004</v>
      </c>
      <c r="H122" s="177">
        <v>240</v>
      </c>
      <c r="I122" s="114">
        <f t="shared" si="127"/>
        <v>280</v>
      </c>
      <c r="J122" s="115">
        <f t="shared" si="119"/>
        <v>3.0240000000000009</v>
      </c>
      <c r="K122" s="116">
        <f t="shared" si="120"/>
        <v>8.4000000000000021</v>
      </c>
      <c r="L122" s="117">
        <f t="shared" si="128"/>
        <v>163</v>
      </c>
      <c r="M122" s="178">
        <f t="shared" si="122"/>
        <v>1.4670000000000005</v>
      </c>
      <c r="N122" s="119">
        <f t="shared" si="123"/>
        <v>58.680000000000007</v>
      </c>
      <c r="O122" s="182">
        <v>25</v>
      </c>
      <c r="P122" s="121">
        <f t="shared" si="124"/>
        <v>0.22500000000000006</v>
      </c>
      <c r="Q122" s="122">
        <v>75</v>
      </c>
      <c r="R122" s="180"/>
      <c r="S122" s="121">
        <f t="shared" si="125"/>
        <v>0</v>
      </c>
      <c r="T122" s="181">
        <v>188</v>
      </c>
      <c r="U122" s="125">
        <f t="shared" si="126"/>
        <v>492.91200000000015</v>
      </c>
      <c r="V122" s="9">
        <f t="shared" si="11"/>
        <v>20.999999999999986</v>
      </c>
      <c r="W122" s="9">
        <f t="shared" si="12"/>
        <v>54.000000000000014</v>
      </c>
      <c r="X122" s="9"/>
      <c r="Y122" s="9"/>
      <c r="Z122" s="9"/>
      <c r="AA122" s="9"/>
    </row>
    <row r="123" spans="1:27" ht="13.5" customHeight="1" outlineLevel="1" x14ac:dyDescent="0.25">
      <c r="A123" s="366"/>
      <c r="B123" s="53" t="s">
        <v>95</v>
      </c>
      <c r="C123" s="175">
        <v>2.5000000000000001E-2</v>
      </c>
      <c r="D123" s="176">
        <v>0.1</v>
      </c>
      <c r="E123" s="121">
        <v>4.8</v>
      </c>
      <c r="F123" s="112">
        <f t="shared" si="116"/>
        <v>1.2000000000000002E-2</v>
      </c>
      <c r="G123" s="112">
        <f t="shared" si="117"/>
        <v>0.48</v>
      </c>
      <c r="H123" s="177">
        <v>240</v>
      </c>
      <c r="I123" s="114">
        <f t="shared" si="127"/>
        <v>280</v>
      </c>
      <c r="J123" s="115">
        <f t="shared" si="119"/>
        <v>4.0320000000000009</v>
      </c>
      <c r="K123" s="116">
        <f t="shared" si="120"/>
        <v>8.4000000000000021</v>
      </c>
      <c r="L123" s="117">
        <f t="shared" si="128"/>
        <v>87</v>
      </c>
      <c r="M123" s="178">
        <f t="shared" si="122"/>
        <v>1.0440000000000003</v>
      </c>
      <c r="N123" s="119">
        <f t="shared" si="123"/>
        <v>41.76</v>
      </c>
      <c r="O123" s="182"/>
      <c r="P123" s="121" t="str">
        <f t="shared" si="124"/>
        <v/>
      </c>
      <c r="Q123" s="122"/>
      <c r="R123" s="180"/>
      <c r="S123" s="121">
        <f t="shared" si="125"/>
        <v>0</v>
      </c>
      <c r="T123" s="181">
        <v>87</v>
      </c>
      <c r="U123" s="125">
        <f t="shared" si="126"/>
        <v>350.78400000000011</v>
      </c>
      <c r="V123" s="9" t="str">
        <f t="shared" si="11"/>
        <v/>
      </c>
      <c r="W123" s="9" t="str">
        <f t="shared" si="12"/>
        <v/>
      </c>
      <c r="X123" s="9"/>
      <c r="Y123" s="9"/>
      <c r="Z123" s="9"/>
      <c r="AA123" s="9"/>
    </row>
    <row r="124" spans="1:27" ht="13.5" customHeight="1" outlineLevel="1" x14ac:dyDescent="0.25">
      <c r="A124" s="366"/>
      <c r="B124" s="53"/>
      <c r="C124" s="175">
        <v>2.5000000000000001E-2</v>
      </c>
      <c r="D124" s="176">
        <v>0.1</v>
      </c>
      <c r="E124" s="121">
        <v>6</v>
      </c>
      <c r="F124" s="112">
        <f t="shared" si="116"/>
        <v>1.5000000000000003E-2</v>
      </c>
      <c r="G124" s="112">
        <f t="shared" si="117"/>
        <v>0.60000000000000009</v>
      </c>
      <c r="H124" s="177">
        <v>240</v>
      </c>
      <c r="I124" s="114">
        <f t="shared" si="127"/>
        <v>280</v>
      </c>
      <c r="J124" s="115">
        <f t="shared" si="119"/>
        <v>5.0400000000000009</v>
      </c>
      <c r="K124" s="116">
        <f t="shared" si="120"/>
        <v>8.4</v>
      </c>
      <c r="L124" s="325">
        <f t="shared" si="128"/>
        <v>0</v>
      </c>
      <c r="M124" s="178">
        <f t="shared" si="122"/>
        <v>0</v>
      </c>
      <c r="N124" s="119">
        <f t="shared" si="123"/>
        <v>0</v>
      </c>
      <c r="O124" s="182"/>
      <c r="P124" s="121" t="str">
        <f t="shared" si="124"/>
        <v/>
      </c>
      <c r="Q124" s="122"/>
      <c r="R124" s="180"/>
      <c r="S124" s="121">
        <f t="shared" si="125"/>
        <v>0</v>
      </c>
      <c r="T124" s="181">
        <v>0</v>
      </c>
      <c r="U124" s="125">
        <f t="shared" si="126"/>
        <v>0</v>
      </c>
      <c r="V124" s="9" t="str">
        <f t="shared" si="11"/>
        <v/>
      </c>
      <c r="W124" s="9" t="str">
        <f t="shared" si="12"/>
        <v/>
      </c>
      <c r="X124" s="9"/>
      <c r="Y124" s="9"/>
      <c r="Z124" s="9"/>
      <c r="AA124" s="9"/>
    </row>
    <row r="125" spans="1:27" ht="13.5" customHeight="1" outlineLevel="1" x14ac:dyDescent="0.25">
      <c r="A125" s="366"/>
      <c r="B125" s="53" t="s">
        <v>97</v>
      </c>
      <c r="C125" s="175">
        <v>2.5000000000000001E-2</v>
      </c>
      <c r="D125" s="176">
        <v>0.15</v>
      </c>
      <c r="E125" s="121">
        <v>3.6</v>
      </c>
      <c r="F125" s="112">
        <f t="shared" si="116"/>
        <v>1.35E-2</v>
      </c>
      <c r="G125" s="112">
        <f t="shared" si="117"/>
        <v>0.54</v>
      </c>
      <c r="H125" s="177">
        <v>240</v>
      </c>
      <c r="I125" s="114">
        <f>ROUND(H125*1.1667,0)*0.9</f>
        <v>252</v>
      </c>
      <c r="J125" s="115">
        <f>ROUND((I125*0.873)*1.21,0)*(C125*D125*E125)</f>
        <v>3.5909999999999997</v>
      </c>
      <c r="K125" s="116">
        <f t="shared" si="120"/>
        <v>6.6499999999999995</v>
      </c>
      <c r="L125" s="117">
        <f t="shared" si="128"/>
        <v>44</v>
      </c>
      <c r="M125" s="178">
        <f t="shared" si="122"/>
        <v>0.59399999999999997</v>
      </c>
      <c r="N125" s="119">
        <f t="shared" si="123"/>
        <v>23.76</v>
      </c>
      <c r="O125" s="182"/>
      <c r="P125" s="121" t="str">
        <f t="shared" si="124"/>
        <v/>
      </c>
      <c r="Q125" s="122"/>
      <c r="R125" s="180"/>
      <c r="S125" s="121">
        <f t="shared" si="125"/>
        <v>0</v>
      </c>
      <c r="T125" s="181">
        <v>44</v>
      </c>
      <c r="U125" s="125">
        <f t="shared" si="126"/>
        <v>158.00399999999999</v>
      </c>
      <c r="V125" s="9" t="str">
        <f t="shared" si="11"/>
        <v/>
      </c>
      <c r="W125" s="9" t="str">
        <f t="shared" si="12"/>
        <v/>
      </c>
      <c r="X125" s="9"/>
      <c r="Y125" s="9"/>
      <c r="Z125" s="9"/>
      <c r="AA125" s="9"/>
    </row>
    <row r="126" spans="1:27" ht="13.5" customHeight="1" outlineLevel="1" x14ac:dyDescent="0.25">
      <c r="A126" s="366"/>
      <c r="B126" s="53"/>
      <c r="C126" s="175">
        <v>2.5000000000000001E-2</v>
      </c>
      <c r="D126" s="176">
        <v>0.15</v>
      </c>
      <c r="E126" s="121">
        <v>4.8</v>
      </c>
      <c r="F126" s="112">
        <f t="shared" si="116"/>
        <v>1.7999999999999999E-2</v>
      </c>
      <c r="G126" s="112">
        <f t="shared" si="117"/>
        <v>0.72</v>
      </c>
      <c r="H126" s="177">
        <v>240</v>
      </c>
      <c r="I126" s="114">
        <f t="shared" ref="I126:I127" si="129">ROUND(H126*1.1667,0)</f>
        <v>280</v>
      </c>
      <c r="J126" s="115">
        <f t="shared" ref="J126:J127" si="130">ROUND((I126*0.992)*1.21,0)*(C126*D126*E126)</f>
        <v>6.0479999999999992</v>
      </c>
      <c r="K126" s="116">
        <f t="shared" si="120"/>
        <v>8.3999999999999986</v>
      </c>
      <c r="L126" s="117">
        <v>109</v>
      </c>
      <c r="M126" s="178">
        <f t="shared" si="122"/>
        <v>1.9619999999999997</v>
      </c>
      <c r="N126" s="119">
        <f t="shared" si="123"/>
        <v>78.48</v>
      </c>
      <c r="O126" s="182"/>
      <c r="P126" s="121" t="str">
        <f t="shared" si="124"/>
        <v/>
      </c>
      <c r="Q126" s="122"/>
      <c r="R126" s="180"/>
      <c r="S126" s="121">
        <f t="shared" si="125"/>
        <v>0</v>
      </c>
      <c r="T126" s="181">
        <v>109</v>
      </c>
      <c r="U126" s="125">
        <f t="shared" si="126"/>
        <v>659.23199999999986</v>
      </c>
      <c r="V126" s="9" t="str">
        <f t="shared" si="11"/>
        <v/>
      </c>
      <c r="W126" s="9" t="str">
        <f t="shared" si="12"/>
        <v/>
      </c>
      <c r="X126" s="9"/>
      <c r="Y126" s="9"/>
      <c r="Z126" s="9"/>
      <c r="AA126" s="9"/>
    </row>
    <row r="127" spans="1:27" ht="13.5" customHeight="1" outlineLevel="1" x14ac:dyDescent="0.25">
      <c r="A127" s="366"/>
      <c r="B127" s="53"/>
      <c r="C127" s="175">
        <v>2.5000000000000001E-2</v>
      </c>
      <c r="D127" s="176">
        <v>0.15</v>
      </c>
      <c r="E127" s="121">
        <v>6</v>
      </c>
      <c r="F127" s="112">
        <f t="shared" si="116"/>
        <v>2.2499999999999999E-2</v>
      </c>
      <c r="G127" s="112">
        <f t="shared" si="117"/>
        <v>0.89999999999999991</v>
      </c>
      <c r="H127" s="177">
        <v>240</v>
      </c>
      <c r="I127" s="114">
        <f t="shared" si="129"/>
        <v>280</v>
      </c>
      <c r="J127" s="115">
        <f t="shared" si="130"/>
        <v>7.56</v>
      </c>
      <c r="K127" s="116">
        <f t="shared" si="120"/>
        <v>8.4</v>
      </c>
      <c r="L127" s="117">
        <f t="shared" ref="L127:L172" si="131">T127+R127-O127</f>
        <v>140</v>
      </c>
      <c r="M127" s="178">
        <f t="shared" si="122"/>
        <v>3.15</v>
      </c>
      <c r="N127" s="119">
        <f t="shared" si="123"/>
        <v>125.99999999999999</v>
      </c>
      <c r="O127" s="182"/>
      <c r="P127" s="121" t="str">
        <f t="shared" si="124"/>
        <v/>
      </c>
      <c r="Q127" s="122"/>
      <c r="R127" s="180"/>
      <c r="S127" s="121">
        <f t="shared" si="125"/>
        <v>0</v>
      </c>
      <c r="T127" s="181">
        <v>140</v>
      </c>
      <c r="U127" s="125">
        <f t="shared" si="126"/>
        <v>1058.3999999999999</v>
      </c>
      <c r="V127" s="9"/>
      <c r="W127" s="9" t="str">
        <f t="shared" si="12"/>
        <v/>
      </c>
      <c r="X127" s="9"/>
      <c r="Y127" s="9"/>
      <c r="Z127" s="9"/>
      <c r="AA127" s="9"/>
    </row>
    <row r="128" spans="1:27" ht="13.5" customHeight="1" outlineLevel="1" x14ac:dyDescent="0.25">
      <c r="A128" s="366"/>
      <c r="B128" s="53" t="s">
        <v>95</v>
      </c>
      <c r="C128" s="175">
        <v>2.5000000000000001E-2</v>
      </c>
      <c r="D128" s="176">
        <v>0.15</v>
      </c>
      <c r="E128" s="121">
        <v>6</v>
      </c>
      <c r="F128" s="112">
        <f t="shared" si="116"/>
        <v>2.2499999999999999E-2</v>
      </c>
      <c r="G128" s="112">
        <f t="shared" si="117"/>
        <v>0.89999999999999991</v>
      </c>
      <c r="H128" s="177">
        <v>257.2</v>
      </c>
      <c r="I128" s="114">
        <f>ROUND(H128*1.1667,0)*0.88</f>
        <v>264</v>
      </c>
      <c r="J128" s="115">
        <f>ROUND((I128*0.88)*1.21,0)*(C128*D128*E128)</f>
        <v>6.3224999999999998</v>
      </c>
      <c r="K128" s="116">
        <f t="shared" si="120"/>
        <v>7.0250000000000004</v>
      </c>
      <c r="L128" s="117">
        <f t="shared" si="131"/>
        <v>37</v>
      </c>
      <c r="M128" s="178">
        <f t="shared" si="122"/>
        <v>0.83250000000000002</v>
      </c>
      <c r="N128" s="119">
        <f t="shared" si="123"/>
        <v>33.299999999999997</v>
      </c>
      <c r="O128" s="182"/>
      <c r="P128" s="121" t="str">
        <f t="shared" si="124"/>
        <v/>
      </c>
      <c r="Q128" s="122"/>
      <c r="R128" s="180"/>
      <c r="S128" s="121">
        <f t="shared" si="125"/>
        <v>0</v>
      </c>
      <c r="T128" s="181">
        <v>37</v>
      </c>
      <c r="U128" s="125">
        <f t="shared" si="126"/>
        <v>233.9325</v>
      </c>
      <c r="V128" s="9" t="str">
        <f t="shared" ref="V128:V129" si="132">IF(O128="","",Q128-(O128*(H128*F128)))</f>
        <v/>
      </c>
      <c r="W128" s="9" t="str">
        <f t="shared" si="12"/>
        <v/>
      </c>
      <c r="X128" s="9"/>
      <c r="Y128" s="9"/>
      <c r="Z128" s="9"/>
      <c r="AA128" s="9"/>
    </row>
    <row r="129" spans="1:27" ht="13.5" customHeight="1" outlineLevel="1" x14ac:dyDescent="0.25">
      <c r="A129" s="366"/>
      <c r="B129" s="53" t="s">
        <v>98</v>
      </c>
      <c r="C129" s="175">
        <v>0.05</v>
      </c>
      <c r="D129" s="176">
        <v>0.05</v>
      </c>
      <c r="E129" s="121">
        <v>1</v>
      </c>
      <c r="F129" s="112">
        <f t="shared" si="116"/>
        <v>2.5000000000000005E-3</v>
      </c>
      <c r="G129" s="112">
        <f t="shared" si="117"/>
        <v>0.05</v>
      </c>
      <c r="H129" s="177">
        <v>240</v>
      </c>
      <c r="I129" s="114">
        <f>ROUND(H129*1.1667,0)*0.9</f>
        <v>252</v>
      </c>
      <c r="J129" s="115">
        <f>ROUND((I129*0.873)*1.21,0)*(C129*D129*E129)</f>
        <v>0.66500000000000015</v>
      </c>
      <c r="K129" s="116">
        <f t="shared" si="120"/>
        <v>13.300000000000002</v>
      </c>
      <c r="L129" s="117">
        <f t="shared" si="131"/>
        <v>55</v>
      </c>
      <c r="M129" s="178">
        <f t="shared" si="122"/>
        <v>0.13750000000000004</v>
      </c>
      <c r="N129" s="119">
        <f t="shared" si="123"/>
        <v>2.75</v>
      </c>
      <c r="O129" s="179"/>
      <c r="P129" s="121" t="str">
        <f t="shared" si="124"/>
        <v/>
      </c>
      <c r="Q129" s="122"/>
      <c r="R129" s="180"/>
      <c r="S129" s="121">
        <f t="shared" si="125"/>
        <v>0</v>
      </c>
      <c r="T129" s="181">
        <v>55</v>
      </c>
      <c r="U129" s="125">
        <f t="shared" si="126"/>
        <v>36.57500000000001</v>
      </c>
      <c r="V129" s="9" t="str">
        <f t="shared" si="132"/>
        <v/>
      </c>
      <c r="W129" s="9" t="str">
        <f t="shared" si="12"/>
        <v/>
      </c>
      <c r="X129" s="9"/>
      <c r="Y129" s="9"/>
      <c r="Z129" s="9"/>
      <c r="AA129" s="9"/>
    </row>
    <row r="130" spans="1:27" ht="13.5" customHeight="1" outlineLevel="1" x14ac:dyDescent="0.25">
      <c r="A130" s="366"/>
      <c r="B130" s="53"/>
      <c r="C130" s="175">
        <v>0.05</v>
      </c>
      <c r="D130" s="176">
        <v>0.05</v>
      </c>
      <c r="E130" s="121">
        <v>3</v>
      </c>
      <c r="F130" s="112">
        <f t="shared" si="116"/>
        <v>7.5000000000000015E-3</v>
      </c>
      <c r="G130" s="112">
        <f t="shared" si="117"/>
        <v>0.15000000000000002</v>
      </c>
      <c r="H130" s="177">
        <v>283</v>
      </c>
      <c r="I130" s="114">
        <f t="shared" ref="I130:I135" si="133">ROUND(H130*1.1667,0)</f>
        <v>330</v>
      </c>
      <c r="J130" s="115">
        <f t="shared" ref="J130:J136" si="134">ROUND((I130*0.992)*1.21,0)*(C130*D130*E130)</f>
        <v>2.9700000000000006</v>
      </c>
      <c r="K130" s="116">
        <f t="shared" si="120"/>
        <v>19.8</v>
      </c>
      <c r="L130" s="325">
        <f t="shared" si="131"/>
        <v>2</v>
      </c>
      <c r="M130" s="178">
        <f t="shared" si="122"/>
        <v>1.5000000000000003E-2</v>
      </c>
      <c r="N130" s="119">
        <f t="shared" si="123"/>
        <v>0.30000000000000004</v>
      </c>
      <c r="O130" s="182"/>
      <c r="P130" s="121" t="str">
        <f t="shared" si="124"/>
        <v/>
      </c>
      <c r="Q130" s="122"/>
      <c r="R130" s="180">
        <v>2</v>
      </c>
      <c r="S130" s="121">
        <f t="shared" si="125"/>
        <v>1.5000000000000003E-2</v>
      </c>
      <c r="T130" s="181">
        <v>0</v>
      </c>
      <c r="U130" s="125">
        <f t="shared" si="126"/>
        <v>5.9400000000000013</v>
      </c>
      <c r="V130" s="9"/>
      <c r="W130" s="9"/>
      <c r="X130" s="9"/>
      <c r="Y130" s="9"/>
      <c r="Z130" s="9"/>
      <c r="AA130" s="9"/>
    </row>
    <row r="131" spans="1:27" ht="13.5" customHeight="1" outlineLevel="1" x14ac:dyDescent="0.25">
      <c r="A131" s="366"/>
      <c r="B131" s="53"/>
      <c r="C131" s="175">
        <v>0.05</v>
      </c>
      <c r="D131" s="176">
        <v>0.05</v>
      </c>
      <c r="E131" s="121">
        <v>3.7</v>
      </c>
      <c r="F131" s="112">
        <f t="shared" si="116"/>
        <v>9.250000000000003E-3</v>
      </c>
      <c r="G131" s="112">
        <f t="shared" si="117"/>
        <v>0.18500000000000003</v>
      </c>
      <c r="H131" s="177">
        <v>283</v>
      </c>
      <c r="I131" s="114">
        <f t="shared" si="133"/>
        <v>330</v>
      </c>
      <c r="J131" s="115">
        <f t="shared" si="134"/>
        <v>3.6630000000000011</v>
      </c>
      <c r="K131" s="116">
        <f t="shared" si="120"/>
        <v>19.800000000000004</v>
      </c>
      <c r="L131" s="117">
        <f t="shared" si="131"/>
        <v>9</v>
      </c>
      <c r="M131" s="178">
        <f t="shared" si="122"/>
        <v>8.3250000000000032E-2</v>
      </c>
      <c r="N131" s="119">
        <f t="shared" si="123"/>
        <v>1.6650000000000003</v>
      </c>
      <c r="O131" s="182">
        <v>40</v>
      </c>
      <c r="P131" s="121">
        <f t="shared" si="124"/>
        <v>0.37000000000000011</v>
      </c>
      <c r="Q131" s="122">
        <v>146</v>
      </c>
      <c r="R131" s="180">
        <v>49</v>
      </c>
      <c r="S131" s="121">
        <f t="shared" si="125"/>
        <v>0.45325000000000015</v>
      </c>
      <c r="T131" s="181">
        <v>0</v>
      </c>
      <c r="U131" s="125">
        <f t="shared" si="126"/>
        <v>32.967000000000013</v>
      </c>
      <c r="V131" s="9"/>
      <c r="W131" s="9"/>
      <c r="X131" s="9"/>
      <c r="Y131" s="9"/>
      <c r="Z131" s="9"/>
      <c r="AA131" s="9"/>
    </row>
    <row r="132" spans="1:27" ht="13.5" customHeight="1" outlineLevel="1" x14ac:dyDescent="0.25">
      <c r="A132" s="366"/>
      <c r="B132" s="53"/>
      <c r="C132" s="175">
        <v>0.05</v>
      </c>
      <c r="D132" s="176">
        <v>0.05</v>
      </c>
      <c r="E132" s="121">
        <v>6</v>
      </c>
      <c r="F132" s="112">
        <f t="shared" si="116"/>
        <v>1.5000000000000003E-2</v>
      </c>
      <c r="G132" s="112">
        <f t="shared" si="117"/>
        <v>0.30000000000000004</v>
      </c>
      <c r="H132" s="177">
        <v>283</v>
      </c>
      <c r="I132" s="114">
        <f t="shared" si="133"/>
        <v>330</v>
      </c>
      <c r="J132" s="115">
        <f t="shared" si="134"/>
        <v>5.9400000000000013</v>
      </c>
      <c r="K132" s="116">
        <f t="shared" si="120"/>
        <v>19.8</v>
      </c>
      <c r="L132" s="117">
        <f t="shared" si="131"/>
        <v>84</v>
      </c>
      <c r="M132" s="178">
        <f t="shared" si="122"/>
        <v>1.2600000000000002</v>
      </c>
      <c r="N132" s="119">
        <f t="shared" si="123"/>
        <v>25.200000000000003</v>
      </c>
      <c r="O132" s="182"/>
      <c r="P132" s="121" t="str">
        <f t="shared" si="124"/>
        <v/>
      </c>
      <c r="Q132" s="122"/>
      <c r="R132" s="180">
        <v>84</v>
      </c>
      <c r="S132" s="121">
        <f t="shared" si="125"/>
        <v>1.2600000000000002</v>
      </c>
      <c r="T132" s="181">
        <v>0</v>
      </c>
      <c r="U132" s="125">
        <f t="shared" si="126"/>
        <v>498.96000000000009</v>
      </c>
      <c r="V132" s="9" t="str">
        <f t="shared" ref="V132:V134" si="135">IF(O132="","",Q132-(O132*(H132*F132)))</f>
        <v/>
      </c>
      <c r="W132" s="9" t="str">
        <f t="shared" ref="W132:W134" si="136">IF(O132="","",(P132*H132))</f>
        <v/>
      </c>
      <c r="X132" s="9"/>
      <c r="Y132" s="9"/>
      <c r="Z132" s="9"/>
      <c r="AA132" s="9"/>
    </row>
    <row r="133" spans="1:27" ht="13.5" customHeight="1" outlineLevel="1" x14ac:dyDescent="0.25">
      <c r="A133" s="366"/>
      <c r="B133" s="53"/>
      <c r="C133" s="175">
        <v>0.05</v>
      </c>
      <c r="D133" s="176">
        <v>0.1</v>
      </c>
      <c r="E133" s="121">
        <v>3.6</v>
      </c>
      <c r="F133" s="112">
        <f t="shared" si="116"/>
        <v>1.8000000000000006E-2</v>
      </c>
      <c r="G133" s="112">
        <f t="shared" si="117"/>
        <v>0.36000000000000004</v>
      </c>
      <c r="H133" s="177">
        <v>240</v>
      </c>
      <c r="I133" s="114">
        <f t="shared" si="133"/>
        <v>280</v>
      </c>
      <c r="J133" s="115">
        <f t="shared" si="134"/>
        <v>6.0480000000000018</v>
      </c>
      <c r="K133" s="116">
        <f t="shared" si="120"/>
        <v>16.800000000000004</v>
      </c>
      <c r="L133" s="117">
        <f t="shared" si="131"/>
        <v>88</v>
      </c>
      <c r="M133" s="178">
        <f t="shared" si="122"/>
        <v>1.5840000000000005</v>
      </c>
      <c r="N133" s="119">
        <f t="shared" si="123"/>
        <v>31.680000000000003</v>
      </c>
      <c r="O133" s="182"/>
      <c r="P133" s="121" t="str">
        <f t="shared" si="124"/>
        <v/>
      </c>
      <c r="Q133" s="122"/>
      <c r="R133" s="180"/>
      <c r="S133" s="121">
        <f t="shared" si="125"/>
        <v>0</v>
      </c>
      <c r="T133" s="181">
        <v>88</v>
      </c>
      <c r="U133" s="125">
        <f t="shared" si="126"/>
        <v>532.22400000000016</v>
      </c>
      <c r="V133" s="9" t="str">
        <f t="shared" si="135"/>
        <v/>
      </c>
      <c r="W133" s="9" t="str">
        <f t="shared" si="136"/>
        <v/>
      </c>
      <c r="X133" s="9"/>
      <c r="Y133" s="9"/>
      <c r="Z133" s="9"/>
      <c r="AA133" s="9"/>
    </row>
    <row r="134" spans="1:27" ht="13.5" customHeight="1" outlineLevel="1" x14ac:dyDescent="0.25">
      <c r="A134" s="366"/>
      <c r="B134" s="53"/>
      <c r="C134" s="175">
        <v>0.05</v>
      </c>
      <c r="D134" s="176">
        <v>0.1</v>
      </c>
      <c r="E134" s="121">
        <v>4.9000000000000004</v>
      </c>
      <c r="F134" s="112">
        <f t="shared" si="116"/>
        <v>2.4500000000000008E-2</v>
      </c>
      <c r="G134" s="112">
        <f t="shared" si="117"/>
        <v>0.49000000000000005</v>
      </c>
      <c r="H134" s="177">
        <v>240</v>
      </c>
      <c r="I134" s="114">
        <f t="shared" si="133"/>
        <v>280</v>
      </c>
      <c r="J134" s="115">
        <f t="shared" si="134"/>
        <v>8.2320000000000029</v>
      </c>
      <c r="K134" s="116">
        <f t="shared" si="120"/>
        <v>16.800000000000004</v>
      </c>
      <c r="L134" s="117">
        <f t="shared" si="131"/>
        <v>312</v>
      </c>
      <c r="M134" s="178">
        <f t="shared" si="122"/>
        <v>7.6440000000000028</v>
      </c>
      <c r="N134" s="119">
        <f t="shared" si="123"/>
        <v>152.88000000000002</v>
      </c>
      <c r="O134" s="182"/>
      <c r="P134" s="121" t="str">
        <f t="shared" si="124"/>
        <v/>
      </c>
      <c r="Q134" s="122"/>
      <c r="R134" s="180"/>
      <c r="S134" s="121">
        <f t="shared" si="125"/>
        <v>0</v>
      </c>
      <c r="T134" s="181">
        <v>312</v>
      </c>
      <c r="U134" s="125">
        <f t="shared" si="126"/>
        <v>2568.3840000000009</v>
      </c>
      <c r="V134" s="9" t="str">
        <f t="shared" si="135"/>
        <v/>
      </c>
      <c r="W134" s="9" t="str">
        <f t="shared" si="136"/>
        <v/>
      </c>
      <c r="X134" s="9"/>
      <c r="Y134" s="9"/>
      <c r="Z134" s="9"/>
      <c r="AA134" s="9"/>
    </row>
    <row r="135" spans="1:27" ht="13.5" customHeight="1" outlineLevel="1" x14ac:dyDescent="0.25">
      <c r="A135" s="366"/>
      <c r="B135" s="53"/>
      <c r="C135" s="175">
        <v>0.05</v>
      </c>
      <c r="D135" s="176">
        <v>0.1</v>
      </c>
      <c r="E135" s="121">
        <v>6</v>
      </c>
      <c r="F135" s="112">
        <f t="shared" si="116"/>
        <v>3.0000000000000006E-2</v>
      </c>
      <c r="G135" s="112">
        <f t="shared" si="117"/>
        <v>0.60000000000000009</v>
      </c>
      <c r="H135" s="177">
        <v>240</v>
      </c>
      <c r="I135" s="114">
        <f t="shared" si="133"/>
        <v>280</v>
      </c>
      <c r="J135" s="115">
        <f t="shared" si="134"/>
        <v>10.080000000000002</v>
      </c>
      <c r="K135" s="116">
        <f t="shared" si="120"/>
        <v>16.8</v>
      </c>
      <c r="L135" s="117">
        <f t="shared" si="131"/>
        <v>68</v>
      </c>
      <c r="M135" s="178">
        <f t="shared" si="122"/>
        <v>2.0400000000000005</v>
      </c>
      <c r="N135" s="119">
        <f t="shared" si="123"/>
        <v>40.800000000000004</v>
      </c>
      <c r="O135" s="182"/>
      <c r="P135" s="121" t="str">
        <f t="shared" si="124"/>
        <v/>
      </c>
      <c r="Q135" s="122"/>
      <c r="R135" s="180"/>
      <c r="S135" s="121">
        <f t="shared" si="125"/>
        <v>0</v>
      </c>
      <c r="T135" s="181">
        <v>68</v>
      </c>
      <c r="U135" s="125">
        <f t="shared" si="126"/>
        <v>685.44000000000017</v>
      </c>
      <c r="V135" s="9"/>
      <c r="W135" s="9"/>
      <c r="X135" s="9"/>
      <c r="Y135" s="9"/>
      <c r="Z135" s="9"/>
      <c r="AA135" s="9"/>
    </row>
    <row r="136" spans="1:27" ht="13.5" customHeight="1" outlineLevel="1" x14ac:dyDescent="0.25">
      <c r="A136" s="366"/>
      <c r="B136" s="53" t="s">
        <v>98</v>
      </c>
      <c r="C136" s="175">
        <v>0.05</v>
      </c>
      <c r="D136" s="176">
        <v>0.1</v>
      </c>
      <c r="E136" s="121">
        <v>6</v>
      </c>
      <c r="F136" s="112">
        <f t="shared" si="116"/>
        <v>3.0000000000000006E-2</v>
      </c>
      <c r="G136" s="112">
        <f t="shared" si="117"/>
        <v>0.60000000000000009</v>
      </c>
      <c r="H136" s="177">
        <v>240</v>
      </c>
      <c r="I136" s="114">
        <f t="shared" ref="I136:I137" si="137">ROUND(H136*1.1667,0)*0.9</f>
        <v>252</v>
      </c>
      <c r="J136" s="115">
        <f t="shared" si="134"/>
        <v>9.0600000000000023</v>
      </c>
      <c r="K136" s="116">
        <f t="shared" si="120"/>
        <v>15.100000000000001</v>
      </c>
      <c r="L136" s="117">
        <f t="shared" si="131"/>
        <v>0</v>
      </c>
      <c r="M136" s="178">
        <f t="shared" si="122"/>
        <v>0</v>
      </c>
      <c r="N136" s="119">
        <f t="shared" si="123"/>
        <v>0</v>
      </c>
      <c r="O136" s="182"/>
      <c r="P136" s="121" t="str">
        <f t="shared" si="124"/>
        <v/>
      </c>
      <c r="Q136" s="122"/>
      <c r="R136" s="180"/>
      <c r="S136" s="121">
        <f t="shared" si="125"/>
        <v>0</v>
      </c>
      <c r="T136" s="181">
        <v>0</v>
      </c>
      <c r="U136" s="125">
        <f t="shared" si="126"/>
        <v>0</v>
      </c>
      <c r="V136" s="9" t="str">
        <f t="shared" ref="V136:V172" si="138">IF(O136="","",Q136-(O136*(H136*F136)))</f>
        <v/>
      </c>
      <c r="W136" s="9" t="str">
        <f t="shared" ref="W136:W191" si="139">IF(O136="","",(P136*H136))</f>
        <v/>
      </c>
      <c r="X136" s="9"/>
      <c r="Y136" s="9"/>
      <c r="Z136" s="9"/>
      <c r="AA136" s="9"/>
    </row>
    <row r="137" spans="1:27" ht="13.5" customHeight="1" outlineLevel="1" x14ac:dyDescent="0.25">
      <c r="A137" s="366"/>
      <c r="B137" s="53" t="s">
        <v>95</v>
      </c>
      <c r="C137" s="175">
        <v>0.05</v>
      </c>
      <c r="D137" s="176">
        <v>0.125</v>
      </c>
      <c r="E137" s="121">
        <v>6</v>
      </c>
      <c r="F137" s="112">
        <f t="shared" si="116"/>
        <v>3.7500000000000006E-2</v>
      </c>
      <c r="G137" s="112">
        <f t="shared" si="117"/>
        <v>0.75</v>
      </c>
      <c r="H137" s="177">
        <v>240</v>
      </c>
      <c r="I137" s="114">
        <f t="shared" si="137"/>
        <v>252</v>
      </c>
      <c r="J137" s="115">
        <f>ROUND((I137*0.873)*1.21,0)*(C137*D137*E137)</f>
        <v>9.9750000000000014</v>
      </c>
      <c r="K137" s="116">
        <f t="shared" si="120"/>
        <v>13.300000000000002</v>
      </c>
      <c r="L137" s="117">
        <f t="shared" si="131"/>
        <v>16</v>
      </c>
      <c r="M137" s="178">
        <f t="shared" si="122"/>
        <v>0.60000000000000009</v>
      </c>
      <c r="N137" s="119">
        <f t="shared" si="123"/>
        <v>12</v>
      </c>
      <c r="O137" s="182"/>
      <c r="P137" s="121" t="str">
        <f t="shared" si="124"/>
        <v/>
      </c>
      <c r="Q137" s="122"/>
      <c r="R137" s="180"/>
      <c r="S137" s="121">
        <f t="shared" si="125"/>
        <v>0</v>
      </c>
      <c r="T137" s="181">
        <v>16</v>
      </c>
      <c r="U137" s="125">
        <f t="shared" si="126"/>
        <v>159.60000000000002</v>
      </c>
      <c r="V137" s="9" t="str">
        <f t="shared" si="138"/>
        <v/>
      </c>
      <c r="W137" s="9" t="str">
        <f t="shared" si="139"/>
        <v/>
      </c>
      <c r="X137" s="9"/>
      <c r="Y137" s="9"/>
      <c r="Z137" s="9"/>
      <c r="AA137" s="9"/>
    </row>
    <row r="138" spans="1:27" ht="13.5" customHeight="1" outlineLevel="1" x14ac:dyDescent="0.25">
      <c r="A138" s="366"/>
      <c r="B138" s="53"/>
      <c r="C138" s="175">
        <v>0.05</v>
      </c>
      <c r="D138" s="176">
        <v>0.15</v>
      </c>
      <c r="E138" s="121">
        <v>3.7</v>
      </c>
      <c r="F138" s="112">
        <f t="shared" si="116"/>
        <v>2.775E-2</v>
      </c>
      <c r="G138" s="112">
        <f t="shared" si="117"/>
        <v>0.55500000000000005</v>
      </c>
      <c r="H138" s="177">
        <v>240</v>
      </c>
      <c r="I138" s="114">
        <f t="shared" ref="I138:I158" si="140">ROUND(H138*1.1667,0)</f>
        <v>280</v>
      </c>
      <c r="J138" s="115">
        <f t="shared" ref="J138:J158" si="141">ROUND((I138*0.992)*1.21,0)*(C138*D138*E138)</f>
        <v>9.3239999999999998</v>
      </c>
      <c r="K138" s="116">
        <f t="shared" si="120"/>
        <v>16.799999999999997</v>
      </c>
      <c r="L138" s="117">
        <f t="shared" si="131"/>
        <v>33</v>
      </c>
      <c r="M138" s="178">
        <f t="shared" si="122"/>
        <v>0.91575000000000006</v>
      </c>
      <c r="N138" s="119">
        <f t="shared" si="123"/>
        <v>18.315000000000001</v>
      </c>
      <c r="O138" s="182"/>
      <c r="P138" s="121" t="str">
        <f t="shared" si="124"/>
        <v/>
      </c>
      <c r="Q138" s="122"/>
      <c r="R138" s="180"/>
      <c r="S138" s="121">
        <f t="shared" si="125"/>
        <v>0</v>
      </c>
      <c r="T138" s="181">
        <v>33</v>
      </c>
      <c r="U138" s="125">
        <f t="shared" si="126"/>
        <v>307.69200000000001</v>
      </c>
      <c r="V138" s="9" t="str">
        <f t="shared" si="138"/>
        <v/>
      </c>
      <c r="W138" s="9" t="str">
        <f t="shared" si="139"/>
        <v/>
      </c>
      <c r="X138" s="9"/>
      <c r="Y138" s="9"/>
      <c r="Z138" s="9"/>
      <c r="AA138" s="9"/>
    </row>
    <row r="139" spans="1:27" ht="13.5" customHeight="1" outlineLevel="1" x14ac:dyDescent="0.25">
      <c r="A139" s="366"/>
      <c r="B139" s="53"/>
      <c r="C139" s="175">
        <v>0.05</v>
      </c>
      <c r="D139" s="176">
        <v>0.15</v>
      </c>
      <c r="E139" s="121">
        <v>4.9000000000000004</v>
      </c>
      <c r="F139" s="112">
        <f t="shared" si="116"/>
        <v>3.6749999999999998E-2</v>
      </c>
      <c r="G139" s="112">
        <f t="shared" si="117"/>
        <v>0.73499999999999999</v>
      </c>
      <c r="H139" s="177">
        <v>240</v>
      </c>
      <c r="I139" s="114">
        <f t="shared" si="140"/>
        <v>280</v>
      </c>
      <c r="J139" s="115">
        <f t="shared" si="141"/>
        <v>12.347999999999999</v>
      </c>
      <c r="K139" s="116">
        <f t="shared" si="120"/>
        <v>16.799999999999997</v>
      </c>
      <c r="L139" s="117">
        <f t="shared" si="131"/>
        <v>405</v>
      </c>
      <c r="M139" s="178">
        <f t="shared" si="122"/>
        <v>14.883749999999999</v>
      </c>
      <c r="N139" s="119">
        <f t="shared" si="123"/>
        <v>297.67500000000001</v>
      </c>
      <c r="O139" s="182"/>
      <c r="P139" s="121" t="str">
        <f t="shared" si="124"/>
        <v/>
      </c>
      <c r="Q139" s="122"/>
      <c r="R139" s="180"/>
      <c r="S139" s="121">
        <f t="shared" si="125"/>
        <v>0</v>
      </c>
      <c r="T139" s="181">
        <v>405</v>
      </c>
      <c r="U139" s="125">
        <f t="shared" si="126"/>
        <v>5000.9399999999996</v>
      </c>
      <c r="V139" s="9" t="str">
        <f t="shared" si="138"/>
        <v/>
      </c>
      <c r="W139" s="9" t="str">
        <f t="shared" si="139"/>
        <v/>
      </c>
      <c r="X139" s="9"/>
      <c r="Y139" s="9"/>
      <c r="Z139" s="9"/>
      <c r="AA139" s="9"/>
    </row>
    <row r="140" spans="1:27" ht="13.5" customHeight="1" outlineLevel="1" x14ac:dyDescent="0.25">
      <c r="A140" s="366"/>
      <c r="B140" s="53"/>
      <c r="C140" s="175">
        <v>0.05</v>
      </c>
      <c r="D140" s="176">
        <v>0.15</v>
      </c>
      <c r="E140" s="121">
        <v>6</v>
      </c>
      <c r="F140" s="112">
        <f t="shared" si="116"/>
        <v>4.4999999999999998E-2</v>
      </c>
      <c r="G140" s="112">
        <f t="shared" si="117"/>
        <v>0.89999999999999991</v>
      </c>
      <c r="H140" s="177">
        <v>240</v>
      </c>
      <c r="I140" s="114">
        <f t="shared" si="140"/>
        <v>280</v>
      </c>
      <c r="J140" s="115">
        <f t="shared" si="141"/>
        <v>15.12</v>
      </c>
      <c r="K140" s="116">
        <f t="shared" si="120"/>
        <v>16.8</v>
      </c>
      <c r="L140" s="117">
        <f t="shared" si="131"/>
        <v>853</v>
      </c>
      <c r="M140" s="178">
        <f t="shared" si="122"/>
        <v>38.384999999999998</v>
      </c>
      <c r="N140" s="119">
        <f t="shared" si="123"/>
        <v>767.69999999999993</v>
      </c>
      <c r="O140" s="182">
        <v>10</v>
      </c>
      <c r="P140" s="121">
        <f t="shared" si="124"/>
        <v>0.44999999999999996</v>
      </c>
      <c r="Q140" s="122">
        <v>126</v>
      </c>
      <c r="R140" s="180"/>
      <c r="S140" s="121">
        <f t="shared" si="125"/>
        <v>0</v>
      </c>
      <c r="T140" s="181">
        <v>863</v>
      </c>
      <c r="U140" s="125">
        <f t="shared" si="126"/>
        <v>12897.359999999999</v>
      </c>
      <c r="V140" s="9">
        <f t="shared" si="138"/>
        <v>18.000000000000014</v>
      </c>
      <c r="W140" s="9">
        <f t="shared" si="139"/>
        <v>107.99999999999999</v>
      </c>
      <c r="X140" s="9"/>
      <c r="Y140" s="9"/>
      <c r="Z140" s="9"/>
      <c r="AA140" s="9"/>
    </row>
    <row r="141" spans="1:27" ht="13.5" customHeight="1" outlineLevel="1" x14ac:dyDescent="0.25">
      <c r="A141" s="366"/>
      <c r="B141" s="53" t="s">
        <v>95</v>
      </c>
      <c r="C141" s="175">
        <v>0.05</v>
      </c>
      <c r="D141" s="176">
        <v>0.2</v>
      </c>
      <c r="E141" s="121">
        <v>3.7</v>
      </c>
      <c r="F141" s="112">
        <f t="shared" si="116"/>
        <v>3.7000000000000012E-2</v>
      </c>
      <c r="G141" s="112">
        <f t="shared" si="117"/>
        <v>0.7400000000000001</v>
      </c>
      <c r="H141" s="177">
        <v>240</v>
      </c>
      <c r="I141" s="114">
        <f t="shared" si="140"/>
        <v>280</v>
      </c>
      <c r="J141" s="115">
        <f t="shared" si="141"/>
        <v>12.432000000000004</v>
      </c>
      <c r="K141" s="243">
        <f t="shared" si="120"/>
        <v>16.800000000000004</v>
      </c>
      <c r="L141" s="117">
        <f t="shared" si="131"/>
        <v>16</v>
      </c>
      <c r="M141" s="178">
        <f t="shared" si="122"/>
        <v>0.59200000000000019</v>
      </c>
      <c r="N141" s="119">
        <f t="shared" si="123"/>
        <v>11.840000000000002</v>
      </c>
      <c r="O141" s="182"/>
      <c r="P141" s="121" t="str">
        <f t="shared" si="124"/>
        <v/>
      </c>
      <c r="Q141" s="122"/>
      <c r="R141" s="180"/>
      <c r="S141" s="121">
        <f t="shared" si="125"/>
        <v>0</v>
      </c>
      <c r="T141" s="181">
        <v>16</v>
      </c>
      <c r="U141" s="125">
        <f t="shared" si="126"/>
        <v>198.91200000000006</v>
      </c>
      <c r="V141" s="9" t="str">
        <f t="shared" si="138"/>
        <v/>
      </c>
      <c r="W141" s="9" t="str">
        <f t="shared" si="139"/>
        <v/>
      </c>
      <c r="X141" s="9"/>
      <c r="Y141" s="9"/>
      <c r="Z141" s="9"/>
      <c r="AA141" s="9"/>
    </row>
    <row r="142" spans="1:27" ht="13.5" customHeight="1" outlineLevel="1" x14ac:dyDescent="0.25">
      <c r="A142" s="366"/>
      <c r="B142" s="53" t="s">
        <v>95</v>
      </c>
      <c r="C142" s="175">
        <v>0.05</v>
      </c>
      <c r="D142" s="176">
        <v>0.2</v>
      </c>
      <c r="E142" s="121">
        <v>3.9</v>
      </c>
      <c r="F142" s="112">
        <f t="shared" si="116"/>
        <v>3.9000000000000007E-2</v>
      </c>
      <c r="G142" s="112">
        <f t="shared" si="117"/>
        <v>0.78</v>
      </c>
      <c r="H142" s="177">
        <v>240</v>
      </c>
      <c r="I142" s="114">
        <f t="shared" si="140"/>
        <v>280</v>
      </c>
      <c r="J142" s="115">
        <f t="shared" si="141"/>
        <v>13.104000000000003</v>
      </c>
      <c r="K142" s="243">
        <f t="shared" si="120"/>
        <v>16.800000000000004</v>
      </c>
      <c r="L142" s="117">
        <f t="shared" si="131"/>
        <v>51</v>
      </c>
      <c r="M142" s="178">
        <f t="shared" si="122"/>
        <v>1.9890000000000003</v>
      </c>
      <c r="N142" s="119">
        <f t="shared" si="123"/>
        <v>39.78</v>
      </c>
      <c r="O142" s="182"/>
      <c r="P142" s="121" t="str">
        <f t="shared" si="124"/>
        <v/>
      </c>
      <c r="Q142" s="122"/>
      <c r="R142" s="180"/>
      <c r="S142" s="121">
        <f t="shared" si="125"/>
        <v>0</v>
      </c>
      <c r="T142" s="181">
        <v>51</v>
      </c>
      <c r="U142" s="125">
        <f t="shared" si="126"/>
        <v>668.30400000000009</v>
      </c>
      <c r="V142" s="9" t="str">
        <f t="shared" si="138"/>
        <v/>
      </c>
      <c r="W142" s="9" t="str">
        <f t="shared" si="139"/>
        <v/>
      </c>
      <c r="X142" s="9"/>
      <c r="Y142" s="9"/>
      <c r="Z142" s="9"/>
      <c r="AA142" s="9"/>
    </row>
    <row r="143" spans="1:27" ht="13.5" customHeight="1" outlineLevel="1" x14ac:dyDescent="0.25">
      <c r="A143" s="366"/>
      <c r="B143" s="53"/>
      <c r="C143" s="175">
        <v>0.05</v>
      </c>
      <c r="D143" s="176">
        <v>0.2</v>
      </c>
      <c r="E143" s="121">
        <v>4.9000000000000004</v>
      </c>
      <c r="F143" s="112">
        <f t="shared" si="116"/>
        <v>4.9000000000000016E-2</v>
      </c>
      <c r="G143" s="112">
        <f t="shared" si="117"/>
        <v>0.98000000000000009</v>
      </c>
      <c r="H143" s="177">
        <v>240</v>
      </c>
      <c r="I143" s="114">
        <f t="shared" si="140"/>
        <v>280</v>
      </c>
      <c r="J143" s="115">
        <f t="shared" si="141"/>
        <v>16.464000000000006</v>
      </c>
      <c r="K143" s="243">
        <f t="shared" si="120"/>
        <v>16.800000000000004</v>
      </c>
      <c r="L143" s="117">
        <f t="shared" si="131"/>
        <v>187</v>
      </c>
      <c r="M143" s="178">
        <f t="shared" si="122"/>
        <v>9.1630000000000038</v>
      </c>
      <c r="N143" s="119">
        <f t="shared" si="123"/>
        <v>183.26000000000002</v>
      </c>
      <c r="O143" s="182">
        <v>10</v>
      </c>
      <c r="P143" s="121">
        <f t="shared" si="124"/>
        <v>0.49000000000000016</v>
      </c>
      <c r="Q143" s="122">
        <v>164</v>
      </c>
      <c r="R143" s="180"/>
      <c r="S143" s="121">
        <f t="shared" si="125"/>
        <v>0</v>
      </c>
      <c r="T143" s="181">
        <v>197</v>
      </c>
      <c r="U143" s="125">
        <f t="shared" si="126"/>
        <v>3078.7680000000009</v>
      </c>
      <c r="V143" s="9">
        <f t="shared" si="138"/>
        <v>46.399999999999963</v>
      </c>
      <c r="W143" s="9">
        <f t="shared" si="139"/>
        <v>117.60000000000004</v>
      </c>
      <c r="X143" s="9"/>
      <c r="Y143" s="9"/>
      <c r="Z143" s="9"/>
      <c r="AA143" s="9"/>
    </row>
    <row r="144" spans="1:27" ht="13.5" customHeight="1" outlineLevel="1" x14ac:dyDescent="0.25">
      <c r="A144" s="366"/>
      <c r="B144" s="53"/>
      <c r="C144" s="175">
        <v>0.05</v>
      </c>
      <c r="D144" s="176">
        <v>0.2</v>
      </c>
      <c r="E144" s="121">
        <v>6</v>
      </c>
      <c r="F144" s="112">
        <f t="shared" si="116"/>
        <v>6.0000000000000012E-2</v>
      </c>
      <c r="G144" s="112">
        <f t="shared" si="117"/>
        <v>1.2000000000000002</v>
      </c>
      <c r="H144" s="177">
        <v>240</v>
      </c>
      <c r="I144" s="114">
        <f t="shared" si="140"/>
        <v>280</v>
      </c>
      <c r="J144" s="115">
        <f t="shared" si="141"/>
        <v>20.160000000000004</v>
      </c>
      <c r="K144" s="243">
        <f t="shared" si="120"/>
        <v>16.8</v>
      </c>
      <c r="L144" s="117">
        <f t="shared" si="131"/>
        <v>459</v>
      </c>
      <c r="M144" s="178">
        <f t="shared" si="122"/>
        <v>27.540000000000006</v>
      </c>
      <c r="N144" s="119">
        <f t="shared" si="123"/>
        <v>550.80000000000007</v>
      </c>
      <c r="O144" s="182"/>
      <c r="P144" s="121" t="str">
        <f t="shared" si="124"/>
        <v/>
      </c>
      <c r="Q144" s="122"/>
      <c r="R144" s="180"/>
      <c r="S144" s="121">
        <f t="shared" si="125"/>
        <v>0</v>
      </c>
      <c r="T144" s="181">
        <v>459</v>
      </c>
      <c r="U144" s="125">
        <f t="shared" si="126"/>
        <v>9253.4400000000023</v>
      </c>
      <c r="V144" s="9" t="str">
        <f t="shared" si="138"/>
        <v/>
      </c>
      <c r="W144" s="9" t="str">
        <f t="shared" si="139"/>
        <v/>
      </c>
      <c r="X144" s="9"/>
      <c r="Y144" s="9"/>
      <c r="Z144" s="9"/>
      <c r="AA144" s="9"/>
    </row>
    <row r="145" spans="1:27" ht="13.5" customHeight="1" outlineLevel="1" x14ac:dyDescent="0.25">
      <c r="A145" s="366"/>
      <c r="B145" s="53"/>
      <c r="C145" s="175">
        <v>7.4999999999999997E-2</v>
      </c>
      <c r="D145" s="176">
        <v>0.15</v>
      </c>
      <c r="E145" s="121">
        <v>6</v>
      </c>
      <c r="F145" s="112">
        <f t="shared" si="116"/>
        <v>6.7500000000000004E-2</v>
      </c>
      <c r="G145" s="112">
        <f t="shared" si="117"/>
        <v>0.89999999999999991</v>
      </c>
      <c r="H145" s="177">
        <v>240</v>
      </c>
      <c r="I145" s="114">
        <f t="shared" si="140"/>
        <v>280</v>
      </c>
      <c r="J145" s="115">
        <f t="shared" si="141"/>
        <v>22.68</v>
      </c>
      <c r="K145" s="116">
        <f t="shared" si="120"/>
        <v>25.200000000000003</v>
      </c>
      <c r="L145" s="117">
        <f t="shared" si="131"/>
        <v>43</v>
      </c>
      <c r="M145" s="178">
        <f t="shared" si="122"/>
        <v>2.9025000000000003</v>
      </c>
      <c r="N145" s="119">
        <f t="shared" si="123"/>
        <v>38.699999999999996</v>
      </c>
      <c r="O145" s="182"/>
      <c r="P145" s="121" t="str">
        <f t="shared" si="124"/>
        <v/>
      </c>
      <c r="Q145" s="122"/>
      <c r="R145" s="180"/>
      <c r="S145" s="121">
        <f t="shared" si="125"/>
        <v>0</v>
      </c>
      <c r="T145" s="181">
        <v>43</v>
      </c>
      <c r="U145" s="125">
        <f t="shared" si="126"/>
        <v>975.24</v>
      </c>
      <c r="V145" s="9" t="str">
        <f t="shared" si="138"/>
        <v/>
      </c>
      <c r="W145" s="9" t="str">
        <f t="shared" si="139"/>
        <v/>
      </c>
      <c r="X145" s="9"/>
      <c r="Y145" s="9"/>
      <c r="Z145" s="9"/>
      <c r="AA145" s="9"/>
    </row>
    <row r="146" spans="1:27" ht="13.5" customHeight="1" outlineLevel="1" x14ac:dyDescent="0.25">
      <c r="A146" s="366"/>
      <c r="B146" s="53"/>
      <c r="C146" s="175">
        <v>7.4999999999999997E-2</v>
      </c>
      <c r="D146" s="176">
        <v>0.2</v>
      </c>
      <c r="E146" s="121">
        <v>3.8</v>
      </c>
      <c r="F146" s="112">
        <f t="shared" si="116"/>
        <v>5.6999999999999995E-2</v>
      </c>
      <c r="G146" s="112">
        <f t="shared" si="117"/>
        <v>0.76</v>
      </c>
      <c r="H146" s="177">
        <v>240</v>
      </c>
      <c r="I146" s="114">
        <f t="shared" si="140"/>
        <v>280</v>
      </c>
      <c r="J146" s="115">
        <f t="shared" si="141"/>
        <v>19.151999999999997</v>
      </c>
      <c r="K146" s="116">
        <f t="shared" si="120"/>
        <v>25.199999999999996</v>
      </c>
      <c r="L146" s="117">
        <f t="shared" si="131"/>
        <v>1</v>
      </c>
      <c r="M146" s="178">
        <f t="shared" si="122"/>
        <v>5.6999999999999995E-2</v>
      </c>
      <c r="N146" s="119">
        <f t="shared" si="123"/>
        <v>0.76</v>
      </c>
      <c r="O146" s="195"/>
      <c r="P146" s="121" t="str">
        <f t="shared" si="124"/>
        <v/>
      </c>
      <c r="Q146" s="122"/>
      <c r="R146" s="180"/>
      <c r="S146" s="121">
        <f t="shared" si="125"/>
        <v>0</v>
      </c>
      <c r="T146" s="181">
        <v>1</v>
      </c>
      <c r="U146" s="125">
        <f t="shared" si="126"/>
        <v>19.151999999999997</v>
      </c>
      <c r="V146" s="9" t="str">
        <f t="shared" si="138"/>
        <v/>
      </c>
      <c r="W146" s="9" t="str">
        <f t="shared" si="139"/>
        <v/>
      </c>
      <c r="X146" s="9"/>
      <c r="Y146" s="9"/>
      <c r="Z146" s="9"/>
      <c r="AA146" s="9"/>
    </row>
    <row r="147" spans="1:27" ht="13.5" customHeight="1" outlineLevel="1" x14ac:dyDescent="0.25">
      <c r="A147" s="366"/>
      <c r="B147" s="53"/>
      <c r="C147" s="175">
        <v>7.4999999999999997E-2</v>
      </c>
      <c r="D147" s="176">
        <v>0.2</v>
      </c>
      <c r="E147" s="121">
        <v>4.3</v>
      </c>
      <c r="F147" s="112">
        <f t="shared" si="116"/>
        <v>6.4500000000000002E-2</v>
      </c>
      <c r="G147" s="112">
        <f t="shared" si="117"/>
        <v>0.86</v>
      </c>
      <c r="H147" s="177">
        <v>240</v>
      </c>
      <c r="I147" s="114">
        <f t="shared" si="140"/>
        <v>280</v>
      </c>
      <c r="J147" s="115">
        <f t="shared" si="141"/>
        <v>21.672000000000001</v>
      </c>
      <c r="K147" s="116">
        <f t="shared" si="120"/>
        <v>25.200000000000003</v>
      </c>
      <c r="L147" s="117">
        <f t="shared" si="131"/>
        <v>10</v>
      </c>
      <c r="M147" s="178">
        <f t="shared" si="122"/>
        <v>0.64500000000000002</v>
      </c>
      <c r="N147" s="119">
        <f t="shared" si="123"/>
        <v>8.6</v>
      </c>
      <c r="O147" s="195"/>
      <c r="P147" s="121" t="str">
        <f t="shared" si="124"/>
        <v/>
      </c>
      <c r="Q147" s="122"/>
      <c r="R147" s="180"/>
      <c r="S147" s="121">
        <f t="shared" si="125"/>
        <v>0</v>
      </c>
      <c r="T147" s="181">
        <v>10</v>
      </c>
      <c r="U147" s="125">
        <f t="shared" si="126"/>
        <v>216.72</v>
      </c>
      <c r="V147" s="9" t="str">
        <f t="shared" si="138"/>
        <v/>
      </c>
      <c r="W147" s="9" t="str">
        <f t="shared" si="139"/>
        <v/>
      </c>
      <c r="X147" s="9"/>
      <c r="Y147" s="9"/>
      <c r="Z147" s="9"/>
      <c r="AA147" s="9"/>
    </row>
    <row r="148" spans="1:27" ht="13.5" customHeight="1" outlineLevel="1" x14ac:dyDescent="0.25">
      <c r="A148" s="366"/>
      <c r="B148" s="53"/>
      <c r="C148" s="175">
        <v>7.4999999999999997E-2</v>
      </c>
      <c r="D148" s="176">
        <v>0.2</v>
      </c>
      <c r="E148" s="121">
        <v>4.9000000000000004</v>
      </c>
      <c r="F148" s="112">
        <f t="shared" si="116"/>
        <v>7.3499999999999996E-2</v>
      </c>
      <c r="G148" s="112">
        <f t="shared" si="117"/>
        <v>0.98000000000000009</v>
      </c>
      <c r="H148" s="177">
        <v>240</v>
      </c>
      <c r="I148" s="114">
        <f t="shared" si="140"/>
        <v>280</v>
      </c>
      <c r="J148" s="115">
        <f t="shared" si="141"/>
        <v>24.695999999999998</v>
      </c>
      <c r="K148" s="116">
        <f t="shared" si="120"/>
        <v>25.199999999999996</v>
      </c>
      <c r="L148" s="117">
        <f t="shared" si="131"/>
        <v>5</v>
      </c>
      <c r="M148" s="178">
        <f t="shared" si="122"/>
        <v>0.36749999999999999</v>
      </c>
      <c r="N148" s="119">
        <f t="shared" si="123"/>
        <v>4.9000000000000004</v>
      </c>
      <c r="O148" s="182"/>
      <c r="P148" s="121" t="str">
        <f t="shared" si="124"/>
        <v/>
      </c>
      <c r="Q148" s="122"/>
      <c r="R148" s="180"/>
      <c r="S148" s="121">
        <f t="shared" si="125"/>
        <v>0</v>
      </c>
      <c r="T148" s="181">
        <v>5</v>
      </c>
      <c r="U148" s="125">
        <f t="shared" si="126"/>
        <v>123.47999999999999</v>
      </c>
      <c r="V148" s="9" t="str">
        <f t="shared" si="138"/>
        <v/>
      </c>
      <c r="W148" s="9" t="str">
        <f t="shared" si="139"/>
        <v/>
      </c>
      <c r="X148" s="9"/>
      <c r="Y148" s="9"/>
      <c r="Z148" s="9"/>
      <c r="AA148" s="9"/>
    </row>
    <row r="149" spans="1:27" ht="13.5" customHeight="1" outlineLevel="1" x14ac:dyDescent="0.25">
      <c r="A149" s="366"/>
      <c r="B149" s="53"/>
      <c r="C149" s="175">
        <v>7.4999999999999997E-2</v>
      </c>
      <c r="D149" s="176">
        <v>0.2</v>
      </c>
      <c r="E149" s="121">
        <v>6</v>
      </c>
      <c r="F149" s="112">
        <f t="shared" si="116"/>
        <v>0.09</v>
      </c>
      <c r="G149" s="112">
        <f t="shared" si="117"/>
        <v>1.2000000000000002</v>
      </c>
      <c r="H149" s="177">
        <v>240</v>
      </c>
      <c r="I149" s="114">
        <f t="shared" si="140"/>
        <v>280</v>
      </c>
      <c r="J149" s="115">
        <f t="shared" si="141"/>
        <v>30.24</v>
      </c>
      <c r="K149" s="116">
        <f t="shared" si="120"/>
        <v>25.199999999999996</v>
      </c>
      <c r="L149" s="117">
        <f t="shared" si="131"/>
        <v>1</v>
      </c>
      <c r="M149" s="178">
        <f t="shared" si="122"/>
        <v>0.09</v>
      </c>
      <c r="N149" s="119">
        <f t="shared" si="123"/>
        <v>1.2000000000000002</v>
      </c>
      <c r="O149" s="182"/>
      <c r="P149" s="121" t="str">
        <f t="shared" si="124"/>
        <v/>
      </c>
      <c r="Q149" s="122"/>
      <c r="R149" s="180"/>
      <c r="S149" s="121">
        <f t="shared" si="125"/>
        <v>0</v>
      </c>
      <c r="T149" s="181">
        <v>1</v>
      </c>
      <c r="U149" s="125">
        <f t="shared" si="126"/>
        <v>30.24</v>
      </c>
      <c r="V149" s="9" t="str">
        <f t="shared" si="138"/>
        <v/>
      </c>
      <c r="W149" s="9" t="str">
        <f t="shared" si="139"/>
        <v/>
      </c>
      <c r="X149" s="9"/>
      <c r="Y149" s="9"/>
      <c r="Z149" s="9"/>
      <c r="AA149" s="9"/>
    </row>
    <row r="150" spans="1:27" ht="13.5" customHeight="1" outlineLevel="1" x14ac:dyDescent="0.25">
      <c r="A150" s="366"/>
      <c r="B150" s="53"/>
      <c r="C150" s="175">
        <v>0.1</v>
      </c>
      <c r="D150" s="176">
        <v>0.1</v>
      </c>
      <c r="E150" s="121">
        <v>3.6</v>
      </c>
      <c r="F150" s="112">
        <f t="shared" si="116"/>
        <v>3.6000000000000011E-2</v>
      </c>
      <c r="G150" s="112">
        <f t="shared" si="117"/>
        <v>0.36000000000000004</v>
      </c>
      <c r="H150" s="177">
        <v>240</v>
      </c>
      <c r="I150" s="114">
        <f t="shared" si="140"/>
        <v>280</v>
      </c>
      <c r="J150" s="115">
        <f t="shared" si="141"/>
        <v>12.096000000000004</v>
      </c>
      <c r="K150" s="116">
        <f t="shared" si="120"/>
        <v>33.600000000000009</v>
      </c>
      <c r="L150" s="117">
        <f t="shared" si="131"/>
        <v>271</v>
      </c>
      <c r="M150" s="178">
        <f t="shared" si="122"/>
        <v>9.7560000000000038</v>
      </c>
      <c r="N150" s="119">
        <f t="shared" si="123"/>
        <v>97.560000000000016</v>
      </c>
      <c r="O150" s="182">
        <v>4</v>
      </c>
      <c r="P150" s="121">
        <f t="shared" si="124"/>
        <v>0.14400000000000004</v>
      </c>
      <c r="Q150" s="122">
        <v>58.54</v>
      </c>
      <c r="R150" s="180"/>
      <c r="S150" s="121">
        <f t="shared" si="125"/>
        <v>0</v>
      </c>
      <c r="T150" s="181">
        <v>275</v>
      </c>
      <c r="U150" s="125">
        <f t="shared" si="126"/>
        <v>3278.016000000001</v>
      </c>
      <c r="V150" s="9">
        <f t="shared" si="138"/>
        <v>23.97999999999999</v>
      </c>
      <c r="W150" s="9">
        <f t="shared" si="139"/>
        <v>34.560000000000009</v>
      </c>
      <c r="X150" s="9"/>
      <c r="Y150" s="9"/>
      <c r="Z150" s="9"/>
      <c r="AA150" s="9"/>
    </row>
    <row r="151" spans="1:27" ht="13.5" customHeight="1" outlineLevel="1" x14ac:dyDescent="0.25">
      <c r="A151" s="366"/>
      <c r="B151" s="53"/>
      <c r="C151" s="175">
        <v>0.1</v>
      </c>
      <c r="D151" s="176">
        <v>0.1</v>
      </c>
      <c r="E151" s="121">
        <v>3.9</v>
      </c>
      <c r="F151" s="112">
        <f t="shared" si="116"/>
        <v>3.9000000000000007E-2</v>
      </c>
      <c r="G151" s="112">
        <f t="shared" si="117"/>
        <v>0.39</v>
      </c>
      <c r="H151" s="177">
        <v>240</v>
      </c>
      <c r="I151" s="114">
        <f t="shared" si="140"/>
        <v>280</v>
      </c>
      <c r="J151" s="115">
        <f t="shared" si="141"/>
        <v>13.104000000000003</v>
      </c>
      <c r="K151" s="116">
        <f t="shared" si="120"/>
        <v>33.600000000000009</v>
      </c>
      <c r="L151" s="117">
        <f t="shared" si="131"/>
        <v>12</v>
      </c>
      <c r="M151" s="178">
        <f t="shared" si="122"/>
        <v>0.46800000000000008</v>
      </c>
      <c r="N151" s="119">
        <f t="shared" si="123"/>
        <v>4.68</v>
      </c>
      <c r="O151" s="182"/>
      <c r="P151" s="121" t="str">
        <f t="shared" si="124"/>
        <v/>
      </c>
      <c r="Q151" s="122"/>
      <c r="R151" s="180"/>
      <c r="S151" s="121">
        <f t="shared" si="125"/>
        <v>0</v>
      </c>
      <c r="T151" s="181">
        <v>12</v>
      </c>
      <c r="U151" s="125">
        <f t="shared" si="126"/>
        <v>157.24800000000005</v>
      </c>
      <c r="V151" s="9" t="str">
        <f t="shared" si="138"/>
        <v/>
      </c>
      <c r="W151" s="9" t="str">
        <f t="shared" si="139"/>
        <v/>
      </c>
      <c r="X151" s="9"/>
      <c r="Y151" s="9"/>
      <c r="Z151" s="9"/>
      <c r="AA151" s="9"/>
    </row>
    <row r="152" spans="1:27" ht="13.5" customHeight="1" outlineLevel="1" x14ac:dyDescent="0.25">
      <c r="A152" s="366"/>
      <c r="B152" s="53"/>
      <c r="C152" s="175">
        <v>0.1</v>
      </c>
      <c r="D152" s="176">
        <v>0.1</v>
      </c>
      <c r="E152" s="121">
        <v>4.9000000000000004</v>
      </c>
      <c r="F152" s="112">
        <f t="shared" si="116"/>
        <v>4.9000000000000016E-2</v>
      </c>
      <c r="G152" s="112">
        <f t="shared" si="117"/>
        <v>0.49000000000000005</v>
      </c>
      <c r="H152" s="177">
        <v>240</v>
      </c>
      <c r="I152" s="114">
        <f t="shared" si="140"/>
        <v>280</v>
      </c>
      <c r="J152" s="115">
        <f t="shared" si="141"/>
        <v>16.464000000000006</v>
      </c>
      <c r="K152" s="116">
        <f t="shared" si="120"/>
        <v>33.600000000000009</v>
      </c>
      <c r="L152" s="117">
        <f t="shared" si="131"/>
        <v>5</v>
      </c>
      <c r="M152" s="178">
        <f t="shared" si="122"/>
        <v>0.24500000000000008</v>
      </c>
      <c r="N152" s="119">
        <f t="shared" si="123"/>
        <v>2.4500000000000002</v>
      </c>
      <c r="O152" s="182"/>
      <c r="P152" s="121" t="str">
        <f t="shared" si="124"/>
        <v/>
      </c>
      <c r="Q152" s="122"/>
      <c r="R152" s="180"/>
      <c r="S152" s="121">
        <f t="shared" si="125"/>
        <v>0</v>
      </c>
      <c r="T152" s="181">
        <v>5</v>
      </c>
      <c r="U152" s="125">
        <f t="shared" si="126"/>
        <v>82.320000000000022</v>
      </c>
      <c r="V152" s="9" t="str">
        <f t="shared" si="138"/>
        <v/>
      </c>
      <c r="W152" s="9" t="str">
        <f t="shared" si="139"/>
        <v/>
      </c>
      <c r="X152" s="9"/>
      <c r="Y152" s="9"/>
      <c r="Z152" s="9"/>
      <c r="AA152" s="9"/>
    </row>
    <row r="153" spans="1:27" ht="13.5" customHeight="1" outlineLevel="1" x14ac:dyDescent="0.25">
      <c r="A153" s="366"/>
      <c r="B153" s="53"/>
      <c r="C153" s="175">
        <v>0.1</v>
      </c>
      <c r="D153" s="176">
        <v>0.1</v>
      </c>
      <c r="E153" s="121">
        <v>6</v>
      </c>
      <c r="F153" s="112">
        <f t="shared" si="116"/>
        <v>6.0000000000000012E-2</v>
      </c>
      <c r="G153" s="112">
        <f t="shared" si="117"/>
        <v>0.60000000000000009</v>
      </c>
      <c r="H153" s="177">
        <v>240</v>
      </c>
      <c r="I153" s="114">
        <f t="shared" si="140"/>
        <v>280</v>
      </c>
      <c r="J153" s="115">
        <f t="shared" si="141"/>
        <v>20.160000000000004</v>
      </c>
      <c r="K153" s="116">
        <f t="shared" si="120"/>
        <v>33.6</v>
      </c>
      <c r="L153" s="117">
        <f t="shared" si="131"/>
        <v>121</v>
      </c>
      <c r="M153" s="178">
        <f t="shared" si="122"/>
        <v>7.2600000000000016</v>
      </c>
      <c r="N153" s="119">
        <f t="shared" si="123"/>
        <v>72.600000000000009</v>
      </c>
      <c r="O153" s="182"/>
      <c r="P153" s="121" t="str">
        <f t="shared" si="124"/>
        <v/>
      </c>
      <c r="Q153" s="122"/>
      <c r="R153" s="180"/>
      <c r="S153" s="121">
        <f t="shared" si="125"/>
        <v>0</v>
      </c>
      <c r="T153" s="181">
        <v>121</v>
      </c>
      <c r="U153" s="125">
        <f t="shared" si="126"/>
        <v>2439.3600000000006</v>
      </c>
      <c r="V153" s="9" t="str">
        <f t="shared" si="138"/>
        <v/>
      </c>
      <c r="W153" s="9" t="str">
        <f t="shared" si="139"/>
        <v/>
      </c>
      <c r="X153" s="9"/>
      <c r="Y153" s="9"/>
      <c r="Z153" s="9"/>
      <c r="AA153" s="9"/>
    </row>
    <row r="154" spans="1:27" ht="13.5" customHeight="1" outlineLevel="1" x14ac:dyDescent="0.25">
      <c r="A154" s="366"/>
      <c r="B154" s="53"/>
      <c r="C154" s="175">
        <v>0.1</v>
      </c>
      <c r="D154" s="176">
        <v>0.15</v>
      </c>
      <c r="E154" s="121">
        <v>3.6</v>
      </c>
      <c r="F154" s="112">
        <f t="shared" si="116"/>
        <v>5.3999999999999999E-2</v>
      </c>
      <c r="G154" s="112">
        <f t="shared" si="117"/>
        <v>0.54</v>
      </c>
      <c r="H154" s="177">
        <v>240</v>
      </c>
      <c r="I154" s="114">
        <f t="shared" si="140"/>
        <v>280</v>
      </c>
      <c r="J154" s="115">
        <f t="shared" si="141"/>
        <v>18.143999999999998</v>
      </c>
      <c r="K154" s="116">
        <f t="shared" si="120"/>
        <v>33.599999999999994</v>
      </c>
      <c r="L154" s="117">
        <f t="shared" si="131"/>
        <v>47</v>
      </c>
      <c r="M154" s="178">
        <f t="shared" si="122"/>
        <v>2.5379999999999998</v>
      </c>
      <c r="N154" s="119">
        <f t="shared" si="123"/>
        <v>25.380000000000003</v>
      </c>
      <c r="O154" s="182"/>
      <c r="P154" s="121" t="str">
        <f t="shared" si="124"/>
        <v/>
      </c>
      <c r="Q154" s="122"/>
      <c r="R154" s="180"/>
      <c r="S154" s="121">
        <f t="shared" si="125"/>
        <v>0</v>
      </c>
      <c r="T154" s="181">
        <v>47</v>
      </c>
      <c r="U154" s="125">
        <f t="shared" si="126"/>
        <v>852.76799999999992</v>
      </c>
      <c r="V154" s="9" t="str">
        <f t="shared" si="138"/>
        <v/>
      </c>
      <c r="W154" s="9" t="str">
        <f t="shared" si="139"/>
        <v/>
      </c>
      <c r="X154" s="9"/>
      <c r="Y154" s="9"/>
      <c r="Z154" s="9"/>
      <c r="AA154" s="9"/>
    </row>
    <row r="155" spans="1:27" ht="13.5" customHeight="1" outlineLevel="1" x14ac:dyDescent="0.25">
      <c r="A155" s="366"/>
      <c r="B155" s="53"/>
      <c r="C155" s="175">
        <v>0.1</v>
      </c>
      <c r="D155" s="176">
        <v>0.15</v>
      </c>
      <c r="E155" s="121">
        <v>4.9000000000000004</v>
      </c>
      <c r="F155" s="112">
        <f t="shared" si="116"/>
        <v>7.3499999999999996E-2</v>
      </c>
      <c r="G155" s="112">
        <f t="shared" si="117"/>
        <v>0.73499999999999999</v>
      </c>
      <c r="H155" s="177">
        <v>240</v>
      </c>
      <c r="I155" s="114">
        <f t="shared" si="140"/>
        <v>280</v>
      </c>
      <c r="J155" s="115">
        <f t="shared" si="141"/>
        <v>24.695999999999998</v>
      </c>
      <c r="K155" s="116">
        <f t="shared" si="120"/>
        <v>33.599999999999994</v>
      </c>
      <c r="L155" s="117">
        <f t="shared" si="131"/>
        <v>135</v>
      </c>
      <c r="M155" s="178">
        <f t="shared" si="122"/>
        <v>9.9224999999999994</v>
      </c>
      <c r="N155" s="119">
        <f t="shared" si="123"/>
        <v>99.224999999999994</v>
      </c>
      <c r="O155" s="182"/>
      <c r="P155" s="121" t="str">
        <f t="shared" si="124"/>
        <v/>
      </c>
      <c r="Q155" s="122"/>
      <c r="R155" s="180"/>
      <c r="S155" s="121">
        <f t="shared" si="125"/>
        <v>0</v>
      </c>
      <c r="T155" s="181">
        <v>135</v>
      </c>
      <c r="U155" s="125">
        <f t="shared" si="126"/>
        <v>3333.9599999999996</v>
      </c>
      <c r="V155" s="9" t="str">
        <f t="shared" si="138"/>
        <v/>
      </c>
      <c r="W155" s="9" t="str">
        <f t="shared" si="139"/>
        <v/>
      </c>
      <c r="X155" s="9"/>
      <c r="Y155" s="9"/>
      <c r="Z155" s="9"/>
      <c r="AA155" s="9"/>
    </row>
    <row r="156" spans="1:27" ht="13.5" customHeight="1" outlineLevel="1" x14ac:dyDescent="0.25">
      <c r="A156" s="366"/>
      <c r="B156" s="53"/>
      <c r="C156" s="175">
        <v>0.1</v>
      </c>
      <c r="D156" s="176">
        <v>0.15</v>
      </c>
      <c r="E156" s="121">
        <v>6</v>
      </c>
      <c r="F156" s="112">
        <f t="shared" si="116"/>
        <v>0.09</v>
      </c>
      <c r="G156" s="112">
        <f t="shared" si="117"/>
        <v>0.89999999999999991</v>
      </c>
      <c r="H156" s="238">
        <v>240</v>
      </c>
      <c r="I156" s="114">
        <f t="shared" si="140"/>
        <v>280</v>
      </c>
      <c r="J156" s="115">
        <f t="shared" si="141"/>
        <v>30.24</v>
      </c>
      <c r="K156" s="116">
        <f t="shared" si="120"/>
        <v>33.6</v>
      </c>
      <c r="L156" s="117">
        <f t="shared" si="131"/>
        <v>165</v>
      </c>
      <c r="M156" s="178">
        <f t="shared" si="122"/>
        <v>14.85</v>
      </c>
      <c r="N156" s="119">
        <f t="shared" si="123"/>
        <v>148.49999999999997</v>
      </c>
      <c r="O156" s="182">
        <v>3</v>
      </c>
      <c r="P156" s="121">
        <f t="shared" si="124"/>
        <v>0.27</v>
      </c>
      <c r="Q156" s="122">
        <v>77</v>
      </c>
      <c r="R156" s="180"/>
      <c r="S156" s="121">
        <f t="shared" si="125"/>
        <v>0</v>
      </c>
      <c r="T156" s="181">
        <v>168</v>
      </c>
      <c r="U156" s="125">
        <f t="shared" si="126"/>
        <v>4989.5999999999995</v>
      </c>
      <c r="V156" s="9">
        <f t="shared" si="138"/>
        <v>12.200000000000003</v>
      </c>
      <c r="W156" s="9">
        <f t="shared" si="139"/>
        <v>64.800000000000011</v>
      </c>
      <c r="X156" s="9"/>
      <c r="Y156" s="9"/>
      <c r="Z156" s="9"/>
      <c r="AA156" s="9"/>
    </row>
    <row r="157" spans="1:27" ht="13.5" customHeight="1" outlineLevel="1" x14ac:dyDescent="0.25">
      <c r="A157" s="366"/>
      <c r="B157" s="53"/>
      <c r="C157" s="175">
        <v>0.1</v>
      </c>
      <c r="D157" s="176">
        <v>0.2</v>
      </c>
      <c r="E157" s="121">
        <v>4.9000000000000004</v>
      </c>
      <c r="F157" s="112">
        <f t="shared" si="116"/>
        <v>9.8000000000000032E-2</v>
      </c>
      <c r="G157" s="112">
        <f t="shared" si="117"/>
        <v>0.98000000000000009</v>
      </c>
      <c r="H157" s="177">
        <v>240</v>
      </c>
      <c r="I157" s="114">
        <f t="shared" si="140"/>
        <v>280</v>
      </c>
      <c r="J157" s="115">
        <f t="shared" si="141"/>
        <v>32.928000000000011</v>
      </c>
      <c r="K157" s="116">
        <f t="shared" si="120"/>
        <v>33.600000000000009</v>
      </c>
      <c r="L157" s="117">
        <f t="shared" si="131"/>
        <v>33</v>
      </c>
      <c r="M157" s="178">
        <f t="shared" si="122"/>
        <v>3.2340000000000009</v>
      </c>
      <c r="N157" s="119">
        <f t="shared" si="123"/>
        <v>32.340000000000003</v>
      </c>
      <c r="O157" s="182"/>
      <c r="P157" s="121" t="str">
        <f t="shared" si="124"/>
        <v/>
      </c>
      <c r="Q157" s="122"/>
      <c r="R157" s="180"/>
      <c r="S157" s="121">
        <f t="shared" si="125"/>
        <v>0</v>
      </c>
      <c r="T157" s="181">
        <v>33</v>
      </c>
      <c r="U157" s="125">
        <f t="shared" si="126"/>
        <v>1086.6240000000005</v>
      </c>
      <c r="V157" s="9" t="str">
        <f t="shared" si="138"/>
        <v/>
      </c>
      <c r="W157" s="9" t="str">
        <f t="shared" si="139"/>
        <v/>
      </c>
      <c r="X157" s="9"/>
      <c r="Y157" s="9"/>
      <c r="Z157" s="9"/>
      <c r="AA157" s="9"/>
    </row>
    <row r="158" spans="1:27" ht="13.5" customHeight="1" outlineLevel="1" x14ac:dyDescent="0.25">
      <c r="A158" s="366"/>
      <c r="B158" s="53"/>
      <c r="C158" s="175">
        <v>0.1</v>
      </c>
      <c r="D158" s="176">
        <v>0.2</v>
      </c>
      <c r="E158" s="121">
        <v>6</v>
      </c>
      <c r="F158" s="112">
        <f t="shared" si="116"/>
        <v>0.12000000000000002</v>
      </c>
      <c r="G158" s="112">
        <f t="shared" si="117"/>
        <v>1.2000000000000002</v>
      </c>
      <c r="H158" s="177">
        <v>240</v>
      </c>
      <c r="I158" s="114">
        <f t="shared" si="140"/>
        <v>280</v>
      </c>
      <c r="J158" s="115">
        <f t="shared" si="141"/>
        <v>40.320000000000007</v>
      </c>
      <c r="K158" s="116">
        <f t="shared" si="120"/>
        <v>33.6</v>
      </c>
      <c r="L158" s="117">
        <f t="shared" si="131"/>
        <v>88</v>
      </c>
      <c r="M158" s="178">
        <f t="shared" si="122"/>
        <v>10.560000000000002</v>
      </c>
      <c r="N158" s="119">
        <f t="shared" si="123"/>
        <v>105.60000000000002</v>
      </c>
      <c r="O158" s="182">
        <v>1</v>
      </c>
      <c r="P158" s="121">
        <f t="shared" si="124"/>
        <v>0.12000000000000002</v>
      </c>
      <c r="Q158" s="122">
        <v>34</v>
      </c>
      <c r="R158" s="180"/>
      <c r="S158" s="121">
        <f t="shared" si="125"/>
        <v>0</v>
      </c>
      <c r="T158" s="181">
        <v>89</v>
      </c>
      <c r="U158" s="125">
        <f t="shared" si="126"/>
        <v>3548.1600000000008</v>
      </c>
      <c r="V158" s="9">
        <f t="shared" si="138"/>
        <v>5.1999999999999957</v>
      </c>
      <c r="W158" s="9">
        <f t="shared" si="139"/>
        <v>28.800000000000004</v>
      </c>
      <c r="X158" s="9"/>
      <c r="Y158" s="9"/>
      <c r="Z158" s="9"/>
      <c r="AA158" s="9"/>
    </row>
    <row r="159" spans="1:27" ht="13.5" customHeight="1" outlineLevel="1" x14ac:dyDescent="0.25">
      <c r="A159" s="366"/>
      <c r="B159" s="53" t="s">
        <v>98</v>
      </c>
      <c r="C159" s="175">
        <v>0.15</v>
      </c>
      <c r="D159" s="176">
        <v>0.15</v>
      </c>
      <c r="E159" s="121">
        <v>3.1</v>
      </c>
      <c r="F159" s="112">
        <f t="shared" si="116"/>
        <v>6.9749999999999993E-2</v>
      </c>
      <c r="G159" s="112">
        <f t="shared" si="117"/>
        <v>0.46499999999999997</v>
      </c>
      <c r="H159" s="177">
        <v>240</v>
      </c>
      <c r="I159" s="114">
        <f>ROUND(H159*1.1667,0)*0.9</f>
        <v>252</v>
      </c>
      <c r="J159" s="115">
        <f>ROUND((I159*0.873)*1.21,0)*(C159*D159*E159)</f>
        <v>18.5535</v>
      </c>
      <c r="K159" s="116">
        <f t="shared" si="120"/>
        <v>39.9</v>
      </c>
      <c r="L159" s="117">
        <f t="shared" si="131"/>
        <v>8</v>
      </c>
      <c r="M159" s="178">
        <f t="shared" si="122"/>
        <v>0.55799999999999994</v>
      </c>
      <c r="N159" s="119">
        <f t="shared" si="123"/>
        <v>3.7199999999999998</v>
      </c>
      <c r="O159" s="182"/>
      <c r="P159" s="121" t="str">
        <f t="shared" si="124"/>
        <v/>
      </c>
      <c r="Q159" s="122"/>
      <c r="R159" s="180"/>
      <c r="S159" s="121">
        <f t="shared" si="125"/>
        <v>0</v>
      </c>
      <c r="T159" s="181">
        <v>8</v>
      </c>
      <c r="U159" s="125">
        <f t="shared" si="126"/>
        <v>148.428</v>
      </c>
      <c r="V159" s="9" t="str">
        <f t="shared" si="138"/>
        <v/>
      </c>
      <c r="W159" s="9" t="str">
        <f t="shared" si="139"/>
        <v/>
      </c>
      <c r="X159" s="9"/>
      <c r="Y159" s="9"/>
      <c r="Z159" s="9"/>
      <c r="AA159" s="9"/>
    </row>
    <row r="160" spans="1:27" ht="13.5" customHeight="1" outlineLevel="1" x14ac:dyDescent="0.25">
      <c r="A160" s="366"/>
      <c r="B160" s="53"/>
      <c r="C160" s="175">
        <v>0.15</v>
      </c>
      <c r="D160" s="176">
        <v>0.15</v>
      </c>
      <c r="E160" s="121">
        <v>4.9000000000000004</v>
      </c>
      <c r="F160" s="112">
        <f t="shared" si="116"/>
        <v>0.11025</v>
      </c>
      <c r="G160" s="112">
        <f t="shared" si="117"/>
        <v>0.73499999999999999</v>
      </c>
      <c r="H160" s="238">
        <v>240</v>
      </c>
      <c r="I160" s="114">
        <f t="shared" ref="I160:I162" si="142">ROUND(H160*1.1667,0)</f>
        <v>280</v>
      </c>
      <c r="J160" s="115">
        <f t="shared" ref="J160:J162" si="143">ROUND((I160*0.992)*1.21,0)*(C160*D160*E160)</f>
        <v>37.043999999999997</v>
      </c>
      <c r="K160" s="116">
        <f t="shared" si="120"/>
        <v>50.4</v>
      </c>
      <c r="L160" s="117">
        <f t="shared" si="131"/>
        <v>20</v>
      </c>
      <c r="M160" s="178">
        <f t="shared" si="122"/>
        <v>2.2050000000000001</v>
      </c>
      <c r="N160" s="119">
        <f t="shared" si="123"/>
        <v>14.7</v>
      </c>
      <c r="O160" s="182"/>
      <c r="P160" s="121" t="str">
        <f t="shared" si="124"/>
        <v/>
      </c>
      <c r="Q160" s="122"/>
      <c r="R160" s="180"/>
      <c r="S160" s="121">
        <f t="shared" si="125"/>
        <v>0</v>
      </c>
      <c r="T160" s="181">
        <v>20</v>
      </c>
      <c r="U160" s="125">
        <f t="shared" si="126"/>
        <v>740.87999999999988</v>
      </c>
      <c r="V160" s="9" t="str">
        <f t="shared" si="138"/>
        <v/>
      </c>
      <c r="W160" s="9" t="str">
        <f t="shared" si="139"/>
        <v/>
      </c>
      <c r="X160" s="9"/>
      <c r="Y160" s="9"/>
      <c r="Z160" s="9"/>
      <c r="AA160" s="9"/>
    </row>
    <row r="161" spans="1:27" ht="13.5" customHeight="1" outlineLevel="1" x14ac:dyDescent="0.25">
      <c r="A161" s="366"/>
      <c r="B161" s="53"/>
      <c r="C161" s="175">
        <v>0.15</v>
      </c>
      <c r="D161" s="176">
        <v>0.15</v>
      </c>
      <c r="E161" s="121">
        <v>6</v>
      </c>
      <c r="F161" s="112">
        <f t="shared" si="116"/>
        <v>0.13500000000000001</v>
      </c>
      <c r="G161" s="112">
        <f t="shared" si="117"/>
        <v>0.89999999999999991</v>
      </c>
      <c r="H161" s="177">
        <v>240</v>
      </c>
      <c r="I161" s="114">
        <f t="shared" si="142"/>
        <v>280</v>
      </c>
      <c r="J161" s="115">
        <f t="shared" si="143"/>
        <v>45.36</v>
      </c>
      <c r="K161" s="116">
        <f t="shared" si="120"/>
        <v>50.400000000000006</v>
      </c>
      <c r="L161" s="117">
        <f t="shared" si="131"/>
        <v>18</v>
      </c>
      <c r="M161" s="178">
        <f t="shared" si="122"/>
        <v>2.4300000000000002</v>
      </c>
      <c r="N161" s="119">
        <f t="shared" si="123"/>
        <v>16.2</v>
      </c>
      <c r="O161" s="182"/>
      <c r="P161" s="121" t="str">
        <f t="shared" si="124"/>
        <v/>
      </c>
      <c r="Q161" s="122"/>
      <c r="R161" s="180"/>
      <c r="S161" s="121">
        <f t="shared" si="125"/>
        <v>0</v>
      </c>
      <c r="T161" s="181">
        <v>18</v>
      </c>
      <c r="U161" s="125">
        <f t="shared" si="126"/>
        <v>816.48</v>
      </c>
      <c r="V161" s="9" t="str">
        <f t="shared" si="138"/>
        <v/>
      </c>
      <c r="W161" s="9" t="str">
        <f t="shared" si="139"/>
        <v/>
      </c>
      <c r="X161" s="9"/>
      <c r="Y161" s="9"/>
      <c r="Z161" s="9"/>
      <c r="AA161" s="9"/>
    </row>
    <row r="162" spans="1:27" ht="13.5" customHeight="1" outlineLevel="1" x14ac:dyDescent="0.25">
      <c r="A162" s="366"/>
      <c r="B162" s="53"/>
      <c r="C162" s="175">
        <v>0.15</v>
      </c>
      <c r="D162" s="176">
        <v>0.2</v>
      </c>
      <c r="E162" s="121">
        <v>4.9000000000000004</v>
      </c>
      <c r="F162" s="112">
        <f t="shared" si="116"/>
        <v>0.14699999999999999</v>
      </c>
      <c r="G162" s="112">
        <f t="shared" si="117"/>
        <v>0.98000000000000009</v>
      </c>
      <c r="H162" s="177">
        <v>240</v>
      </c>
      <c r="I162" s="114">
        <f t="shared" si="142"/>
        <v>280</v>
      </c>
      <c r="J162" s="115">
        <f t="shared" si="143"/>
        <v>49.391999999999996</v>
      </c>
      <c r="K162" s="116">
        <f t="shared" si="120"/>
        <v>50.399999999999991</v>
      </c>
      <c r="L162" s="117">
        <f t="shared" si="131"/>
        <v>21</v>
      </c>
      <c r="M162" s="178">
        <f t="shared" si="122"/>
        <v>3.0869999999999997</v>
      </c>
      <c r="N162" s="119">
        <f t="shared" si="123"/>
        <v>20.580000000000002</v>
      </c>
      <c r="O162" s="182">
        <v>5</v>
      </c>
      <c r="P162" s="121">
        <f t="shared" si="124"/>
        <v>0.73499999999999999</v>
      </c>
      <c r="Q162" s="122">
        <v>206</v>
      </c>
      <c r="R162" s="180"/>
      <c r="S162" s="121">
        <f t="shared" si="125"/>
        <v>0</v>
      </c>
      <c r="T162" s="181">
        <v>26</v>
      </c>
      <c r="U162" s="125">
        <f t="shared" si="126"/>
        <v>1037.232</v>
      </c>
      <c r="V162" s="9">
        <f t="shared" si="138"/>
        <v>29.599999999999994</v>
      </c>
      <c r="W162" s="9">
        <f t="shared" si="139"/>
        <v>176.4</v>
      </c>
      <c r="X162" s="9"/>
      <c r="Y162" s="9"/>
      <c r="Z162" s="9"/>
      <c r="AA162" s="9"/>
    </row>
    <row r="163" spans="1:27" ht="13.5" customHeight="1" outlineLevel="1" x14ac:dyDescent="0.25">
      <c r="A163" s="366"/>
      <c r="B163" s="53" t="s">
        <v>98</v>
      </c>
      <c r="C163" s="175">
        <v>0.15</v>
      </c>
      <c r="D163" s="176">
        <v>0.2</v>
      </c>
      <c r="E163" s="121">
        <v>6</v>
      </c>
      <c r="F163" s="112">
        <f t="shared" si="116"/>
        <v>0.18</v>
      </c>
      <c r="G163" s="112">
        <f t="shared" si="117"/>
        <v>1.2000000000000002</v>
      </c>
      <c r="H163" s="177">
        <v>240</v>
      </c>
      <c r="I163" s="114">
        <f>ROUND(H163*1.1667,0)*0.9</f>
        <v>252</v>
      </c>
      <c r="J163" s="115">
        <f>ROUND((I163*0.873)*1.21,0)*(C163*D163*E163)</f>
        <v>47.879999999999995</v>
      </c>
      <c r="K163" s="116">
        <f t="shared" si="120"/>
        <v>39.899999999999991</v>
      </c>
      <c r="L163" s="117">
        <f t="shared" si="131"/>
        <v>2</v>
      </c>
      <c r="M163" s="178">
        <f t="shared" si="122"/>
        <v>0.36</v>
      </c>
      <c r="N163" s="119">
        <f t="shared" si="123"/>
        <v>2.4000000000000004</v>
      </c>
      <c r="O163" s="182"/>
      <c r="P163" s="121" t="str">
        <f t="shared" si="124"/>
        <v/>
      </c>
      <c r="Q163" s="122"/>
      <c r="R163" s="180"/>
      <c r="S163" s="121">
        <f t="shared" si="125"/>
        <v>0</v>
      </c>
      <c r="T163" s="181">
        <v>2</v>
      </c>
      <c r="U163" s="125">
        <f t="shared" si="126"/>
        <v>95.759999999999991</v>
      </c>
      <c r="V163" s="9" t="str">
        <f t="shared" si="138"/>
        <v/>
      </c>
      <c r="W163" s="9" t="str">
        <f t="shared" si="139"/>
        <v/>
      </c>
      <c r="X163" s="9"/>
      <c r="Y163" s="9"/>
      <c r="Z163" s="9"/>
      <c r="AA163" s="9"/>
    </row>
    <row r="164" spans="1:27" ht="13.5" customHeight="1" outlineLevel="1" x14ac:dyDescent="0.25">
      <c r="A164" s="366"/>
      <c r="B164" s="53"/>
      <c r="C164" s="175">
        <v>0.15</v>
      </c>
      <c r="D164" s="176">
        <v>0.25</v>
      </c>
      <c r="E164" s="121">
        <v>6</v>
      </c>
      <c r="F164" s="112">
        <f t="shared" si="116"/>
        <v>0.22499999999999998</v>
      </c>
      <c r="G164" s="112">
        <f t="shared" si="117"/>
        <v>1.5</v>
      </c>
      <c r="H164" s="177">
        <v>240</v>
      </c>
      <c r="I164" s="114">
        <f t="shared" ref="I164:I171" si="144">ROUND(H164*1.1667,0)</f>
        <v>280</v>
      </c>
      <c r="J164" s="115">
        <f t="shared" ref="J164:J166" si="145">ROUND((I164*0.992)*1.21,0)*(C164*D164*E164)</f>
        <v>75.599999999999994</v>
      </c>
      <c r="K164" s="116">
        <f t="shared" si="120"/>
        <v>50.4</v>
      </c>
      <c r="L164" s="117">
        <f t="shared" si="131"/>
        <v>20</v>
      </c>
      <c r="M164" s="178">
        <f t="shared" si="122"/>
        <v>4.5</v>
      </c>
      <c r="N164" s="119">
        <f t="shared" si="123"/>
        <v>30</v>
      </c>
      <c r="O164" s="182"/>
      <c r="P164" s="121" t="str">
        <f t="shared" si="124"/>
        <v/>
      </c>
      <c r="Q164" s="122"/>
      <c r="R164" s="180"/>
      <c r="S164" s="121">
        <f t="shared" si="125"/>
        <v>0</v>
      </c>
      <c r="T164" s="181">
        <v>20</v>
      </c>
      <c r="U164" s="125">
        <f t="shared" si="126"/>
        <v>1512</v>
      </c>
      <c r="V164" s="9" t="str">
        <f t="shared" si="138"/>
        <v/>
      </c>
      <c r="W164" s="9" t="str">
        <f t="shared" si="139"/>
        <v/>
      </c>
      <c r="X164" s="9"/>
      <c r="Y164" s="9"/>
      <c r="Z164" s="9"/>
      <c r="AA164" s="9"/>
    </row>
    <row r="165" spans="1:27" ht="13.5" customHeight="1" outlineLevel="1" x14ac:dyDescent="0.25">
      <c r="A165" s="366"/>
      <c r="B165" s="53"/>
      <c r="C165" s="175">
        <v>0.2</v>
      </c>
      <c r="D165" s="176">
        <v>0.2</v>
      </c>
      <c r="E165" s="121">
        <v>6</v>
      </c>
      <c r="F165" s="112">
        <f t="shared" si="116"/>
        <v>0.24000000000000005</v>
      </c>
      <c r="G165" s="112">
        <f t="shared" si="117"/>
        <v>1.2000000000000002</v>
      </c>
      <c r="H165" s="177">
        <v>240</v>
      </c>
      <c r="I165" s="114">
        <f t="shared" si="144"/>
        <v>280</v>
      </c>
      <c r="J165" s="115">
        <f t="shared" si="145"/>
        <v>80.640000000000015</v>
      </c>
      <c r="K165" s="116">
        <f t="shared" si="120"/>
        <v>67.2</v>
      </c>
      <c r="L165" s="117">
        <f t="shared" si="131"/>
        <v>17</v>
      </c>
      <c r="M165" s="178">
        <f t="shared" si="122"/>
        <v>4.080000000000001</v>
      </c>
      <c r="N165" s="119">
        <f t="shared" si="123"/>
        <v>20.400000000000002</v>
      </c>
      <c r="O165" s="182"/>
      <c r="P165" s="121" t="str">
        <f t="shared" si="124"/>
        <v/>
      </c>
      <c r="Q165" s="122"/>
      <c r="R165" s="180"/>
      <c r="S165" s="121">
        <f t="shared" si="125"/>
        <v>0</v>
      </c>
      <c r="T165" s="181">
        <v>17</v>
      </c>
      <c r="U165" s="125">
        <f t="shared" si="126"/>
        <v>1370.8800000000003</v>
      </c>
      <c r="V165" s="9" t="str">
        <f t="shared" si="138"/>
        <v/>
      </c>
      <c r="W165" s="9" t="str">
        <f t="shared" si="139"/>
        <v/>
      </c>
      <c r="X165" s="9"/>
      <c r="Y165" s="9"/>
      <c r="Z165" s="9"/>
      <c r="AA165" s="9"/>
    </row>
    <row r="166" spans="1:27" ht="13.5" customHeight="1" outlineLevel="1" x14ac:dyDescent="0.25">
      <c r="A166" s="366"/>
      <c r="B166" s="53" t="s">
        <v>99</v>
      </c>
      <c r="C166" s="175">
        <v>0.05</v>
      </c>
      <c r="D166" s="176">
        <v>0.05</v>
      </c>
      <c r="E166" s="121">
        <v>1.5</v>
      </c>
      <c r="F166" s="112">
        <f t="shared" si="116"/>
        <v>3.7500000000000007E-3</v>
      </c>
      <c r="G166" s="112">
        <f t="shared" si="117"/>
        <v>7.5000000000000011E-2</v>
      </c>
      <c r="H166" s="177">
        <v>255</v>
      </c>
      <c r="I166" s="114">
        <f t="shared" si="144"/>
        <v>298</v>
      </c>
      <c r="J166" s="115">
        <f t="shared" si="145"/>
        <v>1.3425000000000002</v>
      </c>
      <c r="K166" s="116">
        <f t="shared" si="120"/>
        <v>17.900000000000002</v>
      </c>
      <c r="L166" s="117">
        <f t="shared" si="131"/>
        <v>127</v>
      </c>
      <c r="M166" s="178">
        <f t="shared" si="122"/>
        <v>0.47625000000000012</v>
      </c>
      <c r="N166" s="119">
        <f t="shared" si="123"/>
        <v>9.5250000000000021</v>
      </c>
      <c r="O166" s="195"/>
      <c r="P166" s="121" t="str">
        <f t="shared" si="124"/>
        <v/>
      </c>
      <c r="Q166" s="122"/>
      <c r="R166" s="180"/>
      <c r="S166" s="121">
        <f t="shared" si="125"/>
        <v>0</v>
      </c>
      <c r="T166" s="181">
        <v>127</v>
      </c>
      <c r="U166" s="125">
        <f t="shared" si="126"/>
        <v>170.49750000000003</v>
      </c>
      <c r="V166" s="9" t="str">
        <f t="shared" si="138"/>
        <v/>
      </c>
      <c r="W166" s="9" t="str">
        <f t="shared" si="139"/>
        <v/>
      </c>
      <c r="X166" s="9"/>
      <c r="Y166" s="9"/>
      <c r="Z166" s="9"/>
      <c r="AA166" s="9"/>
    </row>
    <row r="167" spans="1:27" ht="13.5" customHeight="1" outlineLevel="1" x14ac:dyDescent="0.25">
      <c r="A167" s="366"/>
      <c r="B167" s="53" t="s">
        <v>99</v>
      </c>
      <c r="C167" s="175">
        <v>7.0000000000000007E-2</v>
      </c>
      <c r="D167" s="176">
        <v>7.0000000000000007E-2</v>
      </c>
      <c r="E167" s="121">
        <v>1.8</v>
      </c>
      <c r="F167" s="112">
        <f t="shared" si="116"/>
        <v>8.8200000000000014E-3</v>
      </c>
      <c r="G167" s="112">
        <f t="shared" si="117"/>
        <v>0.12600000000000003</v>
      </c>
      <c r="H167" s="177">
        <v>255</v>
      </c>
      <c r="I167" s="114">
        <f t="shared" si="144"/>
        <v>298</v>
      </c>
      <c r="J167" s="115">
        <f t="shared" ref="J167:J171" si="146">ROUND((I167*0.855)*1.21,0)*(C167*D167*E167)</f>
        <v>2.7165600000000003</v>
      </c>
      <c r="K167" s="116">
        <f t="shared" si="120"/>
        <v>21.56</v>
      </c>
      <c r="L167" s="117">
        <f t="shared" si="131"/>
        <v>69</v>
      </c>
      <c r="M167" s="178">
        <f t="shared" si="122"/>
        <v>0.60858000000000012</v>
      </c>
      <c r="N167" s="119">
        <f t="shared" si="123"/>
        <v>8.6940000000000026</v>
      </c>
      <c r="O167" s="195"/>
      <c r="P167" s="121" t="str">
        <f t="shared" si="124"/>
        <v/>
      </c>
      <c r="Q167" s="122"/>
      <c r="R167" s="180"/>
      <c r="S167" s="121">
        <f t="shared" si="125"/>
        <v>0</v>
      </c>
      <c r="T167" s="181">
        <v>69</v>
      </c>
      <c r="U167" s="125">
        <f t="shared" si="126"/>
        <v>187.44264000000001</v>
      </c>
      <c r="V167" s="9" t="str">
        <f t="shared" si="138"/>
        <v/>
      </c>
      <c r="W167" s="9" t="str">
        <f t="shared" si="139"/>
        <v/>
      </c>
      <c r="X167" s="9"/>
      <c r="Y167" s="9"/>
      <c r="Z167" s="9"/>
      <c r="AA167" s="9"/>
    </row>
    <row r="168" spans="1:27" ht="13.5" customHeight="1" outlineLevel="1" x14ac:dyDescent="0.25">
      <c r="A168" s="366"/>
      <c r="B168" s="53" t="s">
        <v>99</v>
      </c>
      <c r="C168" s="175">
        <v>8.5000000000000006E-2</v>
      </c>
      <c r="D168" s="176">
        <v>8.5000000000000006E-2</v>
      </c>
      <c r="E168" s="121">
        <v>1.8</v>
      </c>
      <c r="F168" s="112">
        <f t="shared" si="116"/>
        <v>1.3005000000000003E-2</v>
      </c>
      <c r="G168" s="112">
        <f t="shared" si="117"/>
        <v>0.15300000000000002</v>
      </c>
      <c r="H168" s="177">
        <v>255</v>
      </c>
      <c r="I168" s="114">
        <f t="shared" si="144"/>
        <v>298</v>
      </c>
      <c r="J168" s="115">
        <f t="shared" si="146"/>
        <v>4.0055400000000008</v>
      </c>
      <c r="K168" s="116">
        <f t="shared" si="120"/>
        <v>26.18</v>
      </c>
      <c r="L168" s="117">
        <f t="shared" si="131"/>
        <v>78</v>
      </c>
      <c r="M168" s="178">
        <f t="shared" si="122"/>
        <v>1.0143900000000001</v>
      </c>
      <c r="N168" s="119">
        <f t="shared" si="123"/>
        <v>11.934000000000001</v>
      </c>
      <c r="O168" s="195"/>
      <c r="P168" s="121" t="str">
        <f t="shared" si="124"/>
        <v/>
      </c>
      <c r="Q168" s="122"/>
      <c r="R168" s="180"/>
      <c r="S168" s="121">
        <f t="shared" si="125"/>
        <v>0</v>
      </c>
      <c r="T168" s="181">
        <v>78</v>
      </c>
      <c r="U168" s="125">
        <f t="shared" si="126"/>
        <v>312.43212000000005</v>
      </c>
      <c r="V168" s="9" t="str">
        <f t="shared" si="138"/>
        <v/>
      </c>
      <c r="W168" s="9" t="str">
        <f t="shared" si="139"/>
        <v/>
      </c>
      <c r="X168" s="9"/>
      <c r="Y168" s="9"/>
      <c r="Z168" s="9"/>
      <c r="AA168" s="9"/>
    </row>
    <row r="169" spans="1:27" ht="13.5" customHeight="1" outlineLevel="1" x14ac:dyDescent="0.25">
      <c r="A169" s="366"/>
      <c r="B169" s="53" t="s">
        <v>99</v>
      </c>
      <c r="C169" s="175">
        <v>0.09</v>
      </c>
      <c r="D169" s="176">
        <v>0.09</v>
      </c>
      <c r="E169" s="121">
        <v>1.8</v>
      </c>
      <c r="F169" s="112">
        <f t="shared" si="116"/>
        <v>1.4579999999999999E-2</v>
      </c>
      <c r="G169" s="112">
        <f t="shared" si="117"/>
        <v>0.16200000000000001</v>
      </c>
      <c r="H169" s="177">
        <v>255</v>
      </c>
      <c r="I169" s="114">
        <f t="shared" si="144"/>
        <v>298</v>
      </c>
      <c r="J169" s="115">
        <f t="shared" si="146"/>
        <v>4.49064</v>
      </c>
      <c r="K169" s="116">
        <f t="shared" si="120"/>
        <v>27.72</v>
      </c>
      <c r="L169" s="117">
        <f t="shared" si="131"/>
        <v>85</v>
      </c>
      <c r="M169" s="178">
        <f t="shared" si="122"/>
        <v>1.2392999999999998</v>
      </c>
      <c r="N169" s="119">
        <f t="shared" si="123"/>
        <v>13.77</v>
      </c>
      <c r="O169" s="195"/>
      <c r="P169" s="121" t="str">
        <f t="shared" si="124"/>
        <v/>
      </c>
      <c r="Q169" s="122"/>
      <c r="R169" s="180"/>
      <c r="S169" s="121">
        <f t="shared" si="125"/>
        <v>0</v>
      </c>
      <c r="T169" s="181">
        <v>85</v>
      </c>
      <c r="U169" s="125">
        <f t="shared" si="126"/>
        <v>381.70440000000002</v>
      </c>
      <c r="V169" s="9" t="str">
        <f t="shared" si="138"/>
        <v/>
      </c>
      <c r="W169" s="9" t="str">
        <f t="shared" si="139"/>
        <v/>
      </c>
      <c r="X169" s="9"/>
      <c r="Y169" s="9"/>
      <c r="Z169" s="9"/>
      <c r="AA169" s="9"/>
    </row>
    <row r="170" spans="1:27" ht="13.5" customHeight="1" outlineLevel="1" x14ac:dyDescent="0.25">
      <c r="A170" s="366"/>
      <c r="B170" s="53" t="s">
        <v>99</v>
      </c>
      <c r="C170" s="175">
        <v>0.1</v>
      </c>
      <c r="D170" s="176">
        <v>0.1</v>
      </c>
      <c r="E170" s="121">
        <v>1.8</v>
      </c>
      <c r="F170" s="112">
        <f t="shared" si="116"/>
        <v>1.8000000000000006E-2</v>
      </c>
      <c r="G170" s="112">
        <f t="shared" si="117"/>
        <v>0.18000000000000002</v>
      </c>
      <c r="H170" s="177">
        <v>255</v>
      </c>
      <c r="I170" s="114">
        <f t="shared" si="144"/>
        <v>298</v>
      </c>
      <c r="J170" s="115">
        <f t="shared" si="146"/>
        <v>5.5440000000000014</v>
      </c>
      <c r="K170" s="116">
        <f t="shared" si="120"/>
        <v>30.800000000000004</v>
      </c>
      <c r="L170" s="117">
        <f t="shared" si="131"/>
        <v>303</v>
      </c>
      <c r="M170" s="178">
        <f t="shared" si="122"/>
        <v>5.4540000000000015</v>
      </c>
      <c r="N170" s="119">
        <f t="shared" si="123"/>
        <v>54.540000000000006</v>
      </c>
      <c r="O170" s="195"/>
      <c r="P170" s="121" t="str">
        <f t="shared" si="124"/>
        <v/>
      </c>
      <c r="Q170" s="122"/>
      <c r="R170" s="180"/>
      <c r="S170" s="121">
        <f t="shared" si="125"/>
        <v>0</v>
      </c>
      <c r="T170" s="181">
        <v>303</v>
      </c>
      <c r="U170" s="125">
        <f t="shared" si="126"/>
        <v>1679.8320000000003</v>
      </c>
      <c r="V170" s="9" t="str">
        <f t="shared" si="138"/>
        <v/>
      </c>
      <c r="W170" s="9" t="str">
        <f t="shared" si="139"/>
        <v/>
      </c>
      <c r="X170" s="9"/>
      <c r="Y170" s="9"/>
      <c r="Z170" s="9"/>
      <c r="AA170" s="9"/>
    </row>
    <row r="171" spans="1:27" ht="13.5" customHeight="1" outlineLevel="1" x14ac:dyDescent="0.25">
      <c r="A171" s="366"/>
      <c r="B171" s="184" t="s">
        <v>100</v>
      </c>
      <c r="C171" s="175">
        <v>0.05</v>
      </c>
      <c r="D171" s="176">
        <v>0.1</v>
      </c>
      <c r="E171" s="121">
        <v>3.6</v>
      </c>
      <c r="F171" s="112">
        <f t="shared" si="116"/>
        <v>1.8000000000000006E-2</v>
      </c>
      <c r="G171" s="112">
        <f t="shared" si="117"/>
        <v>0.36000000000000004</v>
      </c>
      <c r="H171" s="177">
        <v>255</v>
      </c>
      <c r="I171" s="114">
        <f t="shared" si="144"/>
        <v>298</v>
      </c>
      <c r="J171" s="115">
        <f t="shared" si="146"/>
        <v>5.5440000000000014</v>
      </c>
      <c r="K171" s="116">
        <f t="shared" si="120"/>
        <v>15.400000000000002</v>
      </c>
      <c r="L171" s="117">
        <f t="shared" si="131"/>
        <v>292</v>
      </c>
      <c r="M171" s="178">
        <f t="shared" si="122"/>
        <v>5.256000000000002</v>
      </c>
      <c r="N171" s="119">
        <f t="shared" si="123"/>
        <v>105.12000000000002</v>
      </c>
      <c r="O171" s="195"/>
      <c r="P171" s="121" t="str">
        <f t="shared" si="124"/>
        <v/>
      </c>
      <c r="Q171" s="122"/>
      <c r="R171" s="180"/>
      <c r="S171" s="121">
        <f t="shared" si="125"/>
        <v>0</v>
      </c>
      <c r="T171" s="181">
        <v>292</v>
      </c>
      <c r="U171" s="125">
        <f t="shared" si="126"/>
        <v>1618.8480000000004</v>
      </c>
      <c r="V171" s="9" t="str">
        <f t="shared" si="138"/>
        <v/>
      </c>
      <c r="W171" s="9" t="str">
        <f t="shared" si="139"/>
        <v/>
      </c>
      <c r="X171" s="9"/>
      <c r="Y171" s="9"/>
      <c r="Z171" s="9"/>
      <c r="AA171" s="9"/>
    </row>
    <row r="172" spans="1:27" ht="13.5" customHeight="1" outlineLevel="1" x14ac:dyDescent="0.25">
      <c r="A172" s="366"/>
      <c r="B172" s="324" t="s">
        <v>101</v>
      </c>
      <c r="C172" s="175">
        <v>2.5000000000000001E-2</v>
      </c>
      <c r="D172" s="176">
        <v>0.05</v>
      </c>
      <c r="E172" s="121">
        <v>1</v>
      </c>
      <c r="F172" s="112">
        <f t="shared" si="116"/>
        <v>1.2500000000000002E-3</v>
      </c>
      <c r="G172" s="112">
        <f t="shared" si="117"/>
        <v>0.05</v>
      </c>
      <c r="H172" s="177">
        <v>240</v>
      </c>
      <c r="I172" s="114">
        <f>ROUND(H172*0.6,0)</f>
        <v>144</v>
      </c>
      <c r="J172" s="115">
        <f>ROUND((I172*0.992)*1.21,0)*(C172*D172*E172)</f>
        <v>0.21625000000000005</v>
      </c>
      <c r="K172" s="116">
        <f t="shared" si="120"/>
        <v>4.3250000000000011</v>
      </c>
      <c r="L172" s="117">
        <f t="shared" si="131"/>
        <v>995</v>
      </c>
      <c r="M172" s="178">
        <f t="shared" si="122"/>
        <v>1.2437500000000001</v>
      </c>
      <c r="N172" s="119">
        <f t="shared" si="123"/>
        <v>49.75</v>
      </c>
      <c r="O172" s="182"/>
      <c r="P172" s="121" t="str">
        <f t="shared" si="124"/>
        <v/>
      </c>
      <c r="Q172" s="122"/>
      <c r="R172" s="180"/>
      <c r="S172" s="121">
        <f t="shared" si="125"/>
        <v>0</v>
      </c>
      <c r="T172" s="181">
        <v>995</v>
      </c>
      <c r="U172" s="125">
        <f t="shared" si="126"/>
        <v>215.16875000000005</v>
      </c>
      <c r="V172" s="9" t="str">
        <f t="shared" si="138"/>
        <v/>
      </c>
      <c r="W172" s="9" t="str">
        <f t="shared" si="139"/>
        <v/>
      </c>
      <c r="X172" s="9"/>
      <c r="Y172" s="9"/>
      <c r="Z172" s="9"/>
      <c r="AA172" s="9"/>
    </row>
    <row r="173" spans="1:27" ht="13.5" customHeight="1" x14ac:dyDescent="0.25">
      <c r="A173" s="366"/>
      <c r="B173" s="149" t="s">
        <v>56</v>
      </c>
      <c r="C173" s="209"/>
      <c r="D173" s="209"/>
      <c r="E173" s="209"/>
      <c r="F173" s="209"/>
      <c r="G173" s="209"/>
      <c r="H173" s="153">
        <f t="shared" ref="H173:I173" si="147">AVERAGE(H110:H172)</f>
        <v>256.51509556869803</v>
      </c>
      <c r="I173" s="153">
        <f t="shared" si="147"/>
        <v>288.11290322580646</v>
      </c>
      <c r="J173" s="154"/>
      <c r="K173" s="152">
        <f>AVERAGE(K110:K172)</f>
        <v>21.72803225806453</v>
      </c>
      <c r="L173" s="155"/>
      <c r="M173" s="149">
        <f>SUM(M110:M172)</f>
        <v>290.06974000000008</v>
      </c>
      <c r="N173" s="212"/>
      <c r="O173" s="244"/>
      <c r="P173" s="152">
        <f t="shared" ref="P173:Q173" si="148">SUM(P110:P172)</f>
        <v>4.1656000000000004</v>
      </c>
      <c r="Q173" s="154">
        <f t="shared" si="148"/>
        <v>1292.54</v>
      </c>
      <c r="R173" s="245"/>
      <c r="S173" s="152">
        <f>SUM(S110:S172)</f>
        <v>1.7282500000000005</v>
      </c>
      <c r="T173" s="162"/>
      <c r="U173" s="246">
        <f>SUM(U110:U172)</f>
        <v>97108.705030000026</v>
      </c>
      <c r="V173" s="9"/>
      <c r="W173" s="9" t="str">
        <f t="shared" si="139"/>
        <v/>
      </c>
      <c r="X173" s="9"/>
      <c r="Y173" s="9"/>
      <c r="Z173" s="9"/>
      <c r="AA173" s="9"/>
    </row>
    <row r="174" spans="1:27" ht="13.5" customHeight="1" x14ac:dyDescent="0.25">
      <c r="A174" s="366"/>
      <c r="B174" s="164" t="s">
        <v>102</v>
      </c>
      <c r="C174" s="164"/>
      <c r="D174" s="164"/>
      <c r="E174" s="164"/>
      <c r="F174" s="164"/>
      <c r="G174" s="164"/>
      <c r="H174" s="164"/>
      <c r="I174" s="167"/>
      <c r="J174" s="168"/>
      <c r="K174" s="164"/>
      <c r="L174" s="164"/>
      <c r="M174" s="164"/>
      <c r="N174" s="169"/>
      <c r="O174" s="188"/>
      <c r="P174" s="164"/>
      <c r="Q174" s="189"/>
      <c r="R174" s="173"/>
      <c r="S174" s="164"/>
      <c r="T174" s="164"/>
      <c r="U174" s="174"/>
      <c r="V174" s="9"/>
      <c r="W174" s="9" t="str">
        <f t="shared" si="139"/>
        <v/>
      </c>
      <c r="X174" s="9"/>
      <c r="Y174" s="9"/>
      <c r="Z174" s="9"/>
      <c r="AA174" s="9"/>
    </row>
    <row r="175" spans="1:27" ht="13.5" customHeight="1" outlineLevel="1" x14ac:dyDescent="0.25">
      <c r="A175" s="366"/>
      <c r="B175" s="53" t="s">
        <v>93</v>
      </c>
      <c r="C175" s="175">
        <v>0.01</v>
      </c>
      <c r="D175" s="176">
        <v>0.04</v>
      </c>
      <c r="E175" s="121">
        <v>1.1000000000000001</v>
      </c>
      <c r="F175" s="112">
        <f t="shared" ref="F175:F180" si="149">C175*D175*E175</f>
        <v>4.4000000000000007E-4</v>
      </c>
      <c r="G175" s="112">
        <f t="shared" ref="G175:G180" si="150">D175*E175</f>
        <v>4.4000000000000004E-2</v>
      </c>
      <c r="H175" s="177">
        <v>228.8</v>
      </c>
      <c r="I175" s="114">
        <f>ROUND(H175*1.225,0)</f>
        <v>280</v>
      </c>
      <c r="J175" s="115">
        <f>ROUND((I175*1.7)*1.21,0)*(C175*D175*E175)</f>
        <v>0.25344000000000005</v>
      </c>
      <c r="K175" s="116">
        <f t="shared" ref="K175:K180" si="151">J175/(D175*E175)</f>
        <v>5.7600000000000007</v>
      </c>
      <c r="L175" s="117">
        <f t="shared" ref="L175:L180" si="152">T175+R175-O175</f>
        <v>20</v>
      </c>
      <c r="M175" s="178">
        <f t="shared" ref="M175:M180" si="153">L175*F175</f>
        <v>8.8000000000000023E-3</v>
      </c>
      <c r="N175" s="119">
        <f t="shared" ref="N175:N180" si="154">L175*G175</f>
        <v>0.88000000000000012</v>
      </c>
      <c r="O175" s="182"/>
      <c r="P175" s="121" t="str">
        <f t="shared" ref="P175:P192" si="155">IF(O175="","",(O175*F175))</f>
        <v/>
      </c>
      <c r="Q175" s="122"/>
      <c r="R175" s="180"/>
      <c r="S175" s="121">
        <f t="shared" ref="S175:S180" si="156">R175*F175</f>
        <v>0</v>
      </c>
      <c r="T175" s="181">
        <v>20</v>
      </c>
      <c r="U175" s="125">
        <f t="shared" ref="U175:U180" si="157">J175*L175</f>
        <v>5.0688000000000013</v>
      </c>
      <c r="V175" s="9" t="str">
        <f t="shared" ref="V175:V180" si="158">IF(O175="","",Q175-(O175*(H175*F175)))</f>
        <v/>
      </c>
      <c r="W175" s="9" t="str">
        <f t="shared" si="139"/>
        <v/>
      </c>
      <c r="X175" s="9"/>
      <c r="Y175" s="9"/>
      <c r="Z175" s="9"/>
      <c r="AA175" s="9"/>
    </row>
    <row r="176" spans="1:27" ht="13.5" customHeight="1" outlineLevel="1" x14ac:dyDescent="0.25">
      <c r="A176" s="366"/>
      <c r="B176" s="53"/>
      <c r="C176" s="175">
        <v>2.1000000000000001E-2</v>
      </c>
      <c r="D176" s="176">
        <v>3.7999999999999999E-2</v>
      </c>
      <c r="E176" s="121">
        <v>4.8</v>
      </c>
      <c r="F176" s="112">
        <f t="shared" si="149"/>
        <v>3.8303999999999999E-3</v>
      </c>
      <c r="G176" s="112">
        <f t="shared" si="150"/>
        <v>0.18239999999999998</v>
      </c>
      <c r="H176" s="177">
        <v>343</v>
      </c>
      <c r="I176" s="114">
        <f t="shared" ref="I176:I180" si="159">ROUND(H176*1.1667,0)</f>
        <v>400</v>
      </c>
      <c r="J176" s="115">
        <f t="shared" ref="J176:J180" si="160">ROUND((I176*0.992)*1.21,0)*(C176*D176*E176)</f>
        <v>1.838592</v>
      </c>
      <c r="K176" s="116">
        <f t="shared" si="151"/>
        <v>10.080000000000002</v>
      </c>
      <c r="L176" s="117">
        <f t="shared" si="152"/>
        <v>1036</v>
      </c>
      <c r="M176" s="178">
        <f t="shared" si="153"/>
        <v>3.9682944</v>
      </c>
      <c r="N176" s="119">
        <f t="shared" si="154"/>
        <v>188.96639999999996</v>
      </c>
      <c r="O176" s="182"/>
      <c r="P176" s="121" t="str">
        <f t="shared" si="155"/>
        <v/>
      </c>
      <c r="Q176" s="122"/>
      <c r="R176" s="180"/>
      <c r="S176" s="121">
        <f t="shared" si="156"/>
        <v>0</v>
      </c>
      <c r="T176" s="181">
        <v>1036</v>
      </c>
      <c r="U176" s="125">
        <f t="shared" si="157"/>
        <v>1904.7813120000001</v>
      </c>
      <c r="V176" s="9" t="str">
        <f t="shared" si="158"/>
        <v/>
      </c>
      <c r="W176" s="9" t="str">
        <f t="shared" si="139"/>
        <v/>
      </c>
      <c r="X176" s="9"/>
      <c r="Y176" s="9"/>
      <c r="Z176" s="9"/>
      <c r="AA176" s="9"/>
    </row>
    <row r="177" spans="1:27" ht="13.5" customHeight="1" outlineLevel="1" x14ac:dyDescent="0.25">
      <c r="A177" s="366"/>
      <c r="B177" s="53"/>
      <c r="C177" s="175">
        <v>2.5000000000000001E-2</v>
      </c>
      <c r="D177" s="176">
        <v>4.4999999999999998E-2</v>
      </c>
      <c r="E177" s="121">
        <v>2</v>
      </c>
      <c r="F177" s="112">
        <f t="shared" si="149"/>
        <v>2.2499999999999998E-3</v>
      </c>
      <c r="G177" s="112">
        <f t="shared" si="150"/>
        <v>0.09</v>
      </c>
      <c r="H177" s="177">
        <v>343</v>
      </c>
      <c r="I177" s="114">
        <f t="shared" si="159"/>
        <v>400</v>
      </c>
      <c r="J177" s="115">
        <f t="shared" si="160"/>
        <v>1.0799999999999998</v>
      </c>
      <c r="K177" s="116">
        <f t="shared" si="151"/>
        <v>11.999999999999998</v>
      </c>
      <c r="L177" s="117">
        <f t="shared" si="152"/>
        <v>26</v>
      </c>
      <c r="M177" s="178">
        <f t="shared" si="153"/>
        <v>5.8499999999999996E-2</v>
      </c>
      <c r="N177" s="119">
        <f t="shared" si="154"/>
        <v>2.34</v>
      </c>
      <c r="O177" s="182"/>
      <c r="P177" s="121" t="str">
        <f t="shared" si="155"/>
        <v/>
      </c>
      <c r="Q177" s="122"/>
      <c r="R177" s="180"/>
      <c r="S177" s="121">
        <f t="shared" si="156"/>
        <v>0</v>
      </c>
      <c r="T177" s="181">
        <v>26</v>
      </c>
      <c r="U177" s="125">
        <f t="shared" si="157"/>
        <v>28.079999999999995</v>
      </c>
      <c r="V177" s="9" t="str">
        <f t="shared" si="158"/>
        <v/>
      </c>
      <c r="W177" s="9" t="str">
        <f t="shared" si="139"/>
        <v/>
      </c>
      <c r="X177" s="9"/>
      <c r="Y177" s="9"/>
      <c r="Z177" s="9"/>
      <c r="AA177" s="9"/>
    </row>
    <row r="178" spans="1:27" ht="13.5" customHeight="1" outlineLevel="1" x14ac:dyDescent="0.25">
      <c r="A178" s="366"/>
      <c r="B178" s="53"/>
      <c r="C178" s="175">
        <v>2.7E-2</v>
      </c>
      <c r="D178" s="176">
        <v>2.7E-2</v>
      </c>
      <c r="E178" s="121">
        <v>2.4</v>
      </c>
      <c r="F178" s="112">
        <f t="shared" si="149"/>
        <v>1.7495999999999998E-3</v>
      </c>
      <c r="G178" s="112">
        <f t="shared" si="150"/>
        <v>6.4799999999999996E-2</v>
      </c>
      <c r="H178" s="177">
        <v>400</v>
      </c>
      <c r="I178" s="114">
        <f t="shared" si="159"/>
        <v>467</v>
      </c>
      <c r="J178" s="115">
        <f t="shared" si="160"/>
        <v>0.98152559999999989</v>
      </c>
      <c r="K178" s="116">
        <f t="shared" si="151"/>
        <v>15.146999999999998</v>
      </c>
      <c r="L178" s="117">
        <f t="shared" si="152"/>
        <v>1410</v>
      </c>
      <c r="M178" s="178">
        <f t="shared" si="153"/>
        <v>2.4669359999999996</v>
      </c>
      <c r="N178" s="119">
        <f t="shared" si="154"/>
        <v>91.367999999999995</v>
      </c>
      <c r="O178" s="182"/>
      <c r="P178" s="121" t="str">
        <f t="shared" si="155"/>
        <v/>
      </c>
      <c r="Q178" s="122"/>
      <c r="R178" s="180"/>
      <c r="S178" s="121">
        <f t="shared" si="156"/>
        <v>0</v>
      </c>
      <c r="T178" s="181">
        <v>1410</v>
      </c>
      <c r="U178" s="125">
        <f t="shared" si="157"/>
        <v>1383.9510959999998</v>
      </c>
      <c r="V178" s="9" t="str">
        <f t="shared" si="158"/>
        <v/>
      </c>
      <c r="W178" s="9" t="str">
        <f t="shared" si="139"/>
        <v/>
      </c>
      <c r="X178" s="9"/>
      <c r="Y178" s="9"/>
      <c r="Z178" s="9"/>
      <c r="AA178" s="9"/>
    </row>
    <row r="179" spans="1:27" ht="13.5" customHeight="1" outlineLevel="1" x14ac:dyDescent="0.25">
      <c r="A179" s="366"/>
      <c r="B179" s="53"/>
      <c r="C179" s="175">
        <v>4.4999999999999998E-2</v>
      </c>
      <c r="D179" s="176">
        <v>9.5000000000000001E-2</v>
      </c>
      <c r="E179" s="121">
        <v>4.2</v>
      </c>
      <c r="F179" s="112">
        <f t="shared" si="149"/>
        <v>1.7955000000000002E-2</v>
      </c>
      <c r="G179" s="112">
        <f t="shared" si="150"/>
        <v>0.39900000000000002</v>
      </c>
      <c r="H179" s="177">
        <v>343</v>
      </c>
      <c r="I179" s="114">
        <f t="shared" si="159"/>
        <v>400</v>
      </c>
      <c r="J179" s="115">
        <f t="shared" si="160"/>
        <v>8.6184000000000012</v>
      </c>
      <c r="K179" s="116">
        <f t="shared" si="151"/>
        <v>21.6</v>
      </c>
      <c r="L179" s="117">
        <f t="shared" si="152"/>
        <v>185</v>
      </c>
      <c r="M179" s="178">
        <f t="shared" si="153"/>
        <v>3.3216750000000004</v>
      </c>
      <c r="N179" s="119">
        <f t="shared" si="154"/>
        <v>73.814999999999998</v>
      </c>
      <c r="O179" s="182"/>
      <c r="P179" s="121" t="str">
        <f t="shared" si="155"/>
        <v/>
      </c>
      <c r="Q179" s="122"/>
      <c r="R179" s="180"/>
      <c r="S179" s="121">
        <f t="shared" si="156"/>
        <v>0</v>
      </c>
      <c r="T179" s="181">
        <v>185</v>
      </c>
      <c r="U179" s="125">
        <f t="shared" si="157"/>
        <v>1594.4040000000002</v>
      </c>
      <c r="V179" s="9" t="str">
        <f t="shared" si="158"/>
        <v/>
      </c>
      <c r="W179" s="9" t="str">
        <f t="shared" si="139"/>
        <v/>
      </c>
      <c r="X179" s="9"/>
      <c r="Y179" s="9"/>
      <c r="Z179" s="9"/>
      <c r="AA179" s="9"/>
    </row>
    <row r="180" spans="1:27" ht="13.5" customHeight="1" outlineLevel="1" x14ac:dyDescent="0.25">
      <c r="A180" s="366"/>
      <c r="B180" s="53" t="s">
        <v>86</v>
      </c>
      <c r="C180" s="175">
        <v>4.4999999999999998E-2</v>
      </c>
      <c r="D180" s="176">
        <v>0.12</v>
      </c>
      <c r="E180" s="121">
        <v>2.4</v>
      </c>
      <c r="F180" s="112">
        <f t="shared" si="149"/>
        <v>1.2959999999999998E-2</v>
      </c>
      <c r="G180" s="112">
        <f t="shared" si="150"/>
        <v>0.28799999999999998</v>
      </c>
      <c r="H180" s="177">
        <v>343</v>
      </c>
      <c r="I180" s="114">
        <f t="shared" si="159"/>
        <v>400</v>
      </c>
      <c r="J180" s="115">
        <f t="shared" si="160"/>
        <v>6.2207999999999988</v>
      </c>
      <c r="K180" s="116">
        <f t="shared" si="151"/>
        <v>21.599999999999998</v>
      </c>
      <c r="L180" s="117">
        <f t="shared" si="152"/>
        <v>89</v>
      </c>
      <c r="M180" s="178">
        <f t="shared" si="153"/>
        <v>1.1534399999999998</v>
      </c>
      <c r="N180" s="119">
        <f t="shared" si="154"/>
        <v>25.631999999999998</v>
      </c>
      <c r="O180" s="182"/>
      <c r="P180" s="121" t="str">
        <f t="shared" si="155"/>
        <v/>
      </c>
      <c r="Q180" s="122"/>
      <c r="R180" s="180"/>
      <c r="S180" s="121">
        <f t="shared" si="156"/>
        <v>0</v>
      </c>
      <c r="T180" s="181">
        <v>89</v>
      </c>
      <c r="U180" s="125">
        <f t="shared" si="157"/>
        <v>553.6511999999999</v>
      </c>
      <c r="V180" s="9" t="str">
        <f t="shared" si="158"/>
        <v/>
      </c>
      <c r="W180" s="9" t="str">
        <f t="shared" si="139"/>
        <v/>
      </c>
      <c r="X180" s="9"/>
      <c r="Y180" s="9"/>
      <c r="Z180" s="9"/>
      <c r="AA180" s="9"/>
    </row>
    <row r="181" spans="1:27" ht="13.5" customHeight="1" outlineLevel="1" x14ac:dyDescent="0.25">
      <c r="A181" s="366"/>
      <c r="B181" s="247" t="s">
        <v>103</v>
      </c>
      <c r="C181" s="175">
        <v>4.4999999999999998E-2</v>
      </c>
      <c r="D181" s="176">
        <v>0.12</v>
      </c>
      <c r="E181" s="121">
        <v>3.9</v>
      </c>
      <c r="F181" s="112"/>
      <c r="G181" s="112"/>
      <c r="H181" s="177"/>
      <c r="I181" s="114"/>
      <c r="J181" s="115"/>
      <c r="K181" s="116"/>
      <c r="L181" s="117"/>
      <c r="M181" s="178"/>
      <c r="N181" s="119"/>
      <c r="O181" s="182"/>
      <c r="P181" s="121" t="str">
        <f t="shared" si="155"/>
        <v/>
      </c>
      <c r="Q181" s="122"/>
      <c r="R181" s="180"/>
      <c r="S181" s="121"/>
      <c r="T181" s="181"/>
      <c r="U181" s="125"/>
      <c r="V181" s="9"/>
      <c r="W181" s="9" t="str">
        <f t="shared" si="139"/>
        <v/>
      </c>
      <c r="X181" s="9"/>
      <c r="Y181" s="9"/>
      <c r="Z181" s="9"/>
      <c r="AA181" s="9"/>
    </row>
    <row r="182" spans="1:27" ht="13.5" customHeight="1" outlineLevel="1" x14ac:dyDescent="0.25">
      <c r="A182" s="366"/>
      <c r="B182" s="247" t="s">
        <v>103</v>
      </c>
      <c r="C182" s="175">
        <v>4.4999999999999998E-2</v>
      </c>
      <c r="D182" s="176">
        <v>0.12</v>
      </c>
      <c r="E182" s="121">
        <v>4.2</v>
      </c>
      <c r="F182" s="112"/>
      <c r="G182" s="112"/>
      <c r="H182" s="177"/>
      <c r="I182" s="114"/>
      <c r="J182" s="115"/>
      <c r="K182" s="116"/>
      <c r="L182" s="117"/>
      <c r="M182" s="178"/>
      <c r="N182" s="119"/>
      <c r="O182" s="182"/>
      <c r="P182" s="121" t="str">
        <f t="shared" si="155"/>
        <v/>
      </c>
      <c r="Q182" s="122"/>
      <c r="R182" s="180"/>
      <c r="S182" s="121"/>
      <c r="T182" s="181"/>
      <c r="U182" s="125"/>
      <c r="V182" s="9"/>
      <c r="W182" s="9" t="str">
        <f t="shared" si="139"/>
        <v/>
      </c>
      <c r="X182" s="9"/>
      <c r="Y182" s="9"/>
      <c r="Z182" s="9"/>
      <c r="AA182" s="9"/>
    </row>
    <row r="183" spans="1:27" ht="13.5" customHeight="1" outlineLevel="1" x14ac:dyDescent="0.25">
      <c r="A183" s="366"/>
      <c r="B183" s="53"/>
      <c r="C183" s="175">
        <v>4.4999999999999998E-2</v>
      </c>
      <c r="D183" s="176">
        <v>0.12</v>
      </c>
      <c r="E183" s="121">
        <v>5.4</v>
      </c>
      <c r="F183" s="112">
        <f t="shared" ref="F183:F185" si="161">C183*D183*E183</f>
        <v>2.9159999999999998E-2</v>
      </c>
      <c r="G183" s="112">
        <f t="shared" ref="G183:G185" si="162">D183*E183</f>
        <v>0.64800000000000002</v>
      </c>
      <c r="H183" s="177">
        <v>343</v>
      </c>
      <c r="I183" s="114">
        <f t="shared" ref="I183:I185" si="163">ROUND(H183*1.1667,0)</f>
        <v>400</v>
      </c>
      <c r="J183" s="115">
        <f t="shared" ref="J183:J185" si="164">ROUND((I183*0.992)*1.21,0)*(C183*D183*E183)</f>
        <v>13.996799999999999</v>
      </c>
      <c r="K183" s="116">
        <f t="shared" ref="K183:K185" si="165">J183/(D183*E183)</f>
        <v>21.599999999999998</v>
      </c>
      <c r="L183" s="117">
        <f t="shared" ref="L183:L185" si="166">T183+R183-O183</f>
        <v>57</v>
      </c>
      <c r="M183" s="178">
        <f t="shared" ref="M183:M185" si="167">L183*F183</f>
        <v>1.6621199999999998</v>
      </c>
      <c r="N183" s="119">
        <f t="shared" ref="N183:N185" si="168">L183*G183</f>
        <v>36.936</v>
      </c>
      <c r="O183" s="182"/>
      <c r="P183" s="121" t="str">
        <f t="shared" si="155"/>
        <v/>
      </c>
      <c r="Q183" s="122"/>
      <c r="R183" s="180"/>
      <c r="S183" s="121">
        <f t="shared" ref="S183:S185" si="169">R183*F183</f>
        <v>0</v>
      </c>
      <c r="T183" s="181">
        <v>57</v>
      </c>
      <c r="U183" s="125">
        <f t="shared" ref="U183:U185" si="170">J183*L183</f>
        <v>797.81759999999997</v>
      </c>
      <c r="V183" s="9" t="str">
        <f t="shared" ref="V183:V185" si="171">IF(O183="","",Q183-(O183*(H183*F183)))</f>
        <v/>
      </c>
      <c r="W183" s="9" t="str">
        <f t="shared" si="139"/>
        <v/>
      </c>
      <c r="X183" s="9"/>
      <c r="Y183" s="9"/>
      <c r="Z183" s="9"/>
      <c r="AA183" s="9"/>
    </row>
    <row r="184" spans="1:27" ht="13.5" customHeight="1" outlineLevel="1" x14ac:dyDescent="0.25">
      <c r="A184" s="366"/>
      <c r="B184" s="53" t="s">
        <v>86</v>
      </c>
      <c r="C184" s="175">
        <v>4.4999999999999998E-2</v>
      </c>
      <c r="D184" s="176">
        <v>0.14499999999999999</v>
      </c>
      <c r="E184" s="121">
        <v>2.4</v>
      </c>
      <c r="F184" s="112">
        <f t="shared" si="161"/>
        <v>1.5659999999999997E-2</v>
      </c>
      <c r="G184" s="112">
        <f t="shared" si="162"/>
        <v>0.34799999999999998</v>
      </c>
      <c r="H184" s="177">
        <v>343</v>
      </c>
      <c r="I184" s="114">
        <f t="shared" si="163"/>
        <v>400</v>
      </c>
      <c r="J184" s="115">
        <f t="shared" si="164"/>
        <v>7.5167999999999981</v>
      </c>
      <c r="K184" s="116">
        <f t="shared" si="165"/>
        <v>21.599999999999998</v>
      </c>
      <c r="L184" s="117">
        <f t="shared" si="166"/>
        <v>92</v>
      </c>
      <c r="M184" s="178">
        <f t="shared" si="167"/>
        <v>1.4407199999999998</v>
      </c>
      <c r="N184" s="119">
        <f t="shared" si="168"/>
        <v>32.015999999999998</v>
      </c>
      <c r="O184" s="182"/>
      <c r="P184" s="121" t="str">
        <f t="shared" si="155"/>
        <v/>
      </c>
      <c r="Q184" s="122"/>
      <c r="R184" s="180"/>
      <c r="S184" s="121">
        <f t="shared" si="169"/>
        <v>0</v>
      </c>
      <c r="T184" s="181">
        <v>92</v>
      </c>
      <c r="U184" s="125">
        <f t="shared" si="170"/>
        <v>691.54559999999981</v>
      </c>
      <c r="V184" s="9" t="str">
        <f t="shared" si="171"/>
        <v/>
      </c>
      <c r="W184" s="9" t="str">
        <f t="shared" si="139"/>
        <v/>
      </c>
      <c r="X184" s="9"/>
      <c r="Y184" s="9"/>
      <c r="Z184" s="9"/>
      <c r="AA184" s="9"/>
    </row>
    <row r="185" spans="1:27" ht="13.5" customHeight="1" outlineLevel="1" x14ac:dyDescent="0.25">
      <c r="A185" s="366"/>
      <c r="B185" s="53"/>
      <c r="C185" s="175">
        <v>4.4999999999999998E-2</v>
      </c>
      <c r="D185" s="176">
        <v>0.14499999999999999</v>
      </c>
      <c r="E185" s="121">
        <v>4.8</v>
      </c>
      <c r="F185" s="112">
        <f t="shared" si="161"/>
        <v>3.1319999999999994E-2</v>
      </c>
      <c r="G185" s="112">
        <f t="shared" si="162"/>
        <v>0.69599999999999995</v>
      </c>
      <c r="H185" s="177">
        <v>343</v>
      </c>
      <c r="I185" s="114">
        <f t="shared" si="163"/>
        <v>400</v>
      </c>
      <c r="J185" s="115">
        <f t="shared" si="164"/>
        <v>15.033599999999996</v>
      </c>
      <c r="K185" s="116">
        <f t="shared" si="165"/>
        <v>21.599999999999998</v>
      </c>
      <c r="L185" s="117">
        <f t="shared" si="166"/>
        <v>1305</v>
      </c>
      <c r="M185" s="178">
        <f t="shared" si="167"/>
        <v>40.872599999999991</v>
      </c>
      <c r="N185" s="119">
        <f t="shared" si="168"/>
        <v>908.28</v>
      </c>
      <c r="O185" s="182"/>
      <c r="P185" s="121" t="str">
        <f t="shared" si="155"/>
        <v/>
      </c>
      <c r="Q185" s="122"/>
      <c r="R185" s="180"/>
      <c r="S185" s="121">
        <f t="shared" si="169"/>
        <v>0</v>
      </c>
      <c r="T185" s="181">
        <v>1305</v>
      </c>
      <c r="U185" s="125">
        <f t="shared" si="170"/>
        <v>19618.847999999994</v>
      </c>
      <c r="V185" s="9" t="str">
        <f t="shared" si="171"/>
        <v/>
      </c>
      <c r="W185" s="9" t="str">
        <f t="shared" si="139"/>
        <v/>
      </c>
      <c r="X185" s="9"/>
      <c r="Y185" s="9"/>
      <c r="Z185" s="9"/>
      <c r="AA185" s="9"/>
    </row>
    <row r="186" spans="1:27" ht="13.5" customHeight="1" outlineLevel="1" x14ac:dyDescent="0.25">
      <c r="A186" s="366"/>
      <c r="B186" s="247" t="s">
        <v>103</v>
      </c>
      <c r="C186" s="175">
        <v>4.4999999999999998E-2</v>
      </c>
      <c r="D186" s="176">
        <v>0.14499999999999999</v>
      </c>
      <c r="E186" s="121">
        <v>4.8</v>
      </c>
      <c r="F186" s="112"/>
      <c r="G186" s="112"/>
      <c r="H186" s="177"/>
      <c r="I186" s="114"/>
      <c r="J186" s="115"/>
      <c r="K186" s="116"/>
      <c r="L186" s="117"/>
      <c r="M186" s="178"/>
      <c r="N186" s="119"/>
      <c r="O186" s="182"/>
      <c r="P186" s="121" t="str">
        <f t="shared" si="155"/>
        <v/>
      </c>
      <c r="Q186" s="122"/>
      <c r="R186" s="180"/>
      <c r="S186" s="121"/>
      <c r="T186" s="181"/>
      <c r="U186" s="125"/>
      <c r="V186" s="9"/>
      <c r="W186" s="9" t="str">
        <f t="shared" si="139"/>
        <v/>
      </c>
      <c r="X186" s="9"/>
      <c r="Y186" s="9"/>
      <c r="Z186" s="9"/>
      <c r="AA186" s="9"/>
    </row>
    <row r="187" spans="1:27" ht="13.5" customHeight="1" outlineLevel="1" x14ac:dyDescent="0.25">
      <c r="A187" s="366"/>
      <c r="B187" s="247" t="s">
        <v>103</v>
      </c>
      <c r="C187" s="175">
        <v>4.4999999999999998E-2</v>
      </c>
      <c r="D187" s="176">
        <v>0.14499999999999999</v>
      </c>
      <c r="E187" s="121">
        <v>6</v>
      </c>
      <c r="F187" s="112"/>
      <c r="G187" s="112"/>
      <c r="H187" s="177"/>
      <c r="I187" s="114"/>
      <c r="J187" s="115"/>
      <c r="K187" s="116"/>
      <c r="L187" s="117"/>
      <c r="M187" s="178"/>
      <c r="N187" s="119"/>
      <c r="O187" s="182"/>
      <c r="P187" s="121" t="str">
        <f t="shared" si="155"/>
        <v/>
      </c>
      <c r="Q187" s="122"/>
      <c r="R187" s="180"/>
      <c r="S187" s="121"/>
      <c r="T187" s="181"/>
      <c r="U187" s="125"/>
      <c r="V187" s="9"/>
      <c r="W187" s="9" t="str">
        <f t="shared" si="139"/>
        <v/>
      </c>
      <c r="X187" s="9"/>
      <c r="Y187" s="9"/>
      <c r="Z187" s="9"/>
      <c r="AA187" s="9"/>
    </row>
    <row r="188" spans="1:27" ht="13.5" customHeight="1" outlineLevel="1" x14ac:dyDescent="0.25">
      <c r="A188" s="366"/>
      <c r="B188" s="53" t="s">
        <v>86</v>
      </c>
      <c r="C188" s="175">
        <v>4.4999999999999998E-2</v>
      </c>
      <c r="D188" s="176">
        <v>0.14499999999999999</v>
      </c>
      <c r="E188" s="121">
        <v>6</v>
      </c>
      <c r="F188" s="112">
        <f>C188*D188*E188</f>
        <v>3.9149999999999997E-2</v>
      </c>
      <c r="G188" s="112">
        <f>D188*E188</f>
        <v>0.86999999999999988</v>
      </c>
      <c r="H188" s="177">
        <v>343</v>
      </c>
      <c r="I188" s="114">
        <f>ROUND(H188*1.1667,0)</f>
        <v>400</v>
      </c>
      <c r="J188" s="115">
        <f>ROUND((I188*0.992)*1.21,0)*(C188*D188*E188)</f>
        <v>18.791999999999998</v>
      </c>
      <c r="K188" s="116">
        <f>J188/(D188*E188)</f>
        <v>21.6</v>
      </c>
      <c r="L188" s="117">
        <f>T188+R188-O188</f>
        <v>1003</v>
      </c>
      <c r="M188" s="178">
        <f>L188*F188</f>
        <v>39.267449999999997</v>
      </c>
      <c r="N188" s="119">
        <f>L188*G188</f>
        <v>872.6099999999999</v>
      </c>
      <c r="O188" s="182"/>
      <c r="P188" s="121" t="str">
        <f t="shared" si="155"/>
        <v/>
      </c>
      <c r="Q188" s="122"/>
      <c r="R188" s="180"/>
      <c r="S188" s="121">
        <f>R188*F188</f>
        <v>0</v>
      </c>
      <c r="T188" s="181">
        <v>1003</v>
      </c>
      <c r="U188" s="125">
        <f>J188*L188</f>
        <v>18848.375999999997</v>
      </c>
      <c r="V188" s="9" t="str">
        <f>IF(O188="","",Q188-(O188*(H188*F188)))</f>
        <v/>
      </c>
      <c r="W188" s="9" t="str">
        <f t="shared" si="139"/>
        <v/>
      </c>
      <c r="X188" s="9"/>
      <c r="Y188" s="9"/>
      <c r="Z188" s="9"/>
      <c r="AA188" s="9"/>
    </row>
    <row r="189" spans="1:27" ht="13.5" customHeight="1" outlineLevel="1" x14ac:dyDescent="0.25">
      <c r="A189" s="366"/>
      <c r="B189" s="247" t="s">
        <v>103</v>
      </c>
      <c r="C189" s="54">
        <v>4.4999999999999998E-2</v>
      </c>
      <c r="D189" s="55">
        <v>0.19500000000000001</v>
      </c>
      <c r="E189" s="56">
        <v>4.8</v>
      </c>
      <c r="F189" s="112"/>
      <c r="G189" s="112"/>
      <c r="H189" s="177"/>
      <c r="I189" s="114"/>
      <c r="J189" s="115"/>
      <c r="K189" s="116"/>
      <c r="L189" s="117"/>
      <c r="M189" s="178"/>
      <c r="N189" s="119"/>
      <c r="O189" s="182"/>
      <c r="P189" s="121" t="str">
        <f t="shared" si="155"/>
        <v/>
      </c>
      <c r="Q189" s="122"/>
      <c r="R189" s="180"/>
      <c r="S189" s="121"/>
      <c r="T189" s="181"/>
      <c r="U189" s="125"/>
      <c r="V189" s="9"/>
      <c r="W189" s="9" t="str">
        <f t="shared" si="139"/>
        <v/>
      </c>
      <c r="X189" s="9"/>
      <c r="Y189" s="9"/>
      <c r="Z189" s="9"/>
      <c r="AA189" s="9"/>
    </row>
    <row r="190" spans="1:27" ht="13.5" customHeight="1" outlineLevel="1" x14ac:dyDescent="0.25">
      <c r="A190" s="366"/>
      <c r="B190" s="247" t="s">
        <v>104</v>
      </c>
      <c r="C190" s="175">
        <v>4.4999999999999998E-2</v>
      </c>
      <c r="D190" s="176">
        <v>0.19500000000000001</v>
      </c>
      <c r="E190" s="121">
        <v>6</v>
      </c>
      <c r="F190" s="112"/>
      <c r="G190" s="112"/>
      <c r="H190" s="177"/>
      <c r="I190" s="114"/>
      <c r="J190" s="115"/>
      <c r="K190" s="116"/>
      <c r="L190" s="117"/>
      <c r="M190" s="178"/>
      <c r="N190" s="119"/>
      <c r="O190" s="182"/>
      <c r="P190" s="121" t="str">
        <f t="shared" si="155"/>
        <v/>
      </c>
      <c r="Q190" s="122"/>
      <c r="R190" s="180"/>
      <c r="S190" s="121"/>
      <c r="T190" s="181"/>
      <c r="U190" s="125"/>
      <c r="V190" s="9"/>
      <c r="W190" s="9" t="str">
        <f t="shared" si="139"/>
        <v/>
      </c>
      <c r="X190" s="9"/>
      <c r="Y190" s="9"/>
      <c r="Z190" s="9"/>
      <c r="AA190" s="9"/>
    </row>
    <row r="191" spans="1:27" ht="13.5" customHeight="1" outlineLevel="1" x14ac:dyDescent="0.25">
      <c r="A191" s="366"/>
      <c r="B191" s="53"/>
      <c r="C191" s="175">
        <v>4.4999999999999998E-2</v>
      </c>
      <c r="D191" s="176">
        <v>0.22</v>
      </c>
      <c r="E191" s="121">
        <v>3.6</v>
      </c>
      <c r="F191" s="112">
        <f>C191*D191*E191</f>
        <v>3.5639999999999998E-2</v>
      </c>
      <c r="G191" s="112">
        <f>D191*E191</f>
        <v>0.79200000000000004</v>
      </c>
      <c r="H191" s="177">
        <v>343</v>
      </c>
      <c r="I191" s="114">
        <f>ROUND(H191*1.1667,0)</f>
        <v>400</v>
      </c>
      <c r="J191" s="115">
        <f>ROUND((I191*0.992)*1.21,0)*(C191*D191*E191)</f>
        <v>17.107199999999999</v>
      </c>
      <c r="K191" s="116">
        <f>J191/(D191*E191)</f>
        <v>21.599999999999998</v>
      </c>
      <c r="L191" s="117">
        <f>T191+R191-O191</f>
        <v>40</v>
      </c>
      <c r="M191" s="178">
        <f>L191*F191</f>
        <v>1.4256</v>
      </c>
      <c r="N191" s="119">
        <f>L191*G191</f>
        <v>31.68</v>
      </c>
      <c r="O191" s="182"/>
      <c r="P191" s="121" t="str">
        <f t="shared" si="155"/>
        <v/>
      </c>
      <c r="Q191" s="122"/>
      <c r="R191" s="180"/>
      <c r="S191" s="121">
        <f>R191*F191</f>
        <v>0</v>
      </c>
      <c r="T191" s="181">
        <v>40</v>
      </c>
      <c r="U191" s="125">
        <f>J191*L191</f>
        <v>684.28800000000001</v>
      </c>
      <c r="V191" s="9" t="str">
        <f>IF(O191="","",Q191-(O191*(H191*F191)))</f>
        <v/>
      </c>
      <c r="W191" s="9" t="str">
        <f t="shared" si="139"/>
        <v/>
      </c>
      <c r="X191" s="9"/>
      <c r="Y191" s="9"/>
      <c r="Z191" s="9"/>
      <c r="AA191" s="9"/>
    </row>
    <row r="192" spans="1:27" ht="13.5" customHeight="1" outlineLevel="1" x14ac:dyDescent="0.25">
      <c r="A192" s="366"/>
      <c r="B192" s="248" t="s">
        <v>105</v>
      </c>
      <c r="C192" s="175">
        <v>4.4999999999999998E-2</v>
      </c>
      <c r="D192" s="176">
        <v>0.22</v>
      </c>
      <c r="E192" s="121">
        <v>4.8</v>
      </c>
      <c r="F192" s="112"/>
      <c r="G192" s="112"/>
      <c r="H192" s="177"/>
      <c r="I192" s="114"/>
      <c r="J192" s="115"/>
      <c r="K192" s="116"/>
      <c r="L192" s="117"/>
      <c r="M192" s="178"/>
      <c r="N192" s="119"/>
      <c r="O192" s="182"/>
      <c r="P192" s="121" t="str">
        <f t="shared" si="155"/>
        <v/>
      </c>
      <c r="Q192" s="122"/>
      <c r="R192" s="180"/>
      <c r="S192" s="121"/>
      <c r="T192" s="181"/>
      <c r="U192" s="125"/>
      <c r="V192" s="9"/>
      <c r="W192" s="9"/>
      <c r="X192" s="9"/>
      <c r="Y192" s="9"/>
      <c r="Z192" s="9"/>
      <c r="AA192" s="9"/>
    </row>
    <row r="193" spans="1:27" ht="13.5" customHeight="1" outlineLevel="1" x14ac:dyDescent="0.25">
      <c r="A193" s="366"/>
      <c r="B193" s="53"/>
      <c r="C193" s="175">
        <v>4.4999999999999998E-2</v>
      </c>
      <c r="D193" s="176">
        <v>0.22</v>
      </c>
      <c r="E193" s="121">
        <v>6</v>
      </c>
      <c r="F193" s="112">
        <f t="shared" ref="F193:F195" si="172">C193*D193*E193</f>
        <v>5.9399999999999994E-2</v>
      </c>
      <c r="G193" s="112">
        <f t="shared" ref="G193:G195" si="173">D193*E193</f>
        <v>1.32</v>
      </c>
      <c r="H193" s="177">
        <v>343</v>
      </c>
      <c r="I193" s="114">
        <f t="shared" ref="I193:I195" si="174">ROUND(H193*1.1667,0)</f>
        <v>400</v>
      </c>
      <c r="J193" s="115">
        <f t="shared" ref="J193:J195" si="175">ROUND((I193*0.992)*1.21,0)*(C193*D193*E193)</f>
        <v>28.511999999999997</v>
      </c>
      <c r="K193" s="116">
        <f t="shared" ref="K193:K195" si="176">J193/(D193*E193)</f>
        <v>21.599999999999998</v>
      </c>
      <c r="L193" s="117">
        <f t="shared" ref="L193:L195" si="177">T193+R193-O193</f>
        <v>45</v>
      </c>
      <c r="M193" s="178">
        <f t="shared" ref="M193:M195" si="178">L193*F193</f>
        <v>2.6729999999999996</v>
      </c>
      <c r="N193" s="119">
        <f t="shared" ref="N193:N195" si="179">L193*G193</f>
        <v>59.400000000000006</v>
      </c>
      <c r="O193" s="182"/>
      <c r="P193" s="121"/>
      <c r="Q193" s="122"/>
      <c r="R193" s="180"/>
      <c r="S193" s="121">
        <f t="shared" ref="S193:S195" si="180">R193*F193</f>
        <v>0</v>
      </c>
      <c r="T193" s="181">
        <v>45</v>
      </c>
      <c r="U193" s="125">
        <f t="shared" ref="U193:U195" si="181">J193*L193</f>
        <v>1283.04</v>
      </c>
      <c r="V193" s="9" t="str">
        <f t="shared" ref="V193:V195" si="182">IF(O193="","",Q193-(O193*(H193*F193)))</f>
        <v/>
      </c>
      <c r="W193" s="9" t="str">
        <f t="shared" ref="W193:W198" si="183">IF(O193="","",(P193*H193))</f>
        <v/>
      </c>
      <c r="X193" s="9"/>
      <c r="Y193" s="9"/>
      <c r="Z193" s="9"/>
      <c r="AA193" s="9"/>
    </row>
    <row r="194" spans="1:27" ht="13.5" customHeight="1" outlineLevel="1" x14ac:dyDescent="0.25">
      <c r="A194" s="366"/>
      <c r="B194" s="53"/>
      <c r="C194" s="175">
        <v>4.7E-2</v>
      </c>
      <c r="D194" s="176">
        <v>0.2</v>
      </c>
      <c r="E194" s="121">
        <v>6</v>
      </c>
      <c r="F194" s="112">
        <f t="shared" si="172"/>
        <v>5.6400000000000006E-2</v>
      </c>
      <c r="G194" s="112">
        <f t="shared" si="173"/>
        <v>1.2000000000000002</v>
      </c>
      <c r="H194" s="177">
        <v>343</v>
      </c>
      <c r="I194" s="114">
        <f t="shared" si="174"/>
        <v>400</v>
      </c>
      <c r="J194" s="115">
        <f t="shared" si="175"/>
        <v>27.072000000000003</v>
      </c>
      <c r="K194" s="116">
        <f t="shared" si="176"/>
        <v>22.56</v>
      </c>
      <c r="L194" s="117">
        <f t="shared" si="177"/>
        <v>44</v>
      </c>
      <c r="M194" s="178">
        <f t="shared" si="178"/>
        <v>2.4816000000000003</v>
      </c>
      <c r="N194" s="119">
        <f t="shared" si="179"/>
        <v>52.800000000000011</v>
      </c>
      <c r="O194" s="182"/>
      <c r="P194" s="121" t="str">
        <f t="shared" ref="P194:P195" si="184">IF(O194="","",(O194*F194))</f>
        <v/>
      </c>
      <c r="Q194" s="122"/>
      <c r="R194" s="180"/>
      <c r="S194" s="121">
        <f t="shared" si="180"/>
        <v>0</v>
      </c>
      <c r="T194" s="181">
        <v>44</v>
      </c>
      <c r="U194" s="125">
        <f t="shared" si="181"/>
        <v>1191.1680000000001</v>
      </c>
      <c r="V194" s="9" t="str">
        <f t="shared" si="182"/>
        <v/>
      </c>
      <c r="W194" s="9" t="str">
        <f t="shared" si="183"/>
        <v/>
      </c>
      <c r="X194" s="9"/>
      <c r="Y194" s="9"/>
      <c r="Z194" s="9"/>
      <c r="AA194" s="9"/>
    </row>
    <row r="195" spans="1:27" ht="13.5" customHeight="1" outlineLevel="1" x14ac:dyDescent="0.25">
      <c r="A195" s="366"/>
      <c r="B195" s="53"/>
      <c r="C195" s="175">
        <v>7.4999999999999997E-2</v>
      </c>
      <c r="D195" s="176">
        <v>0.19500000000000001</v>
      </c>
      <c r="E195" s="121">
        <v>6</v>
      </c>
      <c r="F195" s="112">
        <f t="shared" si="172"/>
        <v>8.7749999999999995E-2</v>
      </c>
      <c r="G195" s="112">
        <f t="shared" si="173"/>
        <v>1.17</v>
      </c>
      <c r="H195" s="177">
        <v>343</v>
      </c>
      <c r="I195" s="114">
        <f t="shared" si="174"/>
        <v>400</v>
      </c>
      <c r="J195" s="115">
        <f t="shared" si="175"/>
        <v>42.12</v>
      </c>
      <c r="K195" s="116">
        <f t="shared" si="176"/>
        <v>36</v>
      </c>
      <c r="L195" s="117">
        <f t="shared" si="177"/>
        <v>104</v>
      </c>
      <c r="M195" s="178">
        <f t="shared" si="178"/>
        <v>9.1259999999999994</v>
      </c>
      <c r="N195" s="119">
        <f t="shared" si="179"/>
        <v>121.67999999999999</v>
      </c>
      <c r="O195" s="249"/>
      <c r="P195" s="121" t="str">
        <f t="shared" si="184"/>
        <v/>
      </c>
      <c r="Q195" s="250"/>
      <c r="R195" s="180"/>
      <c r="S195" s="121">
        <f t="shared" si="180"/>
        <v>0</v>
      </c>
      <c r="T195" s="181">
        <v>104</v>
      </c>
      <c r="U195" s="125">
        <f t="shared" si="181"/>
        <v>4380.4799999999996</v>
      </c>
      <c r="V195" s="9" t="str">
        <f t="shared" si="182"/>
        <v/>
      </c>
      <c r="W195" s="9" t="str">
        <f t="shared" si="183"/>
        <v/>
      </c>
      <c r="X195" s="9"/>
      <c r="Y195" s="9"/>
      <c r="Z195" s="9"/>
      <c r="AA195" s="9"/>
    </row>
    <row r="196" spans="1:27" ht="13.5" customHeight="1" x14ac:dyDescent="0.25">
      <c r="A196" s="366"/>
      <c r="B196" s="149" t="s">
        <v>56</v>
      </c>
      <c r="C196" s="209"/>
      <c r="D196" s="209"/>
      <c r="E196" s="209"/>
      <c r="F196" s="209"/>
      <c r="G196" s="209"/>
      <c r="H196" s="153">
        <f t="shared" ref="H196:I196" si="185">AVERAGE(H175:H195)</f>
        <v>338.91428571428571</v>
      </c>
      <c r="I196" s="153">
        <f t="shared" si="185"/>
        <v>396.21428571428572</v>
      </c>
      <c r="J196" s="154"/>
      <c r="K196" s="152">
        <f>AVERAGE(K175:K195)</f>
        <v>19.596214285714286</v>
      </c>
      <c r="L196" s="155"/>
      <c r="M196" s="251">
        <f>SUM(M175:M195)</f>
        <v>109.9267354</v>
      </c>
      <c r="N196" s="212"/>
      <c r="O196" s="157"/>
      <c r="P196" s="196">
        <f t="shared" ref="P196:Q196" si="186">SUM(P175:P195)</f>
        <v>0</v>
      </c>
      <c r="Q196" s="251">
        <f t="shared" si="186"/>
        <v>0</v>
      </c>
      <c r="R196" s="190"/>
      <c r="S196" s="161">
        <f>SUM(S175:S195)</f>
        <v>0</v>
      </c>
      <c r="T196" s="162"/>
      <c r="U196" s="246">
        <f>SUM(U175:U195)</f>
        <v>52965.499607999984</v>
      </c>
      <c r="V196" s="9"/>
      <c r="W196" s="9" t="str">
        <f t="shared" si="183"/>
        <v/>
      </c>
      <c r="X196" s="9"/>
      <c r="Y196" s="9"/>
      <c r="Z196" s="9"/>
      <c r="AA196" s="9"/>
    </row>
    <row r="197" spans="1:27" ht="15" customHeight="1" x14ac:dyDescent="0.25">
      <c r="A197" s="366"/>
      <c r="B197" s="252" t="s">
        <v>106</v>
      </c>
      <c r="C197" s="253"/>
      <c r="D197" s="253"/>
      <c r="E197" s="253"/>
      <c r="F197" s="253"/>
      <c r="G197" s="253"/>
      <c r="H197" s="253"/>
      <c r="I197" s="254">
        <f>AVERAGE(I173,I196)</f>
        <v>342.16359447004606</v>
      </c>
      <c r="J197" s="255"/>
      <c r="K197" s="256">
        <f>AVERAGE(K173,K196)</f>
        <v>20.662123271889406</v>
      </c>
      <c r="L197" s="257"/>
      <c r="M197" s="258">
        <f>SUM(M173+M196)</f>
        <v>399.99647540000007</v>
      </c>
      <c r="N197" s="259"/>
      <c r="O197" s="260"/>
      <c r="P197" s="261">
        <f t="shared" ref="P197:Q197" si="187">SUM(P173+P196)</f>
        <v>4.1656000000000004</v>
      </c>
      <c r="Q197" s="262">
        <f t="shared" si="187"/>
        <v>1292.54</v>
      </c>
      <c r="R197" s="263"/>
      <c r="S197" s="264">
        <f>SUM(S173+S196)</f>
        <v>1.7282500000000005</v>
      </c>
      <c r="T197" s="265"/>
      <c r="U197" s="266">
        <f>U196+U173</f>
        <v>150074.204638</v>
      </c>
      <c r="V197" s="9"/>
      <c r="W197" s="9" t="str">
        <f t="shared" si="183"/>
        <v/>
      </c>
      <c r="X197" s="9"/>
      <c r="Y197" s="9"/>
      <c r="Z197" s="9"/>
      <c r="AA197" s="9"/>
    </row>
    <row r="198" spans="1:27" ht="13.5" customHeight="1" x14ac:dyDescent="0.25">
      <c r="A198" s="368"/>
      <c r="B198" s="267"/>
      <c r="C198" s="267"/>
      <c r="D198" s="268"/>
      <c r="E198" s="268"/>
      <c r="F198" s="269"/>
      <c r="G198" s="269"/>
      <c r="H198" s="267"/>
      <c r="I198" s="270"/>
      <c r="J198" s="271"/>
      <c r="K198" s="272"/>
      <c r="L198" s="273"/>
      <c r="M198" s="274"/>
      <c r="N198" s="267"/>
      <c r="O198" s="275"/>
      <c r="P198" s="268"/>
      <c r="Q198" s="276"/>
      <c r="R198" s="277"/>
      <c r="S198" s="268"/>
      <c r="T198" s="278"/>
      <c r="U198" s="279"/>
      <c r="V198" s="9"/>
      <c r="W198" s="9" t="str">
        <f t="shared" si="183"/>
        <v/>
      </c>
      <c r="X198" s="9"/>
      <c r="Y198" s="9"/>
      <c r="Z198" s="9"/>
      <c r="AA198" s="9"/>
    </row>
    <row r="199" spans="1:27" ht="13.5" customHeight="1" x14ac:dyDescent="0.25">
      <c r="A199" s="369"/>
      <c r="B199" s="280" t="s">
        <v>31</v>
      </c>
      <c r="C199" s="60"/>
      <c r="D199" s="61"/>
      <c r="E199" s="60"/>
      <c r="F199" s="281"/>
      <c r="G199" s="281"/>
      <c r="H199" s="60"/>
      <c r="I199" s="282">
        <f>AVERAGE(I100,I108,I197)</f>
        <v>397.30116397700908</v>
      </c>
      <c r="J199" s="64"/>
      <c r="K199" s="62"/>
      <c r="L199" s="283"/>
      <c r="M199" s="62">
        <f>SUM(M100+M108+M197)</f>
        <v>633.58526380000001</v>
      </c>
      <c r="N199" s="284"/>
      <c r="O199" s="63"/>
      <c r="P199" s="62" t="e">
        <f t="shared" ref="P199:Q199" si="188">SUM(P100+P108+P197)</f>
        <v>#VALUE!</v>
      </c>
      <c r="Q199" s="285">
        <f t="shared" si="188"/>
        <v>1562.54</v>
      </c>
      <c r="R199" s="286"/>
      <c r="S199" s="62">
        <f>SUM(S100+S108+S197)</f>
        <v>1.7282500000000005</v>
      </c>
      <c r="T199" s="287"/>
      <c r="U199" s="288">
        <f>SUM(U100+U108+U197)</f>
        <v>271700.06897072459</v>
      </c>
      <c r="V199" s="9">
        <f t="shared" ref="V199:W199" si="189">SUM(V2:V198)</f>
        <v>308.75471999999991</v>
      </c>
      <c r="W199" s="9">
        <f t="shared" si="189"/>
        <v>1107.7852800000003</v>
      </c>
      <c r="X199" s="9"/>
      <c r="Y199" s="9"/>
      <c r="Z199" s="9"/>
      <c r="AA199" s="9"/>
    </row>
    <row r="200" spans="1:27" ht="13.5" customHeight="1" x14ac:dyDescent="0.25">
      <c r="A200" s="9"/>
      <c r="B200" s="9"/>
      <c r="C200" s="9"/>
      <c r="D200" s="9"/>
      <c r="E200" s="9"/>
      <c r="F200" s="185"/>
      <c r="G200" s="185"/>
      <c r="H200" s="9"/>
      <c r="I200" s="289"/>
      <c r="J200" s="290"/>
      <c r="K200" s="291"/>
      <c r="L200" s="292"/>
      <c r="M200" s="9"/>
      <c r="N200" s="9"/>
      <c r="O200" s="42"/>
      <c r="P200" s="9"/>
      <c r="Q200" s="43"/>
      <c r="R200" s="293"/>
      <c r="S200" s="291"/>
      <c r="T200" s="294"/>
      <c r="U200" s="295"/>
      <c r="V200" s="9"/>
      <c r="W200" s="9"/>
      <c r="X200" s="9"/>
      <c r="Y200" s="9"/>
      <c r="Z200" s="9"/>
      <c r="AA200" s="9"/>
    </row>
    <row r="201" spans="1:27" ht="13.5" customHeight="1" x14ac:dyDescent="0.25">
      <c r="A201" s="9"/>
      <c r="B201" s="9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7"/>
      <c r="Q201" s="296"/>
      <c r="R201" s="294"/>
      <c r="S201" s="9"/>
      <c r="T201" s="9"/>
      <c r="U201" s="9"/>
      <c r="V201" s="9"/>
      <c r="W201" s="9"/>
      <c r="X201" s="9"/>
      <c r="Y201" s="9"/>
      <c r="Z201" s="298"/>
      <c r="AA201" s="298"/>
    </row>
    <row r="202" spans="1:27" ht="13.5" customHeight="1" x14ac:dyDescent="0.25">
      <c r="A202" s="9"/>
      <c r="B202" s="9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7"/>
      <c r="Q202" s="296"/>
      <c r="R202" s="294"/>
      <c r="S202" s="9"/>
      <c r="T202" s="9"/>
      <c r="U202" s="9"/>
      <c r="V202" s="9"/>
      <c r="W202" s="9"/>
      <c r="X202" s="9"/>
      <c r="Y202" s="9"/>
      <c r="Z202" s="298"/>
      <c r="AA202" s="298"/>
    </row>
    <row r="203" spans="1:27" ht="13.5" customHeight="1" x14ac:dyDescent="0.25">
      <c r="A203" s="9"/>
      <c r="B203" s="9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7"/>
      <c r="Q203" s="296"/>
      <c r="R203" s="294"/>
      <c r="S203" s="9"/>
      <c r="T203" s="9"/>
      <c r="U203" s="9"/>
      <c r="V203" s="9"/>
      <c r="W203" s="9"/>
      <c r="X203" s="9"/>
      <c r="Y203" s="9"/>
      <c r="Z203" s="298"/>
      <c r="AA203" s="298"/>
    </row>
    <row r="204" spans="1:27" ht="13.5" customHeight="1" x14ac:dyDescent="0.25">
      <c r="A204" s="9"/>
      <c r="B204" s="9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7"/>
      <c r="Q204" s="296"/>
      <c r="R204" s="294"/>
      <c r="S204" s="9"/>
      <c r="T204" s="9"/>
      <c r="U204" s="9"/>
      <c r="V204" s="9"/>
      <c r="W204" s="9"/>
      <c r="X204" s="9"/>
      <c r="Y204" s="9"/>
      <c r="Z204" s="298"/>
      <c r="AA204" s="298"/>
    </row>
    <row r="205" spans="1:27" ht="13.5" customHeight="1" x14ac:dyDescent="0.25">
      <c r="A205" s="9"/>
      <c r="B205" s="9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7"/>
      <c r="Q205" s="296"/>
      <c r="R205" s="294"/>
      <c r="S205" s="9"/>
      <c r="T205" s="9"/>
      <c r="U205" s="9"/>
      <c r="V205" s="9"/>
      <c r="W205" s="9"/>
      <c r="X205" s="9"/>
      <c r="Y205" s="9"/>
      <c r="Z205" s="298"/>
      <c r="AA205" s="298"/>
    </row>
    <row r="206" spans="1:27" ht="13.5" customHeight="1" x14ac:dyDescent="0.25">
      <c r="A206" s="9"/>
      <c r="B206" s="9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7"/>
      <c r="Q206" s="296"/>
      <c r="R206" s="294"/>
      <c r="S206" s="9"/>
      <c r="T206" s="9"/>
      <c r="U206" s="9"/>
      <c r="V206" s="9"/>
      <c r="W206" s="9"/>
      <c r="X206" s="9"/>
      <c r="Y206" s="9"/>
      <c r="Z206" s="298"/>
      <c r="AA206" s="298"/>
    </row>
    <row r="207" spans="1:27" ht="13.5" customHeight="1" x14ac:dyDescent="0.25">
      <c r="A207" s="9"/>
      <c r="B207" s="9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7"/>
      <c r="Q207" s="296"/>
      <c r="R207" s="294"/>
      <c r="S207" s="9"/>
      <c r="T207" s="9"/>
      <c r="U207" s="9"/>
      <c r="V207" s="9"/>
      <c r="W207" s="9"/>
      <c r="X207" s="9"/>
      <c r="Y207" s="9"/>
      <c r="Z207" s="298"/>
      <c r="AA207" s="298"/>
    </row>
    <row r="208" spans="1:27" ht="13.5" customHeight="1" x14ac:dyDescent="0.25">
      <c r="A208" s="9"/>
      <c r="B208" s="9"/>
      <c r="C208" s="363" t="s">
        <v>107</v>
      </c>
      <c r="D208" s="361"/>
      <c r="E208" s="361"/>
      <c r="F208" s="361"/>
      <c r="G208" s="361"/>
      <c r="H208" s="361"/>
      <c r="I208" s="361"/>
      <c r="J208" s="361"/>
      <c r="K208" s="361"/>
      <c r="L208" s="359"/>
      <c r="M208" s="363" t="s">
        <v>108</v>
      </c>
      <c r="N208" s="361"/>
      <c r="O208" s="361"/>
      <c r="P208" s="361"/>
      <c r="Q208" s="361"/>
      <c r="R208" s="359"/>
      <c r="S208" s="294"/>
      <c r="T208" s="9"/>
      <c r="U208" s="9"/>
      <c r="V208" s="9"/>
      <c r="W208" s="9"/>
      <c r="X208" s="9"/>
      <c r="Y208" s="9"/>
      <c r="Z208" s="298"/>
      <c r="AA208" s="298"/>
    </row>
    <row r="209" spans="1:27" ht="13.5" customHeight="1" x14ac:dyDescent="0.25">
      <c r="A209" s="9"/>
      <c r="B209" s="9"/>
      <c r="C209" s="299" t="s">
        <v>35</v>
      </c>
      <c r="D209" s="299" t="s">
        <v>24</v>
      </c>
      <c r="E209" s="299" t="s">
        <v>25</v>
      </c>
      <c r="F209" s="299" t="s">
        <v>36</v>
      </c>
      <c r="G209" s="300" t="s">
        <v>37</v>
      </c>
      <c r="H209" s="299"/>
      <c r="I209" s="301" t="s">
        <v>26</v>
      </c>
      <c r="J209" s="302" t="s">
        <v>27</v>
      </c>
      <c r="K209" s="303" t="s">
        <v>109</v>
      </c>
      <c r="L209" s="303" t="s">
        <v>110</v>
      </c>
      <c r="M209" s="299" t="s">
        <v>35</v>
      </c>
      <c r="N209" s="299" t="s">
        <v>24</v>
      </c>
      <c r="O209" s="299" t="s">
        <v>25</v>
      </c>
      <c r="P209" s="364" t="s">
        <v>111</v>
      </c>
      <c r="Q209" s="359"/>
      <c r="R209" s="303" t="s">
        <v>112</v>
      </c>
      <c r="S209" s="42"/>
      <c r="T209" s="43"/>
      <c r="U209" s="293"/>
      <c r="V209" s="291"/>
      <c r="W209" s="294"/>
      <c r="X209" s="295"/>
      <c r="Y209" s="9"/>
      <c r="Z209" s="9"/>
      <c r="AA209" s="9"/>
    </row>
    <row r="210" spans="1:27" ht="13.5" customHeight="1" x14ac:dyDescent="0.25">
      <c r="A210" s="9"/>
      <c r="B210" s="9"/>
      <c r="C210" s="175">
        <v>0.05</v>
      </c>
      <c r="D210" s="176">
        <v>0.2</v>
      </c>
      <c r="E210" s="121">
        <v>6</v>
      </c>
      <c r="F210" s="112">
        <f t="shared" ref="F210:F215" si="190">C210*D210*E210</f>
        <v>6.0000000000000012E-2</v>
      </c>
      <c r="G210" s="112">
        <f t="shared" ref="G210:G215" si="191">D210*E210</f>
        <v>1.2000000000000002</v>
      </c>
      <c r="H210" s="177">
        <v>240</v>
      </c>
      <c r="I210" s="114">
        <f t="shared" ref="I210:I213" si="192">ROUND(H210*1.1667,0)</f>
        <v>280</v>
      </c>
      <c r="J210" s="115">
        <f t="shared" ref="J210:J215" si="193">ROUND((I210*0.992)*1.21,0)*(C210*D210*E210)</f>
        <v>20.160000000000004</v>
      </c>
      <c r="K210" s="304">
        <v>95</v>
      </c>
      <c r="L210" s="305">
        <f t="shared" ref="L210:L218" si="194">IF($P$219&gt;=1,I210*((C210*D210*E210)*K210),J210*K210)</f>
        <v>1596.0000000000002</v>
      </c>
      <c r="M210" s="305">
        <f t="shared" ref="M210:M218" si="195">IF(C210=0,0,C210*MAX(1,ROUNDUP(K210/INT(1.1/D210),0)))</f>
        <v>0.95000000000000007</v>
      </c>
      <c r="N210" s="305">
        <f t="shared" ref="N210:N218" si="196">IF(D210=0,0,IF(D210*K210&lt;=1.1,D210*K210,INT(1.1/D210)*D210))</f>
        <v>1</v>
      </c>
      <c r="O210" s="305">
        <f t="shared" ref="O210:O218" si="197">E210</f>
        <v>6</v>
      </c>
      <c r="P210" s="358">
        <f t="shared" ref="P210:P218" si="198">ROUND((C210*D210*E210)*K210,2)</f>
        <v>5.7</v>
      </c>
      <c r="Q210" s="359"/>
      <c r="R210" s="305">
        <f t="shared" ref="R210:R218" si="199">P210*480</f>
        <v>2736</v>
      </c>
      <c r="S210" s="326"/>
      <c r="T210" s="43"/>
      <c r="U210" s="293"/>
      <c r="V210" s="291"/>
      <c r="W210" s="9"/>
      <c r="X210" s="295"/>
      <c r="Y210" s="9"/>
      <c r="Z210" s="9"/>
      <c r="AA210" s="9"/>
    </row>
    <row r="211" spans="1:27" ht="13.5" customHeight="1" x14ac:dyDescent="0.25">
      <c r="A211" s="9"/>
      <c r="B211" s="9"/>
      <c r="C211" s="175">
        <v>0.05</v>
      </c>
      <c r="D211" s="176">
        <v>0.2</v>
      </c>
      <c r="E211" s="121">
        <v>4.9000000000000004</v>
      </c>
      <c r="F211" s="112">
        <f t="shared" si="190"/>
        <v>4.9000000000000016E-2</v>
      </c>
      <c r="G211" s="112">
        <f t="shared" si="191"/>
        <v>0.98000000000000009</v>
      </c>
      <c r="H211" s="177">
        <v>240</v>
      </c>
      <c r="I211" s="114">
        <f t="shared" si="192"/>
        <v>280</v>
      </c>
      <c r="J211" s="115">
        <f t="shared" si="193"/>
        <v>16.464000000000006</v>
      </c>
      <c r="K211" s="304">
        <v>51</v>
      </c>
      <c r="L211" s="305">
        <f t="shared" si="194"/>
        <v>699.72000000000025</v>
      </c>
      <c r="M211" s="305">
        <f t="shared" si="195"/>
        <v>0.55000000000000004</v>
      </c>
      <c r="N211" s="305">
        <f t="shared" si="196"/>
        <v>1</v>
      </c>
      <c r="O211" s="305">
        <f t="shared" si="197"/>
        <v>4.9000000000000004</v>
      </c>
      <c r="P211" s="358">
        <f t="shared" si="198"/>
        <v>2.5</v>
      </c>
      <c r="Q211" s="359"/>
      <c r="R211" s="305">
        <f t="shared" si="199"/>
        <v>1200</v>
      </c>
      <c r="S211" s="42"/>
      <c r="T211" s="43"/>
      <c r="U211" s="293"/>
      <c r="V211" s="291"/>
      <c r="W211" s="9"/>
      <c r="X211" s="295"/>
      <c r="Y211" s="9"/>
      <c r="Z211" s="9"/>
      <c r="AA211" s="9"/>
    </row>
    <row r="212" spans="1:27" ht="13.5" customHeight="1" x14ac:dyDescent="0.25">
      <c r="A212" s="9"/>
      <c r="B212" s="9"/>
      <c r="C212" s="175">
        <v>0.1</v>
      </c>
      <c r="D212" s="176">
        <v>0.15</v>
      </c>
      <c r="E212" s="121">
        <v>6</v>
      </c>
      <c r="F212" s="112">
        <f t="shared" si="190"/>
        <v>0.09</v>
      </c>
      <c r="G212" s="112">
        <f t="shared" si="191"/>
        <v>0.89999999999999991</v>
      </c>
      <c r="H212" s="238">
        <v>240</v>
      </c>
      <c r="I212" s="114">
        <f t="shared" si="192"/>
        <v>280</v>
      </c>
      <c r="J212" s="115">
        <f t="shared" si="193"/>
        <v>30.24</v>
      </c>
      <c r="K212" s="304">
        <v>10</v>
      </c>
      <c r="L212" s="305">
        <f t="shared" si="194"/>
        <v>251.99999999999997</v>
      </c>
      <c r="M212" s="305">
        <f t="shared" si="195"/>
        <v>0.2</v>
      </c>
      <c r="N212" s="305">
        <f t="shared" si="196"/>
        <v>1.05</v>
      </c>
      <c r="O212" s="305">
        <f t="shared" si="197"/>
        <v>6</v>
      </c>
      <c r="P212" s="358">
        <f t="shared" si="198"/>
        <v>0.9</v>
      </c>
      <c r="Q212" s="359"/>
      <c r="R212" s="305">
        <f t="shared" si="199"/>
        <v>432</v>
      </c>
      <c r="S212" s="42"/>
      <c r="T212" s="43"/>
      <c r="U212" s="293"/>
      <c r="V212" s="291"/>
      <c r="W212" s="9"/>
      <c r="X212" s="295"/>
      <c r="Y212" s="9"/>
      <c r="Z212" s="9"/>
      <c r="AA212" s="9"/>
    </row>
    <row r="213" spans="1:27" ht="13.5" customHeight="1" x14ac:dyDescent="0.25">
      <c r="A213" s="9"/>
      <c r="B213" s="9"/>
      <c r="C213" s="175">
        <v>0.1</v>
      </c>
      <c r="D213" s="176">
        <v>0.1</v>
      </c>
      <c r="E213" s="121">
        <v>6</v>
      </c>
      <c r="F213" s="112">
        <f t="shared" si="190"/>
        <v>6.0000000000000012E-2</v>
      </c>
      <c r="G213" s="112">
        <f t="shared" si="191"/>
        <v>0.60000000000000009</v>
      </c>
      <c r="H213" s="177">
        <v>240</v>
      </c>
      <c r="I213" s="114">
        <f t="shared" si="192"/>
        <v>280</v>
      </c>
      <c r="J213" s="115">
        <f t="shared" si="193"/>
        <v>20.160000000000004</v>
      </c>
      <c r="K213" s="304">
        <v>10</v>
      </c>
      <c r="L213" s="305">
        <f t="shared" si="194"/>
        <v>168.00000000000003</v>
      </c>
      <c r="M213" s="305">
        <f t="shared" si="195"/>
        <v>0.1</v>
      </c>
      <c r="N213" s="305">
        <f t="shared" si="196"/>
        <v>1</v>
      </c>
      <c r="O213" s="305">
        <f t="shared" si="197"/>
        <v>6</v>
      </c>
      <c r="P213" s="358">
        <f t="shared" si="198"/>
        <v>0.6</v>
      </c>
      <c r="Q213" s="359"/>
      <c r="R213" s="305">
        <f t="shared" si="199"/>
        <v>288</v>
      </c>
      <c r="S213" s="326"/>
      <c r="T213" s="43"/>
      <c r="U213" s="293"/>
      <c r="V213" s="291"/>
      <c r="W213" s="9"/>
      <c r="X213" s="295"/>
      <c r="Y213" s="9"/>
      <c r="Z213" s="9"/>
      <c r="AA213" s="9"/>
    </row>
    <row r="214" spans="1:27" ht="13.5" customHeight="1" x14ac:dyDescent="0.25">
      <c r="A214" s="9"/>
      <c r="B214" s="9"/>
      <c r="C214" s="76">
        <v>2.3E-2</v>
      </c>
      <c r="D214" s="77">
        <v>0.1</v>
      </c>
      <c r="E214" s="78">
        <v>4.8</v>
      </c>
      <c r="F214" s="133">
        <f t="shared" si="190"/>
        <v>1.1039999999999999E-2</v>
      </c>
      <c r="G214" s="133">
        <f t="shared" si="191"/>
        <v>0.48</v>
      </c>
      <c r="H214" s="191">
        <v>228.8</v>
      </c>
      <c r="I214" s="114">
        <f>ROUND(H214*1.225,0)</f>
        <v>280</v>
      </c>
      <c r="J214" s="115">
        <f t="shared" si="193"/>
        <v>3.7094399999999998</v>
      </c>
      <c r="K214" s="304">
        <v>150</v>
      </c>
      <c r="L214" s="305">
        <f t="shared" si="194"/>
        <v>463.67999999999995</v>
      </c>
      <c r="M214" s="305">
        <f t="shared" si="195"/>
        <v>0.32200000000000001</v>
      </c>
      <c r="N214" s="305">
        <f t="shared" si="196"/>
        <v>1.1000000000000001</v>
      </c>
      <c r="O214" s="305">
        <f t="shared" si="197"/>
        <v>4.8</v>
      </c>
      <c r="P214" s="358">
        <f t="shared" si="198"/>
        <v>1.66</v>
      </c>
      <c r="Q214" s="359"/>
      <c r="R214" s="305">
        <f t="shared" si="199"/>
        <v>796.8</v>
      </c>
      <c r="S214" s="326"/>
      <c r="T214" s="43"/>
      <c r="U214" s="293"/>
      <c r="V214" s="291"/>
      <c r="W214" s="9"/>
      <c r="X214" s="295"/>
      <c r="Y214" s="9"/>
      <c r="Z214" s="9"/>
      <c r="AA214" s="9"/>
    </row>
    <row r="215" spans="1:27" ht="13.5" customHeight="1" x14ac:dyDescent="0.25">
      <c r="A215" s="9"/>
      <c r="B215" s="9"/>
      <c r="C215" s="175">
        <v>0.05</v>
      </c>
      <c r="D215" s="176">
        <v>0.05</v>
      </c>
      <c r="E215" s="121">
        <v>6</v>
      </c>
      <c r="F215" s="112">
        <f t="shared" si="190"/>
        <v>1.5000000000000003E-2</v>
      </c>
      <c r="G215" s="112">
        <f t="shared" si="191"/>
        <v>0.30000000000000004</v>
      </c>
      <c r="H215" s="177">
        <v>283</v>
      </c>
      <c r="I215" s="114">
        <f>ROUND(H215*1.1667,0)</f>
        <v>330</v>
      </c>
      <c r="J215" s="115">
        <f t="shared" si="193"/>
        <v>5.9400000000000013</v>
      </c>
      <c r="K215" s="304">
        <v>60</v>
      </c>
      <c r="L215" s="305">
        <f t="shared" si="194"/>
        <v>297.00000000000006</v>
      </c>
      <c r="M215" s="305">
        <f t="shared" si="195"/>
        <v>0.15000000000000002</v>
      </c>
      <c r="N215" s="305">
        <f t="shared" si="196"/>
        <v>1.1000000000000001</v>
      </c>
      <c r="O215" s="305">
        <f t="shared" si="197"/>
        <v>6</v>
      </c>
      <c r="P215" s="358">
        <f t="shared" si="198"/>
        <v>0.9</v>
      </c>
      <c r="Q215" s="359"/>
      <c r="R215" s="305">
        <f t="shared" si="199"/>
        <v>432</v>
      </c>
      <c r="S215" s="42"/>
      <c r="T215" s="43"/>
      <c r="U215" s="293"/>
      <c r="V215" s="291"/>
      <c r="W215" s="9"/>
      <c r="X215" s="295"/>
      <c r="Y215" s="9"/>
      <c r="Z215" s="9"/>
      <c r="AA215" s="9"/>
    </row>
    <row r="216" spans="1:27" ht="13.5" customHeight="1" x14ac:dyDescent="0.25">
      <c r="A216" s="9"/>
      <c r="B216" s="9"/>
      <c r="C216" s="131"/>
      <c r="D216" s="111"/>
      <c r="E216" s="132"/>
      <c r="F216" s="306"/>
      <c r="G216" s="306"/>
      <c r="H216" s="306"/>
      <c r="I216" s="306"/>
      <c r="J216" s="202"/>
      <c r="K216" s="304"/>
      <c r="L216" s="305">
        <f t="shared" si="194"/>
        <v>0</v>
      </c>
      <c r="M216" s="305">
        <f t="shared" si="195"/>
        <v>0</v>
      </c>
      <c r="N216" s="305">
        <f t="shared" si="196"/>
        <v>0</v>
      </c>
      <c r="O216" s="305">
        <f t="shared" si="197"/>
        <v>0</v>
      </c>
      <c r="P216" s="358">
        <f t="shared" si="198"/>
        <v>0</v>
      </c>
      <c r="Q216" s="359"/>
      <c r="R216" s="305">
        <f t="shared" si="199"/>
        <v>0</v>
      </c>
      <c r="S216" s="42"/>
      <c r="T216" s="43"/>
      <c r="U216" s="293"/>
      <c r="V216" s="291"/>
      <c r="W216" s="9"/>
      <c r="X216" s="295"/>
      <c r="Y216" s="9"/>
      <c r="Z216" s="9"/>
      <c r="AA216" s="9"/>
    </row>
    <row r="217" spans="1:27" ht="13.5" customHeight="1" x14ac:dyDescent="0.25">
      <c r="A217" s="9"/>
      <c r="B217" s="9"/>
      <c r="C217" s="54"/>
      <c r="D217" s="55"/>
      <c r="E217" s="56"/>
      <c r="F217" s="127"/>
      <c r="G217" s="127"/>
      <c r="H217" s="113"/>
      <c r="I217" s="306"/>
      <c r="J217" s="202"/>
      <c r="K217" s="307"/>
      <c r="L217" s="305">
        <f t="shared" si="194"/>
        <v>0</v>
      </c>
      <c r="M217" s="305">
        <f t="shared" si="195"/>
        <v>0</v>
      </c>
      <c r="N217" s="305">
        <f t="shared" si="196"/>
        <v>0</v>
      </c>
      <c r="O217" s="305">
        <f t="shared" si="197"/>
        <v>0</v>
      </c>
      <c r="P217" s="358">
        <f t="shared" si="198"/>
        <v>0</v>
      </c>
      <c r="Q217" s="359"/>
      <c r="R217" s="305">
        <f t="shared" si="199"/>
        <v>0</v>
      </c>
      <c r="S217" s="42"/>
      <c r="T217" s="43">
        <v>40</v>
      </c>
      <c r="U217" s="293"/>
      <c r="V217" s="291"/>
      <c r="W217" s="9"/>
      <c r="X217" s="295"/>
      <c r="Y217" s="9"/>
      <c r="Z217" s="9"/>
      <c r="AA217" s="9"/>
    </row>
    <row r="218" spans="1:27" ht="13.5" customHeight="1" x14ac:dyDescent="0.25">
      <c r="A218" s="9"/>
      <c r="B218" s="9"/>
      <c r="C218" s="110"/>
      <c r="D218" s="55"/>
      <c r="E218" s="56"/>
      <c r="F218" s="306"/>
      <c r="G218" s="306"/>
      <c r="H218" s="306"/>
      <c r="I218" s="306"/>
      <c r="J218" s="202"/>
      <c r="K218" s="307"/>
      <c r="L218" s="305">
        <f t="shared" si="194"/>
        <v>0</v>
      </c>
      <c r="M218" s="305">
        <f t="shared" si="195"/>
        <v>0</v>
      </c>
      <c r="N218" s="305">
        <f t="shared" si="196"/>
        <v>0</v>
      </c>
      <c r="O218" s="305">
        <f t="shared" si="197"/>
        <v>0</v>
      </c>
      <c r="P218" s="358">
        <f t="shared" si="198"/>
        <v>0</v>
      </c>
      <c r="Q218" s="359"/>
      <c r="R218" s="305">
        <f t="shared" si="199"/>
        <v>0</v>
      </c>
      <c r="S218" s="42"/>
      <c r="T218" s="43">
        <f>SUM(T210:T217)</f>
        <v>40</v>
      </c>
      <c r="U218" s="293"/>
      <c r="V218" s="291"/>
      <c r="W218" s="9"/>
      <c r="X218" s="295"/>
      <c r="Y218" s="9"/>
      <c r="Z218" s="9"/>
      <c r="AA218" s="9"/>
    </row>
    <row r="219" spans="1:27" ht="13.5" customHeight="1" x14ac:dyDescent="0.25">
      <c r="A219" s="9"/>
      <c r="B219" s="9"/>
      <c r="C219" s="360" t="s">
        <v>13</v>
      </c>
      <c r="D219" s="361"/>
      <c r="E219" s="361"/>
      <c r="F219" s="361"/>
      <c r="G219" s="361"/>
      <c r="H219" s="361"/>
      <c r="I219" s="361"/>
      <c r="J219" s="361"/>
      <c r="K219" s="359"/>
      <c r="L219" s="308">
        <f t="shared" ref="L219:M219" si="200">SUM(L210:L218)</f>
        <v>3476.4</v>
      </c>
      <c r="M219" s="308">
        <f t="shared" si="200"/>
        <v>2.2719999999999998</v>
      </c>
      <c r="N219" s="308">
        <f t="shared" ref="N219:O219" si="201">MAX(N210:N218)</f>
        <v>1.1000000000000001</v>
      </c>
      <c r="O219" s="308">
        <f t="shared" si="201"/>
        <v>6</v>
      </c>
      <c r="P219" s="362">
        <f>SUM(P210:P218)</f>
        <v>12.26</v>
      </c>
      <c r="Q219" s="359"/>
      <c r="R219" s="308">
        <f>SUM(R210:R218)</f>
        <v>5884.8</v>
      </c>
      <c r="S219" s="326"/>
      <c r="T219" s="43"/>
      <c r="U219" s="293"/>
      <c r="V219" s="291"/>
      <c r="W219" s="294"/>
      <c r="X219" s="295"/>
      <c r="Y219" s="9"/>
      <c r="Z219" s="9"/>
      <c r="AA219" s="9"/>
    </row>
    <row r="220" spans="1:27" ht="13.5" customHeight="1" x14ac:dyDescent="0.25">
      <c r="A220" s="9"/>
      <c r="B220" s="9"/>
      <c r="C220" s="376" t="s">
        <v>113</v>
      </c>
      <c r="D220" s="349"/>
      <c r="E220" s="349"/>
      <c r="F220" s="349"/>
      <c r="G220" s="349"/>
      <c r="H220" s="349"/>
      <c r="I220" s="349"/>
      <c r="J220" s="349"/>
      <c r="K220" s="349"/>
      <c r="L220" s="309"/>
      <c r="M220" s="9"/>
      <c r="N220" s="9"/>
      <c r="O220" s="42"/>
      <c r="P220" s="310"/>
      <c r="Q220" s="293"/>
      <c r="R220" s="291"/>
      <c r="S220" s="294"/>
      <c r="T220" s="295"/>
      <c r="U220" s="9"/>
      <c r="V220" s="9"/>
      <c r="W220" s="294"/>
      <c r="X220" s="9"/>
      <c r="Y220" s="9"/>
      <c r="Z220" s="298"/>
      <c r="AA220" s="298"/>
    </row>
    <row r="221" spans="1:27" ht="13.5" customHeight="1" x14ac:dyDescent="0.25">
      <c r="A221" s="9"/>
      <c r="B221" s="9"/>
      <c r="C221" s="9"/>
      <c r="D221" s="9"/>
      <c r="E221" s="9"/>
      <c r="F221" s="185"/>
      <c r="G221" s="185"/>
      <c r="H221" s="9"/>
      <c r="I221" s="311"/>
      <c r="J221" s="310"/>
      <c r="K221" s="291" t="s">
        <v>13</v>
      </c>
      <c r="L221" s="309">
        <f>L219+L220</f>
        <v>3476.4</v>
      </c>
      <c r="M221" s="9"/>
      <c r="N221" s="9"/>
      <c r="O221" s="42"/>
      <c r="P221" s="310"/>
      <c r="Q221" s="293"/>
      <c r="R221" s="291"/>
      <c r="S221" s="294"/>
      <c r="T221" s="295"/>
      <c r="U221" s="9"/>
      <c r="V221" s="9"/>
      <c r="W221" s="294"/>
      <c r="X221" s="9"/>
      <c r="Y221" s="9"/>
      <c r="Z221" s="298"/>
      <c r="AA221" s="298"/>
    </row>
    <row r="222" spans="1:27" ht="13.5" customHeight="1" x14ac:dyDescent="0.25">
      <c r="A222" s="9"/>
      <c r="B222" s="9"/>
      <c r="C222" s="9"/>
      <c r="D222" s="9"/>
      <c r="E222" s="9"/>
      <c r="F222" s="185"/>
      <c r="G222" s="185"/>
      <c r="H222" s="9"/>
      <c r="I222" s="311"/>
      <c r="J222" s="310"/>
      <c r="K222" s="291"/>
      <c r="L222" s="309"/>
      <c r="M222" s="9"/>
      <c r="N222" s="9"/>
      <c r="O222" s="42"/>
      <c r="P222" s="310"/>
      <c r="Q222" s="293"/>
      <c r="R222" s="291"/>
      <c r="S222" s="294"/>
      <c r="T222" s="295"/>
      <c r="U222" s="9"/>
      <c r="V222" s="9"/>
      <c r="W222" s="9"/>
      <c r="X222" s="9"/>
      <c r="Y222" s="9"/>
      <c r="Z222" s="298"/>
      <c r="AA222" s="298"/>
    </row>
    <row r="223" spans="1:27" ht="13.5" customHeight="1" x14ac:dyDescent="0.25">
      <c r="A223" s="9"/>
      <c r="B223" s="9"/>
      <c r="C223" s="363" t="s">
        <v>114</v>
      </c>
      <c r="D223" s="361"/>
      <c r="E223" s="361"/>
      <c r="F223" s="361"/>
      <c r="G223" s="361"/>
      <c r="H223" s="361"/>
      <c r="I223" s="361"/>
      <c r="J223" s="361"/>
      <c r="K223" s="361"/>
      <c r="L223" s="359"/>
      <c r="M223" s="363" t="s">
        <v>108</v>
      </c>
      <c r="N223" s="361"/>
      <c r="O223" s="361"/>
      <c r="P223" s="361"/>
      <c r="Q223" s="361"/>
      <c r="R223" s="359"/>
      <c r="S223" s="294"/>
      <c r="T223" s="295"/>
      <c r="U223" s="9"/>
      <c r="V223" s="9"/>
      <c r="W223" s="9"/>
      <c r="X223" s="9"/>
      <c r="Y223" s="9"/>
      <c r="Z223" s="298"/>
      <c r="AA223" s="298"/>
    </row>
    <row r="224" spans="1:27" ht="13.5" customHeight="1" x14ac:dyDescent="0.25">
      <c r="A224" s="9"/>
      <c r="B224" s="9"/>
      <c r="C224" s="299" t="s">
        <v>35</v>
      </c>
      <c r="D224" s="299" t="s">
        <v>24</v>
      </c>
      <c r="E224" s="299" t="s">
        <v>25</v>
      </c>
      <c r="F224" s="299" t="s">
        <v>36</v>
      </c>
      <c r="G224" s="300" t="s">
        <v>37</v>
      </c>
      <c r="H224" s="299"/>
      <c r="I224" s="301" t="s">
        <v>26</v>
      </c>
      <c r="J224" s="302" t="s">
        <v>27</v>
      </c>
      <c r="K224" s="303" t="s">
        <v>109</v>
      </c>
      <c r="L224" s="303" t="s">
        <v>110</v>
      </c>
      <c r="M224" s="299" t="s">
        <v>35</v>
      </c>
      <c r="N224" s="299" t="s">
        <v>24</v>
      </c>
      <c r="O224" s="299" t="s">
        <v>25</v>
      </c>
      <c r="P224" s="364" t="s">
        <v>111</v>
      </c>
      <c r="Q224" s="359"/>
      <c r="R224" s="303" t="s">
        <v>112</v>
      </c>
      <c r="S224" s="294"/>
      <c r="T224" s="295"/>
      <c r="U224" s="9"/>
      <c r="V224" s="9"/>
      <c r="W224" s="9"/>
      <c r="X224" s="9"/>
      <c r="Y224" s="9"/>
      <c r="Z224" s="298"/>
      <c r="AA224" s="298"/>
    </row>
    <row r="225" spans="1:27" ht="13.5" customHeight="1" x14ac:dyDescent="0.25">
      <c r="A225" s="9"/>
      <c r="B225" s="9"/>
      <c r="C225" s="175"/>
      <c r="D225" s="176"/>
      <c r="E225" s="121"/>
      <c r="F225" s="112"/>
      <c r="G225" s="112"/>
      <c r="H225" s="238"/>
      <c r="I225" s="114"/>
      <c r="J225" s="115"/>
      <c r="K225" s="304"/>
      <c r="L225" s="305">
        <f t="shared" ref="L225:L233" si="202">I225*((C225*D225*E225)*K225)</f>
        <v>0</v>
      </c>
      <c r="M225" s="305">
        <f t="shared" ref="M225:M233" si="203">IF(C225=0,0,C225*MAX(1,ROUNDUP(K225/INT(1.1/D225),0)))</f>
        <v>0</v>
      </c>
      <c r="N225" s="305">
        <f t="shared" ref="N225:N233" si="204">IF(D225=0,0,IF(D225*K225&lt;=1.1,D225*K225,INT(1.1/D225)*D225))</f>
        <v>0</v>
      </c>
      <c r="O225" s="305">
        <f t="shared" ref="O225:O233" si="205">E225</f>
        <v>0</v>
      </c>
      <c r="P225" s="358">
        <f t="shared" ref="P225:P233" si="206">ROUND((C225*D225*E225)*K225,2)</f>
        <v>0</v>
      </c>
      <c r="Q225" s="359"/>
      <c r="R225" s="305">
        <f t="shared" ref="R225:R233" si="207">P225*480</f>
        <v>0</v>
      </c>
      <c r="S225" s="294"/>
      <c r="T225" s="295"/>
      <c r="U225" s="9"/>
      <c r="V225" s="9"/>
      <c r="W225" s="9"/>
      <c r="X225" s="9"/>
      <c r="Y225" s="9"/>
      <c r="Z225" s="298"/>
      <c r="AA225" s="298"/>
    </row>
    <row r="226" spans="1:27" ht="13.5" customHeight="1" x14ac:dyDescent="0.25">
      <c r="A226" s="9"/>
      <c r="B226" s="9"/>
      <c r="C226" s="175"/>
      <c r="D226" s="176"/>
      <c r="E226" s="121"/>
      <c r="F226" s="112"/>
      <c r="G226" s="112"/>
      <c r="H226" s="238"/>
      <c r="I226" s="114"/>
      <c r="J226" s="115"/>
      <c r="K226" s="304"/>
      <c r="L226" s="305">
        <f t="shared" si="202"/>
        <v>0</v>
      </c>
      <c r="M226" s="305">
        <f t="shared" si="203"/>
        <v>0</v>
      </c>
      <c r="N226" s="305">
        <f t="shared" si="204"/>
        <v>0</v>
      </c>
      <c r="O226" s="305">
        <f t="shared" si="205"/>
        <v>0</v>
      </c>
      <c r="P226" s="358">
        <f t="shared" si="206"/>
        <v>0</v>
      </c>
      <c r="Q226" s="359"/>
      <c r="R226" s="305">
        <f t="shared" si="207"/>
        <v>0</v>
      </c>
      <c r="S226" s="294"/>
      <c r="T226" s="295"/>
      <c r="U226" s="9"/>
      <c r="V226" s="9"/>
      <c r="W226" s="9"/>
      <c r="X226" s="9"/>
      <c r="Y226" s="9"/>
      <c r="Z226" s="298"/>
      <c r="AA226" s="298"/>
    </row>
    <row r="227" spans="1:27" ht="13.5" customHeight="1" x14ac:dyDescent="0.25">
      <c r="A227" s="9"/>
      <c r="B227" s="9"/>
      <c r="C227" s="175"/>
      <c r="D227" s="176"/>
      <c r="E227" s="121"/>
      <c r="F227" s="112"/>
      <c r="G227" s="112"/>
      <c r="H227" s="238"/>
      <c r="I227" s="114"/>
      <c r="J227" s="115"/>
      <c r="K227" s="304"/>
      <c r="L227" s="305">
        <f t="shared" si="202"/>
        <v>0</v>
      </c>
      <c r="M227" s="305">
        <f t="shared" si="203"/>
        <v>0</v>
      </c>
      <c r="N227" s="305">
        <f t="shared" si="204"/>
        <v>0</v>
      </c>
      <c r="O227" s="305">
        <f t="shared" si="205"/>
        <v>0</v>
      </c>
      <c r="P227" s="358">
        <f t="shared" si="206"/>
        <v>0</v>
      </c>
      <c r="Q227" s="359"/>
      <c r="R227" s="305">
        <f t="shared" si="207"/>
        <v>0</v>
      </c>
      <c r="S227" s="294"/>
      <c r="T227" s="295"/>
      <c r="U227" s="9"/>
      <c r="V227" s="9"/>
      <c r="W227" s="9"/>
      <c r="X227" s="9"/>
      <c r="Y227" s="9"/>
      <c r="Z227" s="298"/>
      <c r="AA227" s="298"/>
    </row>
    <row r="228" spans="1:27" ht="13.5" customHeight="1" x14ac:dyDescent="0.25">
      <c r="A228" s="9"/>
      <c r="B228" s="9"/>
      <c r="C228" s="175"/>
      <c r="D228" s="176"/>
      <c r="E228" s="121"/>
      <c r="F228" s="112"/>
      <c r="G228" s="112"/>
      <c r="H228" s="238"/>
      <c r="I228" s="114"/>
      <c r="J228" s="115"/>
      <c r="K228" s="304"/>
      <c r="L228" s="305">
        <f t="shared" si="202"/>
        <v>0</v>
      </c>
      <c r="M228" s="305">
        <f t="shared" si="203"/>
        <v>0</v>
      </c>
      <c r="N228" s="305">
        <f t="shared" si="204"/>
        <v>0</v>
      </c>
      <c r="O228" s="305">
        <f t="shared" si="205"/>
        <v>0</v>
      </c>
      <c r="P228" s="358">
        <f t="shared" si="206"/>
        <v>0</v>
      </c>
      <c r="Q228" s="359"/>
      <c r="R228" s="305">
        <f t="shared" si="207"/>
        <v>0</v>
      </c>
      <c r="S228" s="294"/>
      <c r="T228" s="295"/>
      <c r="U228" s="9"/>
      <c r="V228" s="9"/>
      <c r="W228" s="9"/>
      <c r="X228" s="9"/>
      <c r="Y228" s="9"/>
      <c r="Z228" s="298"/>
      <c r="AA228" s="298"/>
    </row>
    <row r="229" spans="1:27" ht="13.5" customHeight="1" x14ac:dyDescent="0.25">
      <c r="A229" s="9"/>
      <c r="B229" s="9"/>
      <c r="C229" s="175"/>
      <c r="D229" s="176"/>
      <c r="E229" s="121"/>
      <c r="F229" s="112"/>
      <c r="G229" s="112"/>
      <c r="H229" s="177"/>
      <c r="I229" s="114"/>
      <c r="J229" s="115"/>
      <c r="K229" s="304"/>
      <c r="L229" s="305">
        <f t="shared" si="202"/>
        <v>0</v>
      </c>
      <c r="M229" s="305">
        <f t="shared" si="203"/>
        <v>0</v>
      </c>
      <c r="N229" s="305">
        <f t="shared" si="204"/>
        <v>0</v>
      </c>
      <c r="O229" s="305">
        <f t="shared" si="205"/>
        <v>0</v>
      </c>
      <c r="P229" s="358">
        <f t="shared" si="206"/>
        <v>0</v>
      </c>
      <c r="Q229" s="359"/>
      <c r="R229" s="305">
        <f t="shared" si="207"/>
        <v>0</v>
      </c>
      <c r="S229" s="294"/>
      <c r="T229" s="295"/>
      <c r="U229" s="9"/>
      <c r="V229" s="9"/>
      <c r="W229" s="9"/>
      <c r="X229" s="9"/>
      <c r="Y229" s="9"/>
      <c r="Z229" s="298"/>
      <c r="AA229" s="298"/>
    </row>
    <row r="230" spans="1:27" ht="13.5" customHeight="1" x14ac:dyDescent="0.25">
      <c r="A230" s="9"/>
      <c r="B230" s="9"/>
      <c r="C230" s="54"/>
      <c r="D230" s="55"/>
      <c r="E230" s="56"/>
      <c r="F230" s="112"/>
      <c r="G230" s="112"/>
      <c r="H230" s="177"/>
      <c r="I230" s="114"/>
      <c r="J230" s="115"/>
      <c r="K230" s="304"/>
      <c r="L230" s="305">
        <f t="shared" si="202"/>
        <v>0</v>
      </c>
      <c r="M230" s="305">
        <f t="shared" si="203"/>
        <v>0</v>
      </c>
      <c r="N230" s="305">
        <f t="shared" si="204"/>
        <v>0</v>
      </c>
      <c r="O230" s="305">
        <f t="shared" si="205"/>
        <v>0</v>
      </c>
      <c r="P230" s="358">
        <f t="shared" si="206"/>
        <v>0</v>
      </c>
      <c r="Q230" s="359"/>
      <c r="R230" s="305">
        <f t="shared" si="207"/>
        <v>0</v>
      </c>
      <c r="S230" s="294"/>
      <c r="T230" s="295"/>
      <c r="U230" s="9"/>
      <c r="V230" s="9"/>
      <c r="W230" s="9"/>
      <c r="X230" s="9"/>
      <c r="Y230" s="9"/>
      <c r="Z230" s="298"/>
      <c r="AA230" s="298"/>
    </row>
    <row r="231" spans="1:27" ht="13.5" customHeight="1" x14ac:dyDescent="0.25">
      <c r="A231" s="9"/>
      <c r="B231" s="9"/>
      <c r="C231" s="175"/>
      <c r="D231" s="176"/>
      <c r="E231" s="121"/>
      <c r="F231" s="112"/>
      <c r="G231" s="112"/>
      <c r="H231" s="113"/>
      <c r="I231" s="114"/>
      <c r="J231" s="115"/>
      <c r="K231" s="304"/>
      <c r="L231" s="305">
        <f t="shared" si="202"/>
        <v>0</v>
      </c>
      <c r="M231" s="305">
        <f t="shared" si="203"/>
        <v>0</v>
      </c>
      <c r="N231" s="305">
        <f t="shared" si="204"/>
        <v>0</v>
      </c>
      <c r="O231" s="305">
        <f t="shared" si="205"/>
        <v>0</v>
      </c>
      <c r="P231" s="358">
        <f t="shared" si="206"/>
        <v>0</v>
      </c>
      <c r="Q231" s="359"/>
      <c r="R231" s="305">
        <f t="shared" si="207"/>
        <v>0</v>
      </c>
      <c r="S231" s="294"/>
      <c r="T231" s="295"/>
      <c r="U231" s="9"/>
      <c r="V231" s="9"/>
      <c r="W231" s="9"/>
      <c r="X231" s="9"/>
      <c r="Y231" s="9"/>
      <c r="Z231" s="298"/>
      <c r="AA231" s="298"/>
    </row>
    <row r="232" spans="1:27" ht="13.5" customHeight="1" x14ac:dyDescent="0.25">
      <c r="A232" s="9"/>
      <c r="B232" s="9"/>
      <c r="C232" s="54"/>
      <c r="D232" s="55"/>
      <c r="E232" s="56"/>
      <c r="F232" s="112"/>
      <c r="G232" s="112"/>
      <c r="H232" s="177"/>
      <c r="I232" s="114"/>
      <c r="J232" s="115"/>
      <c r="K232" s="307"/>
      <c r="L232" s="305">
        <f t="shared" si="202"/>
        <v>0</v>
      </c>
      <c r="M232" s="305">
        <f t="shared" si="203"/>
        <v>0</v>
      </c>
      <c r="N232" s="305">
        <f t="shared" si="204"/>
        <v>0</v>
      </c>
      <c r="O232" s="305">
        <f t="shared" si="205"/>
        <v>0</v>
      </c>
      <c r="P232" s="358">
        <f t="shared" si="206"/>
        <v>0</v>
      </c>
      <c r="Q232" s="359"/>
      <c r="R232" s="305">
        <f t="shared" si="207"/>
        <v>0</v>
      </c>
      <c r="S232" s="294"/>
      <c r="T232" s="295"/>
      <c r="U232" s="9"/>
      <c r="V232" s="9"/>
      <c r="W232" s="9"/>
      <c r="X232" s="9"/>
      <c r="Y232" s="9"/>
      <c r="Z232" s="298"/>
      <c r="AA232" s="298"/>
    </row>
    <row r="233" spans="1:27" ht="13.5" customHeight="1" x14ac:dyDescent="0.25">
      <c r="A233" s="9"/>
      <c r="B233" s="9"/>
      <c r="C233" s="54"/>
      <c r="D233" s="55"/>
      <c r="E233" s="56"/>
      <c r="F233" s="112"/>
      <c r="G233" s="112"/>
      <c r="H233" s="177"/>
      <c r="I233" s="114"/>
      <c r="J233" s="115"/>
      <c r="K233" s="307"/>
      <c r="L233" s="305">
        <f t="shared" si="202"/>
        <v>0</v>
      </c>
      <c r="M233" s="305">
        <f t="shared" si="203"/>
        <v>0</v>
      </c>
      <c r="N233" s="305">
        <f t="shared" si="204"/>
        <v>0</v>
      </c>
      <c r="O233" s="305">
        <f t="shared" si="205"/>
        <v>0</v>
      </c>
      <c r="P233" s="358">
        <f t="shared" si="206"/>
        <v>0</v>
      </c>
      <c r="Q233" s="359"/>
      <c r="R233" s="305">
        <f t="shared" si="207"/>
        <v>0</v>
      </c>
      <c r="S233" s="294"/>
      <c r="T233" s="295"/>
      <c r="U233" s="9"/>
      <c r="V233" s="9"/>
      <c r="W233" s="9"/>
      <c r="X233" s="9"/>
      <c r="Y233" s="9"/>
      <c r="Z233" s="298"/>
      <c r="AA233" s="298"/>
    </row>
    <row r="234" spans="1:27" ht="13.5" customHeight="1" x14ac:dyDescent="0.25">
      <c r="A234" s="9"/>
      <c r="B234" s="9"/>
      <c r="C234" s="360" t="s">
        <v>13</v>
      </c>
      <c r="D234" s="361"/>
      <c r="E234" s="361"/>
      <c r="F234" s="361"/>
      <c r="G234" s="361"/>
      <c r="H234" s="361"/>
      <c r="I234" s="361"/>
      <c r="J234" s="361"/>
      <c r="K234" s="359"/>
      <c r="L234" s="308">
        <f t="shared" ref="L234:M234" si="208">SUM(L225:L233)</f>
        <v>0</v>
      </c>
      <c r="M234" s="308">
        <f t="shared" si="208"/>
        <v>0</v>
      </c>
      <c r="N234" s="308">
        <f t="shared" ref="N234:O234" si="209">MAX(N225:N233)</f>
        <v>0</v>
      </c>
      <c r="O234" s="308">
        <f t="shared" si="209"/>
        <v>0</v>
      </c>
      <c r="P234" s="362">
        <f>SUM(P225:P233)</f>
        <v>0</v>
      </c>
      <c r="Q234" s="359"/>
      <c r="R234" s="308">
        <f>SUM(R225:R233)</f>
        <v>0</v>
      </c>
      <c r="S234" s="294"/>
      <c r="T234" s="295"/>
      <c r="U234" s="9"/>
      <c r="V234" s="9"/>
      <c r="W234" s="9"/>
      <c r="X234" s="9"/>
      <c r="Y234" s="9"/>
      <c r="Z234" s="298"/>
      <c r="AA234" s="298"/>
    </row>
    <row r="235" spans="1:27" ht="13.5" customHeight="1" x14ac:dyDescent="0.25">
      <c r="A235" s="9"/>
      <c r="B235" s="9"/>
      <c r="C235" s="9"/>
      <c r="D235" s="9"/>
      <c r="E235" s="9"/>
      <c r="F235" s="185"/>
      <c r="G235" s="185"/>
      <c r="H235" s="9"/>
      <c r="I235" s="311"/>
      <c r="J235" s="310"/>
      <c r="K235" s="291" t="s">
        <v>113</v>
      </c>
      <c r="L235" s="309"/>
      <c r="M235" s="9"/>
      <c r="N235" s="9"/>
      <c r="O235" s="42"/>
      <c r="P235" s="310"/>
      <c r="Q235" s="293"/>
      <c r="R235" s="291"/>
      <c r="S235" s="294"/>
      <c r="T235" s="295"/>
      <c r="U235" s="9"/>
      <c r="V235" s="9"/>
      <c r="W235" s="9"/>
      <c r="X235" s="9"/>
      <c r="Y235" s="9"/>
      <c r="Z235" s="298"/>
      <c r="AA235" s="298"/>
    </row>
    <row r="236" spans="1:27" ht="13.5" customHeight="1" x14ac:dyDescent="0.25">
      <c r="A236" s="9"/>
      <c r="B236" s="9"/>
      <c r="C236" s="9"/>
      <c r="D236" s="9"/>
      <c r="E236" s="9"/>
      <c r="F236" s="185"/>
      <c r="G236" s="185"/>
      <c r="H236" s="9"/>
      <c r="I236" s="311"/>
      <c r="J236" s="310"/>
      <c r="K236" s="291" t="s">
        <v>115</v>
      </c>
      <c r="L236" s="309">
        <f>L234+L235</f>
        <v>0</v>
      </c>
      <c r="M236" s="9"/>
      <c r="N236" s="9"/>
      <c r="O236" s="42"/>
      <c r="P236" s="310"/>
      <c r="Q236" s="293"/>
      <c r="R236" s="291"/>
      <c r="S236" s="294"/>
      <c r="T236" s="295"/>
      <c r="U236" s="9"/>
      <c r="V236" s="9"/>
      <c r="W236" s="9"/>
      <c r="X236" s="9"/>
      <c r="Y236" s="9"/>
      <c r="Z236" s="298"/>
      <c r="AA236" s="298"/>
    </row>
    <row r="237" spans="1:27" ht="13.5" customHeight="1" x14ac:dyDescent="0.25">
      <c r="A237" s="9"/>
      <c r="B237" s="9"/>
      <c r="C237" s="9"/>
      <c r="D237" s="9"/>
      <c r="E237" s="9"/>
      <c r="F237" s="185"/>
      <c r="G237" s="185"/>
      <c r="H237" s="9"/>
      <c r="I237" s="311"/>
      <c r="J237" s="310"/>
      <c r="K237" s="291"/>
      <c r="L237" s="309"/>
      <c r="M237" s="9"/>
      <c r="N237" s="9"/>
      <c r="O237" s="42"/>
      <c r="P237" s="310"/>
      <c r="Q237" s="293"/>
      <c r="R237" s="291"/>
      <c r="S237" s="294"/>
      <c r="T237" s="295"/>
      <c r="U237" s="9"/>
      <c r="V237" s="9"/>
      <c r="W237" s="9"/>
      <c r="X237" s="9"/>
      <c r="Y237" s="9"/>
      <c r="Z237" s="298"/>
      <c r="AA237" s="298"/>
    </row>
    <row r="238" spans="1:27" ht="13.5" customHeight="1" x14ac:dyDescent="0.25">
      <c r="A238" s="9"/>
      <c r="B238" s="9"/>
      <c r="C238" s="363" t="s">
        <v>107</v>
      </c>
      <c r="D238" s="361"/>
      <c r="E238" s="361"/>
      <c r="F238" s="361"/>
      <c r="G238" s="361"/>
      <c r="H238" s="361"/>
      <c r="I238" s="361"/>
      <c r="J238" s="361"/>
      <c r="K238" s="361"/>
      <c r="L238" s="359"/>
      <c r="M238" s="363" t="s">
        <v>108</v>
      </c>
      <c r="N238" s="361"/>
      <c r="O238" s="361"/>
      <c r="P238" s="361"/>
      <c r="Q238" s="361"/>
      <c r="R238" s="359"/>
      <c r="S238" s="294"/>
      <c r="T238" s="295"/>
      <c r="U238" s="9"/>
      <c r="V238" s="9"/>
      <c r="W238" s="9"/>
      <c r="X238" s="9"/>
      <c r="Y238" s="9"/>
      <c r="Z238" s="298"/>
      <c r="AA238" s="298"/>
    </row>
    <row r="239" spans="1:27" ht="13.5" customHeight="1" x14ac:dyDescent="0.25">
      <c r="A239" s="9"/>
      <c r="B239" s="9"/>
      <c r="C239" s="299" t="s">
        <v>35</v>
      </c>
      <c r="D239" s="299" t="s">
        <v>24</v>
      </c>
      <c r="E239" s="299" t="s">
        <v>25</v>
      </c>
      <c r="F239" s="299" t="s">
        <v>36</v>
      </c>
      <c r="G239" s="300" t="s">
        <v>37</v>
      </c>
      <c r="H239" s="299"/>
      <c r="I239" s="301" t="s">
        <v>26</v>
      </c>
      <c r="J239" s="302" t="s">
        <v>27</v>
      </c>
      <c r="K239" s="303" t="s">
        <v>109</v>
      </c>
      <c r="L239" s="303" t="s">
        <v>110</v>
      </c>
      <c r="M239" s="299" t="s">
        <v>35</v>
      </c>
      <c r="N239" s="299" t="s">
        <v>24</v>
      </c>
      <c r="O239" s="299" t="s">
        <v>25</v>
      </c>
      <c r="P239" s="364" t="s">
        <v>111</v>
      </c>
      <c r="Q239" s="359"/>
      <c r="R239" s="303" t="s">
        <v>112</v>
      </c>
      <c r="S239" s="294"/>
      <c r="T239" s="295"/>
      <c r="U239" s="9"/>
      <c r="V239" s="9"/>
      <c r="W239" s="9"/>
      <c r="X239" s="9"/>
      <c r="Y239" s="9"/>
      <c r="Z239" s="298"/>
      <c r="AA239" s="298"/>
    </row>
    <row r="240" spans="1:27" ht="13.5" customHeight="1" x14ac:dyDescent="0.25">
      <c r="A240" s="9"/>
      <c r="B240" s="9"/>
      <c r="C240" s="175">
        <v>0.1</v>
      </c>
      <c r="D240" s="176">
        <v>0.1</v>
      </c>
      <c r="E240" s="121">
        <v>6</v>
      </c>
      <c r="F240" s="112">
        <f>C240*D240*E240</f>
        <v>6.0000000000000012E-2</v>
      </c>
      <c r="G240" s="112">
        <f>D240*E240</f>
        <v>0.60000000000000009</v>
      </c>
      <c r="H240" s="238">
        <v>240</v>
      </c>
      <c r="I240" s="114">
        <f>ROUND(H240*1.1667,0)</f>
        <v>280</v>
      </c>
      <c r="J240" s="115">
        <f>ROUND((I240*0.992)*1.21,0)*(C240*D240*E240)</f>
        <v>20.160000000000004</v>
      </c>
      <c r="K240" s="304">
        <v>35</v>
      </c>
      <c r="L240" s="305">
        <f t="shared" ref="L240:L248" si="210">IF($P$249&gt;=1,I240*((C240*D240*E240)*K240),J240*K240)</f>
        <v>588.00000000000011</v>
      </c>
      <c r="M240" s="305">
        <f t="shared" ref="M240:M248" si="211">IF(C240=0,0,C240*MAX(1,ROUNDUP(K240/INT(1.1/D240),0)))</f>
        <v>0.4</v>
      </c>
      <c r="N240" s="305">
        <f t="shared" ref="N240:N248" si="212">IF(D240=0,0,IF(D240*K240&lt;=1.1,D240*K240,INT(1.1/D240)*D240))</f>
        <v>1.1000000000000001</v>
      </c>
      <c r="O240" s="305">
        <f t="shared" ref="O240:O248" si="213">E240</f>
        <v>6</v>
      </c>
      <c r="P240" s="358">
        <f t="shared" ref="P240:P248" si="214">ROUND((C240*D240*E240)*K240,2)</f>
        <v>2.1</v>
      </c>
      <c r="Q240" s="359"/>
      <c r="R240" s="305">
        <f t="shared" ref="R240:R248" si="215">P240*480</f>
        <v>1008</v>
      </c>
      <c r="S240" s="294">
        <f>L240*1.21</f>
        <v>711.48000000000013</v>
      </c>
      <c r="T240" s="295">
        <f>2690/300</f>
        <v>8.9666666666666668</v>
      </c>
      <c r="U240" s="9"/>
      <c r="V240" s="9"/>
      <c r="W240" s="9"/>
      <c r="X240" s="9"/>
      <c r="Y240" s="9"/>
      <c r="Z240" s="298"/>
      <c r="AA240" s="298"/>
    </row>
    <row r="241" spans="1:27" ht="13.5" customHeight="1" x14ac:dyDescent="0.25">
      <c r="A241" s="9"/>
      <c r="B241" s="9"/>
      <c r="C241" s="175"/>
      <c r="D241" s="176"/>
      <c r="E241" s="121"/>
      <c r="F241" s="112"/>
      <c r="G241" s="112"/>
      <c r="H241" s="238"/>
      <c r="I241" s="114"/>
      <c r="J241" s="115"/>
      <c r="K241" s="304"/>
      <c r="L241" s="305">
        <f t="shared" si="210"/>
        <v>0</v>
      </c>
      <c r="M241" s="305">
        <f t="shared" si="211"/>
        <v>0</v>
      </c>
      <c r="N241" s="305">
        <f t="shared" si="212"/>
        <v>0</v>
      </c>
      <c r="O241" s="305">
        <f t="shared" si="213"/>
        <v>0</v>
      </c>
      <c r="P241" s="358">
        <f t="shared" si="214"/>
        <v>0</v>
      </c>
      <c r="Q241" s="359"/>
      <c r="R241" s="305">
        <f t="shared" si="215"/>
        <v>0</v>
      </c>
      <c r="S241" s="9">
        <f>53/15</f>
        <v>3.5333333333333332</v>
      </c>
      <c r="T241" s="295"/>
      <c r="U241" s="9"/>
      <c r="V241" s="9"/>
      <c r="W241" s="9"/>
      <c r="X241" s="9"/>
      <c r="Y241" s="9"/>
      <c r="Z241" s="298"/>
      <c r="AA241" s="298"/>
    </row>
    <row r="242" spans="1:27" ht="13.5" customHeight="1" x14ac:dyDescent="0.25">
      <c r="A242" s="9"/>
      <c r="B242" s="9"/>
      <c r="C242" s="175"/>
      <c r="D242" s="176"/>
      <c r="E242" s="121"/>
      <c r="F242" s="112"/>
      <c r="G242" s="112"/>
      <c r="H242" s="177"/>
      <c r="I242" s="114"/>
      <c r="J242" s="115"/>
      <c r="K242" s="304"/>
      <c r="L242" s="305">
        <f t="shared" si="210"/>
        <v>0</v>
      </c>
      <c r="M242" s="305">
        <f t="shared" si="211"/>
        <v>0</v>
      </c>
      <c r="N242" s="305">
        <f t="shared" si="212"/>
        <v>0</v>
      </c>
      <c r="O242" s="305">
        <f t="shared" si="213"/>
        <v>0</v>
      </c>
      <c r="P242" s="358">
        <f t="shared" si="214"/>
        <v>0</v>
      </c>
      <c r="Q242" s="359"/>
      <c r="R242" s="305">
        <f t="shared" si="215"/>
        <v>0</v>
      </c>
      <c r="S242" s="294">
        <f>15*3.5</f>
        <v>52.5</v>
      </c>
      <c r="T242" s="295"/>
      <c r="U242" s="9"/>
      <c r="V242" s="9"/>
      <c r="W242" s="9"/>
      <c r="X242" s="9"/>
      <c r="Y242" s="9"/>
      <c r="Z242" s="298"/>
      <c r="AA242" s="298"/>
    </row>
    <row r="243" spans="1:27" ht="13.5" customHeight="1" x14ac:dyDescent="0.25">
      <c r="A243" s="9"/>
      <c r="B243" s="9"/>
      <c r="C243" s="175"/>
      <c r="D243" s="176"/>
      <c r="E243" s="121"/>
      <c r="F243" s="112"/>
      <c r="G243" s="112"/>
      <c r="H243" s="177"/>
      <c r="I243" s="114"/>
      <c r="J243" s="115"/>
      <c r="K243" s="304"/>
      <c r="L243" s="305">
        <f t="shared" si="210"/>
        <v>0</v>
      </c>
      <c r="M243" s="305">
        <f t="shared" si="211"/>
        <v>0</v>
      </c>
      <c r="N243" s="305">
        <f t="shared" si="212"/>
        <v>0</v>
      </c>
      <c r="O243" s="305">
        <f t="shared" si="213"/>
        <v>0</v>
      </c>
      <c r="P243" s="358">
        <f t="shared" si="214"/>
        <v>0</v>
      </c>
      <c r="Q243" s="359"/>
      <c r="R243" s="305">
        <f t="shared" si="215"/>
        <v>0</v>
      </c>
      <c r="S243" s="294"/>
      <c r="T243" s="295"/>
      <c r="U243" s="9"/>
      <c r="V243" s="9"/>
      <c r="W243" s="9"/>
      <c r="X243" s="9"/>
      <c r="Y243" s="9"/>
      <c r="Z243" s="298"/>
      <c r="AA243" s="298"/>
    </row>
    <row r="244" spans="1:27" ht="13.5" customHeight="1" x14ac:dyDescent="0.25">
      <c r="A244" s="9"/>
      <c r="B244" s="9"/>
      <c r="C244" s="175"/>
      <c r="D244" s="176"/>
      <c r="E244" s="121"/>
      <c r="F244" s="112"/>
      <c r="G244" s="112"/>
      <c r="H244" s="177"/>
      <c r="I244" s="114"/>
      <c r="J244" s="115"/>
      <c r="K244" s="304"/>
      <c r="L244" s="305">
        <f t="shared" si="210"/>
        <v>0</v>
      </c>
      <c r="M244" s="305">
        <f t="shared" si="211"/>
        <v>0</v>
      </c>
      <c r="N244" s="305">
        <f t="shared" si="212"/>
        <v>0</v>
      </c>
      <c r="O244" s="305">
        <f t="shared" si="213"/>
        <v>0</v>
      </c>
      <c r="P244" s="358">
        <f t="shared" si="214"/>
        <v>0</v>
      </c>
      <c r="Q244" s="359"/>
      <c r="R244" s="305">
        <f t="shared" si="215"/>
        <v>0</v>
      </c>
      <c r="S244" s="9">
        <f>770/250</f>
        <v>3.08</v>
      </c>
      <c r="T244" s="295"/>
      <c r="U244" s="9"/>
      <c r="V244" s="9"/>
      <c r="W244" s="9"/>
      <c r="X244" s="9"/>
      <c r="Y244" s="9"/>
      <c r="Z244" s="298"/>
      <c r="AA244" s="298"/>
    </row>
    <row r="245" spans="1:27" ht="13.5" customHeight="1" x14ac:dyDescent="0.25">
      <c r="A245" s="9"/>
      <c r="B245" s="9"/>
      <c r="C245" s="175"/>
      <c r="D245" s="176"/>
      <c r="E245" s="121"/>
      <c r="F245" s="112"/>
      <c r="G245" s="112"/>
      <c r="H245" s="177"/>
      <c r="I245" s="114"/>
      <c r="J245" s="115"/>
      <c r="K245" s="304"/>
      <c r="L245" s="305">
        <f t="shared" si="210"/>
        <v>0</v>
      </c>
      <c r="M245" s="305">
        <f t="shared" si="211"/>
        <v>0</v>
      </c>
      <c r="N245" s="305">
        <f t="shared" si="212"/>
        <v>0</v>
      </c>
      <c r="O245" s="305">
        <f t="shared" si="213"/>
        <v>0</v>
      </c>
      <c r="P245" s="358">
        <f t="shared" si="214"/>
        <v>0</v>
      </c>
      <c r="Q245" s="359"/>
      <c r="R245" s="305">
        <f t="shared" si="215"/>
        <v>0</v>
      </c>
      <c r="S245" s="9">
        <f>1235/400</f>
        <v>3.0874999999999999</v>
      </c>
      <c r="T245" s="295"/>
      <c r="U245" s="9"/>
      <c r="V245" s="9"/>
      <c r="W245" s="9"/>
      <c r="X245" s="9"/>
      <c r="Y245" s="9"/>
      <c r="Z245" s="298"/>
      <c r="AA245" s="298"/>
    </row>
    <row r="246" spans="1:27" ht="13.5" customHeight="1" x14ac:dyDescent="0.25">
      <c r="A246" s="9"/>
      <c r="B246" s="9"/>
      <c r="C246" s="175"/>
      <c r="D246" s="176"/>
      <c r="E246" s="121"/>
      <c r="F246" s="112"/>
      <c r="G246" s="112"/>
      <c r="H246" s="177"/>
      <c r="I246" s="114"/>
      <c r="J246" s="115"/>
      <c r="K246" s="304"/>
      <c r="L246" s="305">
        <f t="shared" si="210"/>
        <v>0</v>
      </c>
      <c r="M246" s="305">
        <f t="shared" si="211"/>
        <v>0</v>
      </c>
      <c r="N246" s="305">
        <f t="shared" si="212"/>
        <v>0</v>
      </c>
      <c r="O246" s="305">
        <f t="shared" si="213"/>
        <v>0</v>
      </c>
      <c r="P246" s="358">
        <f t="shared" si="214"/>
        <v>0</v>
      </c>
      <c r="Q246" s="359"/>
      <c r="R246" s="305">
        <f t="shared" si="215"/>
        <v>0</v>
      </c>
      <c r="S246" s="9">
        <f>100/120</f>
        <v>0.83333333333333337</v>
      </c>
      <c r="T246" s="295"/>
      <c r="U246" s="9"/>
      <c r="V246" s="9"/>
      <c r="W246" s="9"/>
      <c r="X246" s="9"/>
      <c r="Y246" s="9"/>
      <c r="Z246" s="298"/>
      <c r="AA246" s="298"/>
    </row>
    <row r="247" spans="1:27" ht="13.5" customHeight="1" x14ac:dyDescent="0.25">
      <c r="A247" s="9"/>
      <c r="B247" s="9"/>
      <c r="C247" s="175"/>
      <c r="D247" s="176"/>
      <c r="E247" s="121"/>
      <c r="F247" s="112"/>
      <c r="G247" s="112"/>
      <c r="H247" s="177"/>
      <c r="I247" s="114"/>
      <c r="J247" s="115"/>
      <c r="K247" s="304"/>
      <c r="L247" s="305">
        <f t="shared" si="210"/>
        <v>0</v>
      </c>
      <c r="M247" s="305">
        <f t="shared" si="211"/>
        <v>0</v>
      </c>
      <c r="N247" s="305">
        <f t="shared" si="212"/>
        <v>0</v>
      </c>
      <c r="O247" s="305">
        <f t="shared" si="213"/>
        <v>0</v>
      </c>
      <c r="P247" s="358">
        <f t="shared" si="214"/>
        <v>0</v>
      </c>
      <c r="Q247" s="359"/>
      <c r="R247" s="305">
        <f t="shared" si="215"/>
        <v>0</v>
      </c>
      <c r="S247" s="294"/>
      <c r="T247" s="295"/>
      <c r="U247" s="9"/>
      <c r="V247" s="9"/>
      <c r="W247" s="9"/>
      <c r="X247" s="9"/>
      <c r="Y247" s="9"/>
      <c r="Z247" s="298"/>
      <c r="AA247" s="298"/>
    </row>
    <row r="248" spans="1:27" ht="13.5" customHeight="1" x14ac:dyDescent="0.25">
      <c r="A248" s="9"/>
      <c r="B248" s="9"/>
      <c r="C248" s="175"/>
      <c r="D248" s="176"/>
      <c r="E248" s="121"/>
      <c r="F248" s="112"/>
      <c r="G248" s="112"/>
      <c r="H248" s="177"/>
      <c r="I248" s="114"/>
      <c r="J248" s="115"/>
      <c r="K248" s="304"/>
      <c r="L248" s="305">
        <f t="shared" si="210"/>
        <v>0</v>
      </c>
      <c r="M248" s="305">
        <f t="shared" si="211"/>
        <v>0</v>
      </c>
      <c r="N248" s="305">
        <f t="shared" si="212"/>
        <v>0</v>
      </c>
      <c r="O248" s="305">
        <f t="shared" si="213"/>
        <v>0</v>
      </c>
      <c r="P248" s="358">
        <f t="shared" si="214"/>
        <v>0</v>
      </c>
      <c r="Q248" s="359"/>
      <c r="R248" s="305">
        <f t="shared" si="215"/>
        <v>0</v>
      </c>
      <c r="S248" s="294"/>
      <c r="T248" s="295"/>
      <c r="U248" s="9"/>
      <c r="V248" s="9"/>
      <c r="W248" s="9"/>
      <c r="X248" s="9"/>
      <c r="Y248" s="9"/>
      <c r="Z248" s="298"/>
      <c r="AA248" s="298"/>
    </row>
    <row r="249" spans="1:27" ht="13.5" customHeight="1" x14ac:dyDescent="0.25">
      <c r="A249" s="9"/>
      <c r="B249" s="9"/>
      <c r="C249" s="360" t="s">
        <v>13</v>
      </c>
      <c r="D249" s="361"/>
      <c r="E249" s="361"/>
      <c r="F249" s="361"/>
      <c r="G249" s="361"/>
      <c r="H249" s="361"/>
      <c r="I249" s="361"/>
      <c r="J249" s="361"/>
      <c r="K249" s="359"/>
      <c r="L249" s="308">
        <f t="shared" ref="L249:M249" si="216">SUM(L240:L248)</f>
        <v>588.00000000000011</v>
      </c>
      <c r="M249" s="308">
        <f t="shared" si="216"/>
        <v>0.4</v>
      </c>
      <c r="N249" s="308">
        <f t="shared" ref="N249:O249" si="217">MAX(N240:N248)</f>
        <v>1.1000000000000001</v>
      </c>
      <c r="O249" s="308">
        <f t="shared" si="217"/>
        <v>6</v>
      </c>
      <c r="P249" s="362">
        <f>SUM(P240:P248)</f>
        <v>2.1</v>
      </c>
      <c r="Q249" s="359"/>
      <c r="R249" s="308">
        <f>SUM(R240:R248)</f>
        <v>1008</v>
      </c>
      <c r="S249" s="294"/>
      <c r="T249" s="295"/>
      <c r="U249" s="9"/>
      <c r="V249" s="9"/>
      <c r="W249" s="9"/>
      <c r="X249" s="9"/>
      <c r="Y249" s="9"/>
      <c r="Z249" s="298"/>
      <c r="AA249" s="298"/>
    </row>
    <row r="250" spans="1:27" ht="13.5" customHeight="1" x14ac:dyDescent="0.25">
      <c r="A250" s="9"/>
      <c r="B250" s="9"/>
      <c r="C250" s="9"/>
      <c r="D250" s="9"/>
      <c r="E250" s="9"/>
      <c r="F250" s="185"/>
      <c r="G250" s="185"/>
      <c r="H250" s="9"/>
      <c r="I250" s="311"/>
      <c r="J250" s="310"/>
      <c r="K250" s="291" t="s">
        <v>113</v>
      </c>
      <c r="L250" s="309">
        <v>120</v>
      </c>
      <c r="M250" s="9"/>
      <c r="N250" s="9"/>
      <c r="O250" s="42"/>
      <c r="P250" s="310"/>
      <c r="Q250" s="293"/>
      <c r="R250" s="291"/>
      <c r="S250" s="294"/>
      <c r="T250" s="295"/>
      <c r="U250" s="9"/>
      <c r="V250" s="9"/>
      <c r="W250" s="9"/>
      <c r="X250" s="9"/>
      <c r="Y250" s="9"/>
      <c r="Z250" s="298"/>
      <c r="AA250" s="298"/>
    </row>
    <row r="251" spans="1:27" ht="13.5" customHeight="1" x14ac:dyDescent="0.25">
      <c r="A251" s="9"/>
      <c r="B251" s="9"/>
      <c r="C251" s="9"/>
      <c r="D251" s="9"/>
      <c r="E251" s="9"/>
      <c r="F251" s="185"/>
      <c r="G251" s="185"/>
      <c r="H251" s="9"/>
      <c r="I251" s="311"/>
      <c r="J251" s="310"/>
      <c r="K251" s="291" t="s">
        <v>115</v>
      </c>
      <c r="L251" s="309">
        <f>L249+L250</f>
        <v>708.00000000000011</v>
      </c>
      <c r="M251" s="9"/>
      <c r="N251" s="9"/>
      <c r="O251" s="42"/>
      <c r="P251" s="310"/>
      <c r="Q251" s="293"/>
      <c r="R251" s="291"/>
      <c r="S251" s="294"/>
      <c r="T251" s="295"/>
      <c r="U251" s="9"/>
      <c r="V251" s="9"/>
      <c r="W251" s="9"/>
      <c r="X251" s="9"/>
      <c r="Y251" s="9"/>
      <c r="Z251" s="298"/>
      <c r="AA251" s="298"/>
    </row>
    <row r="252" spans="1:27" ht="13.5" customHeight="1" x14ac:dyDescent="0.25">
      <c r="A252" s="9"/>
      <c r="B252" s="9"/>
      <c r="C252" s="312"/>
      <c r="D252" s="312"/>
      <c r="E252" s="313"/>
      <c r="F252" s="314"/>
      <c r="G252" s="314"/>
      <c r="H252" s="315"/>
      <c r="I252" s="316"/>
      <c r="J252" s="317"/>
      <c r="K252" s="318"/>
      <c r="L252" s="309"/>
      <c r="M252" s="9"/>
      <c r="N252" s="9"/>
      <c r="O252" s="42"/>
      <c r="P252" s="310"/>
      <c r="Q252" s="293"/>
      <c r="R252" s="291"/>
      <c r="S252" s="294"/>
      <c r="T252" s="295"/>
      <c r="U252" s="9"/>
      <c r="V252" s="9"/>
      <c r="W252" s="9"/>
      <c r="X252" s="9"/>
      <c r="Y252" s="9"/>
      <c r="Z252" s="298"/>
      <c r="AA252" s="298"/>
    </row>
    <row r="253" spans="1:27" ht="13.5" customHeight="1" x14ac:dyDescent="0.25">
      <c r="A253" s="9"/>
      <c r="B253" s="9"/>
      <c r="C253" s="312"/>
      <c r="D253" s="312"/>
      <c r="E253" s="313"/>
      <c r="F253" s="314"/>
      <c r="G253" s="314"/>
      <c r="H253" s="315"/>
      <c r="I253" s="316"/>
      <c r="J253" s="317"/>
      <c r="K253" s="318"/>
      <c r="L253" s="309"/>
      <c r="M253" s="9"/>
      <c r="N253" s="9"/>
      <c r="O253" s="42"/>
      <c r="P253" s="310"/>
      <c r="Q253" s="293"/>
      <c r="R253" s="291"/>
      <c r="S253" s="294"/>
      <c r="T253" s="295"/>
      <c r="U253" s="9"/>
      <c r="V253" s="9"/>
      <c r="W253" s="9"/>
      <c r="X253" s="9"/>
      <c r="Y253" s="9"/>
      <c r="Z253" s="298"/>
      <c r="AA253" s="298"/>
    </row>
    <row r="254" spans="1:27" ht="13.5" customHeight="1" x14ac:dyDescent="0.25">
      <c r="A254" s="9"/>
      <c r="B254" s="9"/>
      <c r="C254" s="312"/>
      <c r="D254" s="312"/>
      <c r="E254" s="313"/>
      <c r="F254" s="314"/>
      <c r="G254" s="314"/>
      <c r="H254" s="315"/>
      <c r="I254" s="316"/>
      <c r="J254" s="317"/>
      <c r="K254" s="318"/>
      <c r="L254" s="309"/>
      <c r="M254" s="9"/>
      <c r="N254" s="9"/>
      <c r="O254" s="42"/>
      <c r="P254" s="310"/>
      <c r="Q254" s="293"/>
      <c r="R254" s="291"/>
      <c r="S254" s="294"/>
      <c r="T254" s="295"/>
      <c r="U254" s="9"/>
      <c r="V254" s="9"/>
      <c r="W254" s="9"/>
      <c r="X254" s="9"/>
      <c r="Y254" s="9"/>
      <c r="Z254" s="298"/>
      <c r="AA254" s="298"/>
    </row>
    <row r="255" spans="1:27" ht="13.5" customHeight="1" x14ac:dyDescent="0.25">
      <c r="A255" s="9"/>
      <c r="B255" s="9"/>
      <c r="C255" s="312"/>
      <c r="D255" s="312"/>
      <c r="E255" s="313"/>
      <c r="F255" s="314"/>
      <c r="G255" s="314"/>
      <c r="H255" s="315"/>
      <c r="I255" s="316" t="s">
        <v>116</v>
      </c>
      <c r="J255" s="317" t="s">
        <v>117</v>
      </c>
      <c r="K255" s="318"/>
      <c r="L255" s="309"/>
      <c r="M255" s="9"/>
      <c r="N255" s="9"/>
      <c r="O255" s="42"/>
      <c r="P255" s="310"/>
      <c r="Q255" s="293"/>
      <c r="R255" s="291"/>
      <c r="S255" s="294"/>
      <c r="T255" s="295"/>
      <c r="U255" s="9"/>
      <c r="V255" s="9"/>
      <c r="W255" s="9"/>
      <c r="X255" s="9"/>
      <c r="Y255" s="9"/>
      <c r="Z255" s="298"/>
      <c r="AA255" s="298"/>
    </row>
    <row r="256" spans="1:27" ht="13.5" customHeight="1" x14ac:dyDescent="0.25">
      <c r="A256" s="9"/>
      <c r="B256" s="9"/>
      <c r="C256" s="110">
        <f t="shared" ref="C256:D256" si="218">C258+0.004</f>
        <v>2.5000000000000001E-2</v>
      </c>
      <c r="D256" s="110">
        <f t="shared" si="218"/>
        <v>0.17400000000000002</v>
      </c>
      <c r="E256" s="56">
        <f>E258</f>
        <v>6</v>
      </c>
      <c r="F256" s="112"/>
      <c r="G256" s="112"/>
      <c r="H256" s="113"/>
      <c r="I256" s="319">
        <v>300</v>
      </c>
      <c r="J256" s="320">
        <f>J258</f>
        <v>46.685340802987852</v>
      </c>
      <c r="K256" s="116">
        <f>J256*(C256*D256*E256)</f>
        <v>1.2184873949579831</v>
      </c>
      <c r="L256" s="309">
        <f>I256*K256</f>
        <v>365.54621848739492</v>
      </c>
      <c r="M256" s="9"/>
      <c r="N256" s="9"/>
      <c r="O256" s="42"/>
      <c r="P256" s="310"/>
      <c r="Q256" s="293"/>
      <c r="R256" s="291"/>
      <c r="S256" s="294"/>
      <c r="T256" s="295"/>
      <c r="U256" s="9"/>
      <c r="V256" s="9"/>
      <c r="W256" s="9"/>
      <c r="X256" s="9"/>
      <c r="Y256" s="9"/>
      <c r="Z256" s="298"/>
      <c r="AA256" s="298"/>
    </row>
    <row r="257" spans="1:27" ht="13.5" customHeight="1" x14ac:dyDescent="0.25">
      <c r="A257" s="9"/>
      <c r="B257" s="9"/>
      <c r="C257" s="312"/>
      <c r="D257" s="321"/>
      <c r="E257" s="313"/>
      <c r="F257" s="314"/>
      <c r="G257" s="314"/>
      <c r="H257" s="315"/>
      <c r="I257" s="322"/>
      <c r="J257" s="323"/>
      <c r="K257" s="318"/>
      <c r="L257" s="309"/>
      <c r="M257" s="9"/>
      <c r="N257" s="9"/>
      <c r="O257" s="42"/>
      <c r="P257" s="310"/>
      <c r="Q257" s="293"/>
      <c r="R257" s="291"/>
      <c r="S257" s="294"/>
      <c r="T257" s="295"/>
      <c r="U257" s="9"/>
      <c r="V257" s="9"/>
      <c r="W257" s="9"/>
      <c r="X257" s="9"/>
      <c r="Y257" s="9"/>
      <c r="Z257" s="298"/>
      <c r="AA257" s="298"/>
    </row>
    <row r="258" spans="1:27" ht="13.5" customHeight="1" x14ac:dyDescent="0.25">
      <c r="A258" s="9"/>
      <c r="B258" s="9"/>
      <c r="C258" s="175">
        <v>2.1000000000000001E-2</v>
      </c>
      <c r="D258" s="176">
        <v>0.17</v>
      </c>
      <c r="E258" s="121">
        <v>6</v>
      </c>
      <c r="F258" s="112"/>
      <c r="G258" s="112"/>
      <c r="H258" s="113"/>
      <c r="I258" s="319">
        <f>L256+L258</f>
        <v>465.54621848739492</v>
      </c>
      <c r="J258" s="320">
        <f>1/(C258*D258*E258)</f>
        <v>46.685340802987852</v>
      </c>
      <c r="K258" s="116"/>
      <c r="L258" s="309">
        <v>100</v>
      </c>
      <c r="M258" s="9"/>
      <c r="N258" s="9"/>
      <c r="O258" s="42"/>
      <c r="P258" s="310"/>
      <c r="Q258" s="293"/>
      <c r="R258" s="291"/>
      <c r="S258" s="294"/>
      <c r="T258" s="295"/>
      <c r="U258" s="9"/>
      <c r="V258" s="9"/>
      <c r="W258" s="9"/>
      <c r="X258" s="9"/>
      <c r="Y258" s="9"/>
      <c r="Z258" s="298"/>
      <c r="AA258" s="298"/>
    </row>
    <row r="259" spans="1:27" ht="13.5" customHeight="1" x14ac:dyDescent="0.25">
      <c r="A259" s="9"/>
      <c r="B259" s="9"/>
      <c r="C259" s="9"/>
      <c r="D259" s="9"/>
      <c r="E259" s="9"/>
      <c r="F259" s="185"/>
      <c r="G259" s="185"/>
      <c r="H259" s="9"/>
      <c r="I259" s="311"/>
      <c r="J259" s="310"/>
      <c r="K259" s="291"/>
      <c r="L259" s="309"/>
      <c r="M259" s="9"/>
      <c r="N259" s="9"/>
      <c r="O259" s="42"/>
      <c r="P259" s="310"/>
      <c r="Q259" s="293"/>
      <c r="R259" s="291"/>
      <c r="S259" s="294"/>
      <c r="T259" s="295"/>
      <c r="U259" s="9"/>
      <c r="V259" s="9"/>
      <c r="W259" s="9"/>
      <c r="X259" s="9"/>
      <c r="Y259" s="9"/>
      <c r="Z259" s="298"/>
      <c r="AA259" s="298"/>
    </row>
    <row r="260" spans="1:27" ht="13.5" customHeight="1" x14ac:dyDescent="0.25">
      <c r="A260" s="9"/>
      <c r="B260" s="9"/>
      <c r="C260" s="9"/>
      <c r="D260" s="9"/>
      <c r="E260" s="9"/>
      <c r="F260" s="185"/>
      <c r="G260" s="185"/>
      <c r="H260" s="9"/>
      <c r="I260" s="311"/>
      <c r="J260" s="310"/>
      <c r="K260" s="291"/>
      <c r="L260" s="309"/>
      <c r="M260" s="9"/>
      <c r="N260" s="9"/>
      <c r="O260" s="42"/>
      <c r="P260" s="310"/>
      <c r="Q260" s="293"/>
      <c r="R260" s="291"/>
      <c r="S260" s="294"/>
      <c r="T260" s="295"/>
      <c r="U260" s="9"/>
      <c r="V260" s="9"/>
      <c r="W260" s="9"/>
      <c r="X260" s="9"/>
      <c r="Y260" s="9"/>
      <c r="Z260" s="298"/>
      <c r="AA260" s="298"/>
    </row>
    <row r="261" spans="1:27" ht="13.5" customHeight="1" x14ac:dyDescent="0.25">
      <c r="A261" s="9"/>
      <c r="B261" s="76">
        <v>2.5000000000000001E-2</v>
      </c>
      <c r="C261" s="77">
        <v>0.1</v>
      </c>
      <c r="D261" s="78">
        <v>6</v>
      </c>
      <c r="E261" s="327">
        <v>385</v>
      </c>
      <c r="F261" s="185"/>
      <c r="G261" s="185"/>
      <c r="H261" s="9"/>
      <c r="I261" s="311"/>
      <c r="J261" s="310"/>
      <c r="K261" s="291"/>
      <c r="L261" s="309"/>
      <c r="M261" s="9"/>
      <c r="N261" s="9"/>
      <c r="O261" s="42"/>
      <c r="P261" s="310"/>
      <c r="Q261" s="293"/>
      <c r="R261" s="291"/>
      <c r="S261" s="294"/>
      <c r="T261" s="295"/>
      <c r="U261" s="9"/>
      <c r="V261" s="9"/>
      <c r="W261" s="9"/>
      <c r="X261" s="9"/>
      <c r="Y261" s="9"/>
      <c r="Z261" s="298"/>
      <c r="AA261" s="298"/>
    </row>
    <row r="262" spans="1:27" ht="13.5" customHeight="1" x14ac:dyDescent="0.25">
      <c r="A262" s="9"/>
      <c r="B262" s="76">
        <v>0.05</v>
      </c>
      <c r="C262" s="77">
        <v>0.1</v>
      </c>
      <c r="D262" s="78">
        <v>6</v>
      </c>
      <c r="E262" s="327">
        <v>828</v>
      </c>
      <c r="F262" s="185"/>
      <c r="G262" s="185"/>
      <c r="H262" s="9"/>
      <c r="I262" s="311"/>
      <c r="J262" s="310"/>
      <c r="K262" s="291"/>
      <c r="L262" s="309"/>
      <c r="M262" s="9"/>
      <c r="N262" s="9"/>
      <c r="O262" s="42"/>
      <c r="P262" s="310"/>
      <c r="Q262" s="293"/>
      <c r="R262" s="291"/>
      <c r="S262" s="294"/>
      <c r="T262" s="295"/>
      <c r="U262" s="9"/>
      <c r="V262" s="9"/>
      <c r="W262" s="9"/>
      <c r="X262" s="9"/>
      <c r="Y262" s="9"/>
      <c r="Z262" s="298"/>
      <c r="AA262" s="298"/>
    </row>
    <row r="263" spans="1:27" ht="13.5" customHeight="1" x14ac:dyDescent="0.25">
      <c r="A263" s="9"/>
      <c r="B263" s="76">
        <v>0.05</v>
      </c>
      <c r="C263" s="77">
        <v>0.05</v>
      </c>
      <c r="D263" s="78">
        <v>6</v>
      </c>
      <c r="E263" s="327">
        <v>481</v>
      </c>
      <c r="F263" s="185"/>
      <c r="G263" s="185"/>
      <c r="H263" s="9"/>
      <c r="I263" s="311"/>
      <c r="J263" s="310"/>
      <c r="K263" s="291"/>
      <c r="L263" s="309"/>
      <c r="M263" s="9"/>
      <c r="N263" s="9"/>
      <c r="O263" s="42"/>
      <c r="P263" s="310"/>
      <c r="Q263" s="293"/>
      <c r="R263" s="291"/>
      <c r="S263" s="294"/>
      <c r="T263" s="295"/>
      <c r="U263" s="9"/>
      <c r="V263" s="9"/>
      <c r="W263" s="9"/>
      <c r="X263" s="9"/>
      <c r="Y263" s="9"/>
      <c r="Z263" s="298"/>
      <c r="AA263" s="298"/>
    </row>
    <row r="264" spans="1:27" ht="13.5" customHeight="1" x14ac:dyDescent="0.25">
      <c r="A264" s="9"/>
      <c r="B264" s="76">
        <v>0.05</v>
      </c>
      <c r="C264" s="77">
        <v>0.05</v>
      </c>
      <c r="D264" s="78">
        <v>2.5</v>
      </c>
      <c r="E264" s="327">
        <v>340</v>
      </c>
      <c r="F264" s="185"/>
      <c r="G264" s="185"/>
      <c r="H264" s="9"/>
      <c r="I264" s="311"/>
      <c r="J264" s="310"/>
      <c r="K264" s="291"/>
      <c r="L264" s="309"/>
      <c r="M264" s="9"/>
      <c r="N264" s="9"/>
      <c r="O264" s="42"/>
      <c r="P264" s="310"/>
      <c r="Q264" s="293"/>
      <c r="R264" s="291"/>
      <c r="S264" s="294"/>
      <c r="T264" s="295"/>
      <c r="U264" s="9"/>
      <c r="V264" s="9"/>
      <c r="W264" s="9"/>
      <c r="X264" s="9"/>
      <c r="Y264" s="9"/>
      <c r="Z264" s="298"/>
      <c r="AA264" s="298"/>
    </row>
    <row r="265" spans="1:27" ht="13.5" customHeight="1" x14ac:dyDescent="0.25">
      <c r="A265" s="9"/>
      <c r="B265" s="76">
        <v>0.05</v>
      </c>
      <c r="C265" s="77">
        <v>0.05</v>
      </c>
      <c r="D265" s="78">
        <v>3.7</v>
      </c>
      <c r="E265" s="327">
        <v>130</v>
      </c>
      <c r="F265" s="185"/>
      <c r="G265" s="185"/>
      <c r="H265" s="9"/>
      <c r="I265" s="311"/>
      <c r="J265" s="310"/>
      <c r="K265" s="291"/>
      <c r="L265" s="309"/>
      <c r="M265" s="9"/>
      <c r="N265" s="9"/>
      <c r="O265" s="42"/>
      <c r="P265" s="310"/>
      <c r="Q265" s="293"/>
      <c r="R265" s="291"/>
      <c r="S265" s="294"/>
      <c r="T265" s="295"/>
      <c r="U265" s="9"/>
      <c r="V265" s="9"/>
      <c r="W265" s="9"/>
      <c r="X265" s="9"/>
      <c r="Y265" s="9"/>
      <c r="Z265" s="298"/>
      <c r="AA265" s="298"/>
    </row>
    <row r="266" spans="1:27" ht="13.5" customHeight="1" x14ac:dyDescent="0.25">
      <c r="A266" s="9"/>
      <c r="B266" s="76">
        <v>0.05</v>
      </c>
      <c r="C266" s="77">
        <v>0.05</v>
      </c>
      <c r="D266" s="78">
        <v>6</v>
      </c>
      <c r="E266" s="327">
        <v>481</v>
      </c>
      <c r="F266" s="185"/>
      <c r="G266" s="185"/>
      <c r="H266" s="9"/>
      <c r="I266" s="311"/>
      <c r="J266" s="310"/>
      <c r="K266" s="291"/>
      <c r="L266" s="309"/>
      <c r="M266" s="9"/>
      <c r="N266" s="9"/>
      <c r="O266" s="42"/>
      <c r="P266" s="310"/>
      <c r="Q266" s="293"/>
      <c r="R266" s="291"/>
      <c r="S266" s="294"/>
      <c r="T266" s="295"/>
      <c r="U266" s="9"/>
      <c r="V266" s="9"/>
      <c r="W266" s="9"/>
      <c r="X266" s="9"/>
      <c r="Y266" s="9"/>
      <c r="Z266" s="298"/>
      <c r="AA266" s="298"/>
    </row>
    <row r="267" spans="1:27" ht="13.5" customHeight="1" x14ac:dyDescent="0.25">
      <c r="A267" s="9"/>
      <c r="B267" s="9"/>
      <c r="C267" s="9"/>
      <c r="D267" s="9"/>
      <c r="E267" s="9"/>
      <c r="F267" s="185"/>
      <c r="G267" s="185"/>
      <c r="H267" s="9"/>
      <c r="I267" s="311"/>
      <c r="J267" s="310"/>
      <c r="K267" s="291"/>
      <c r="L267" s="309"/>
      <c r="M267" s="9"/>
      <c r="N267" s="9"/>
      <c r="O267" s="42"/>
      <c r="P267" s="310"/>
      <c r="Q267" s="293"/>
      <c r="R267" s="291"/>
      <c r="S267" s="294"/>
      <c r="T267" s="295"/>
      <c r="U267" s="9"/>
      <c r="V267" s="9"/>
      <c r="W267" s="9"/>
      <c r="X267" s="9"/>
      <c r="Y267" s="9"/>
      <c r="Z267" s="298"/>
      <c r="AA267" s="298"/>
    </row>
    <row r="268" spans="1:27" ht="13.5" customHeight="1" x14ac:dyDescent="0.25">
      <c r="A268" s="9"/>
      <c r="B268" s="9"/>
      <c r="C268" s="9"/>
      <c r="D268" s="9"/>
      <c r="E268" s="9"/>
      <c r="F268" s="185"/>
      <c r="G268" s="185"/>
      <c r="H268" s="9"/>
      <c r="I268" s="311"/>
      <c r="J268" s="310"/>
      <c r="K268" s="291"/>
      <c r="L268" s="309"/>
      <c r="M268" s="9"/>
      <c r="N268" s="9"/>
      <c r="O268" s="42"/>
      <c r="P268" s="310"/>
      <c r="Q268" s="293"/>
      <c r="R268" s="291"/>
      <c r="S268" s="294"/>
      <c r="T268" s="295"/>
      <c r="U268" s="9"/>
      <c r="V268" s="9"/>
      <c r="W268" s="9"/>
      <c r="X268" s="9"/>
      <c r="Y268" s="9"/>
      <c r="Z268" s="298"/>
      <c r="AA268" s="298"/>
    </row>
    <row r="269" spans="1:27" ht="13.5" customHeight="1" x14ac:dyDescent="0.25">
      <c r="A269" s="9"/>
      <c r="B269" s="9"/>
      <c r="C269" s="9"/>
      <c r="D269" s="9"/>
      <c r="E269" s="9"/>
      <c r="F269" s="185"/>
      <c r="G269" s="185"/>
      <c r="H269" s="9"/>
      <c r="I269" s="311"/>
      <c r="J269" s="310"/>
      <c r="K269" s="291"/>
      <c r="L269" s="309"/>
      <c r="M269" s="9"/>
      <c r="N269" s="9"/>
      <c r="O269" s="42"/>
      <c r="P269" s="310"/>
      <c r="Q269" s="293"/>
      <c r="R269" s="291"/>
      <c r="S269" s="294"/>
      <c r="T269" s="295"/>
      <c r="U269" s="9"/>
      <c r="V269" s="9"/>
      <c r="W269" s="9"/>
      <c r="X269" s="9"/>
      <c r="Y269" s="9"/>
      <c r="Z269" s="298"/>
      <c r="AA269" s="298"/>
    </row>
    <row r="270" spans="1:27" ht="13.5" customHeight="1" x14ac:dyDescent="0.25">
      <c r="A270" s="9"/>
      <c r="B270" s="9"/>
      <c r="C270" s="9"/>
      <c r="D270" s="9"/>
      <c r="E270" s="9"/>
      <c r="F270" s="185"/>
      <c r="G270" s="185"/>
      <c r="H270" s="9"/>
      <c r="I270" s="311"/>
      <c r="J270" s="310"/>
      <c r="K270" s="291"/>
      <c r="L270" s="309"/>
      <c r="M270" s="9"/>
      <c r="N270" s="9"/>
      <c r="O270" s="42"/>
      <c r="P270" s="310"/>
      <c r="Q270" s="293"/>
      <c r="R270" s="291"/>
      <c r="S270" s="294"/>
      <c r="T270" s="295"/>
      <c r="U270" s="9"/>
      <c r="V270" s="9"/>
      <c r="W270" s="9"/>
      <c r="X270" s="9"/>
      <c r="Y270" s="9"/>
      <c r="Z270" s="298"/>
      <c r="AA270" s="298"/>
    </row>
    <row r="271" spans="1:27" ht="13.5" customHeight="1" x14ac:dyDescent="0.25">
      <c r="A271" s="9"/>
      <c r="B271" s="9"/>
      <c r="C271" s="9"/>
      <c r="D271" s="9"/>
      <c r="E271" s="9"/>
      <c r="F271" s="185"/>
      <c r="G271" s="185"/>
      <c r="H271" s="9"/>
      <c r="I271" s="311"/>
      <c r="J271" s="310"/>
      <c r="K271" s="291"/>
      <c r="L271" s="309"/>
      <c r="M271" s="9"/>
      <c r="N271" s="9"/>
      <c r="O271" s="42"/>
      <c r="P271" s="310"/>
      <c r="Q271" s="293"/>
      <c r="R271" s="291"/>
      <c r="S271" s="294"/>
      <c r="T271" s="295"/>
      <c r="U271" s="9"/>
      <c r="V271" s="9"/>
      <c r="W271" s="9"/>
      <c r="X271" s="9"/>
      <c r="Y271" s="9"/>
      <c r="Z271" s="298"/>
      <c r="AA271" s="298"/>
    </row>
    <row r="272" spans="1:27" ht="13.5" customHeight="1" x14ac:dyDescent="0.25">
      <c r="A272" s="9"/>
      <c r="B272" s="9"/>
      <c r="C272" s="9"/>
      <c r="D272" s="9"/>
      <c r="E272" s="9"/>
      <c r="F272" s="185"/>
      <c r="G272" s="185"/>
      <c r="H272" s="9"/>
      <c r="I272" s="311"/>
      <c r="J272" s="310"/>
      <c r="K272" s="291"/>
      <c r="L272" s="309"/>
      <c r="M272" s="9"/>
      <c r="N272" s="9"/>
      <c r="O272" s="42"/>
      <c r="P272" s="310"/>
      <c r="Q272" s="293"/>
      <c r="R272" s="291"/>
      <c r="S272" s="294"/>
      <c r="T272" s="295"/>
      <c r="U272" s="9"/>
      <c r="V272" s="9"/>
      <c r="W272" s="9"/>
      <c r="X272" s="9"/>
      <c r="Y272" s="9"/>
      <c r="Z272" s="298"/>
      <c r="AA272" s="298"/>
    </row>
    <row r="273" spans="1:27" ht="13.5" customHeight="1" x14ac:dyDescent="0.25">
      <c r="A273" s="9"/>
      <c r="B273" s="9"/>
      <c r="C273" s="9"/>
      <c r="D273" s="9"/>
      <c r="E273" s="9"/>
      <c r="F273" s="185"/>
      <c r="G273" s="185"/>
      <c r="H273" s="9"/>
      <c r="I273" s="311"/>
      <c r="J273" s="310"/>
      <c r="K273" s="291"/>
      <c r="L273" s="309"/>
      <c r="M273" s="9"/>
      <c r="N273" s="9"/>
      <c r="O273" s="42"/>
      <c r="P273" s="310"/>
      <c r="Q273" s="293"/>
      <c r="R273" s="291"/>
      <c r="S273" s="294"/>
      <c r="T273" s="295"/>
      <c r="U273" s="9"/>
      <c r="V273" s="9"/>
      <c r="W273" s="9"/>
      <c r="X273" s="9"/>
      <c r="Y273" s="9"/>
      <c r="Z273" s="298"/>
      <c r="AA273" s="298"/>
    </row>
    <row r="274" spans="1:27" ht="13.5" customHeight="1" x14ac:dyDescent="0.25">
      <c r="A274" s="9"/>
      <c r="B274" s="9"/>
      <c r="C274" s="9"/>
      <c r="D274" s="9"/>
      <c r="E274" s="9"/>
      <c r="F274" s="185"/>
      <c r="G274" s="185"/>
      <c r="H274" s="9"/>
      <c r="I274" s="311"/>
      <c r="J274" s="310"/>
      <c r="K274" s="291"/>
      <c r="L274" s="309"/>
      <c r="M274" s="9"/>
      <c r="N274" s="9"/>
      <c r="O274" s="42"/>
      <c r="P274" s="310"/>
      <c r="Q274" s="293"/>
      <c r="R274" s="291"/>
      <c r="S274" s="294"/>
      <c r="T274" s="295"/>
      <c r="U274" s="9"/>
      <c r="V274" s="9"/>
      <c r="W274" s="9"/>
      <c r="X274" s="9"/>
      <c r="Y274" s="9"/>
      <c r="Z274" s="298"/>
      <c r="AA274" s="298"/>
    </row>
    <row r="275" spans="1:27" ht="13.5" customHeight="1" x14ac:dyDescent="0.25">
      <c r="A275" s="9"/>
      <c r="B275" s="9"/>
      <c r="C275" s="9"/>
      <c r="D275" s="9"/>
      <c r="E275" s="9"/>
      <c r="F275" s="185"/>
      <c r="G275" s="185"/>
      <c r="H275" s="9"/>
      <c r="I275" s="311"/>
      <c r="J275" s="310"/>
      <c r="K275" s="291"/>
      <c r="L275" s="309"/>
      <c r="M275" s="9"/>
      <c r="N275" s="9"/>
      <c r="O275" s="42"/>
      <c r="P275" s="310"/>
      <c r="Q275" s="293"/>
      <c r="R275" s="291"/>
      <c r="S275" s="294"/>
      <c r="T275" s="295"/>
      <c r="U275" s="9"/>
      <c r="V275" s="9"/>
      <c r="W275" s="9"/>
      <c r="X275" s="9"/>
      <c r="Y275" s="9"/>
      <c r="Z275" s="298"/>
      <c r="AA275" s="298"/>
    </row>
    <row r="276" spans="1:27" ht="13.5" customHeight="1" x14ac:dyDescent="0.25">
      <c r="A276" s="9"/>
      <c r="B276" s="9"/>
      <c r="C276" s="9"/>
      <c r="D276" s="9"/>
      <c r="E276" s="9"/>
      <c r="F276" s="185"/>
      <c r="G276" s="185"/>
      <c r="H276" s="9"/>
      <c r="I276" s="311"/>
      <c r="J276" s="310"/>
      <c r="K276" s="291"/>
      <c r="L276" s="309"/>
      <c r="M276" s="9"/>
      <c r="N276" s="9"/>
      <c r="O276" s="42"/>
      <c r="P276" s="310"/>
      <c r="Q276" s="293"/>
      <c r="R276" s="291"/>
      <c r="S276" s="294"/>
      <c r="T276" s="295"/>
      <c r="U276" s="9"/>
      <c r="V276" s="9"/>
      <c r="W276" s="9"/>
      <c r="X276" s="9"/>
      <c r="Y276" s="9"/>
      <c r="Z276" s="298"/>
      <c r="AA276" s="298"/>
    </row>
    <row r="277" spans="1:27" ht="13.5" customHeight="1" x14ac:dyDescent="0.25">
      <c r="A277" s="9"/>
      <c r="B277" s="9"/>
      <c r="C277" s="9"/>
      <c r="D277" s="9"/>
      <c r="E277" s="9"/>
      <c r="F277" s="185"/>
      <c r="G277" s="185"/>
      <c r="H277" s="9"/>
      <c r="I277" s="311"/>
      <c r="J277" s="310"/>
      <c r="K277" s="291"/>
      <c r="L277" s="309"/>
      <c r="M277" s="9"/>
      <c r="N277" s="9"/>
      <c r="O277" s="42"/>
      <c r="P277" s="310"/>
      <c r="Q277" s="293"/>
      <c r="R277" s="291"/>
      <c r="S277" s="294"/>
      <c r="T277" s="295"/>
      <c r="U277" s="9"/>
      <c r="V277" s="9"/>
      <c r="W277" s="9"/>
      <c r="X277" s="9"/>
      <c r="Y277" s="9"/>
      <c r="Z277" s="298"/>
      <c r="AA277" s="298"/>
    </row>
    <row r="278" spans="1:27" ht="13.5" customHeight="1" x14ac:dyDescent="0.25">
      <c r="A278" s="9"/>
      <c r="B278" s="9"/>
      <c r="C278" s="9"/>
      <c r="D278" s="9"/>
      <c r="E278" s="9"/>
      <c r="F278" s="185"/>
      <c r="G278" s="185"/>
      <c r="H278" s="9"/>
      <c r="I278" s="311"/>
      <c r="J278" s="310"/>
      <c r="K278" s="291"/>
      <c r="L278" s="309"/>
      <c r="M278" s="9"/>
      <c r="N278" s="9"/>
      <c r="O278" s="42"/>
      <c r="P278" s="310"/>
      <c r="Q278" s="293"/>
      <c r="R278" s="291"/>
      <c r="S278" s="294"/>
      <c r="T278" s="295"/>
      <c r="U278" s="9"/>
      <c r="V278" s="9"/>
      <c r="W278" s="9"/>
      <c r="X278" s="9"/>
      <c r="Y278" s="9"/>
      <c r="Z278" s="298"/>
      <c r="AA278" s="298"/>
    </row>
    <row r="279" spans="1:27" ht="13.5" customHeight="1" x14ac:dyDescent="0.25">
      <c r="A279" s="9"/>
      <c r="B279" s="9"/>
      <c r="C279" s="9"/>
      <c r="D279" s="9"/>
      <c r="E279" s="9"/>
      <c r="F279" s="185"/>
      <c r="G279" s="185"/>
      <c r="H279" s="9"/>
      <c r="I279" s="311"/>
      <c r="J279" s="310"/>
      <c r="K279" s="291"/>
      <c r="L279" s="309"/>
      <c r="M279" s="9"/>
      <c r="N279" s="9"/>
      <c r="O279" s="42"/>
      <c r="P279" s="310"/>
      <c r="Q279" s="293"/>
      <c r="R279" s="291"/>
      <c r="S279" s="294"/>
      <c r="T279" s="295"/>
      <c r="U279" s="9"/>
      <c r="V279" s="9"/>
      <c r="W279" s="9"/>
      <c r="X279" s="9"/>
      <c r="Y279" s="9"/>
      <c r="Z279" s="298"/>
      <c r="AA279" s="298"/>
    </row>
    <row r="280" spans="1:27" ht="13.5" customHeight="1" x14ac:dyDescent="0.25">
      <c r="A280" s="9"/>
      <c r="B280" s="9"/>
      <c r="C280" s="9"/>
      <c r="D280" s="9"/>
      <c r="E280" s="9"/>
      <c r="F280" s="185"/>
      <c r="G280" s="185"/>
      <c r="H280" s="9"/>
      <c r="I280" s="311"/>
      <c r="J280" s="310"/>
      <c r="K280" s="291"/>
      <c r="L280" s="309"/>
      <c r="M280" s="9"/>
      <c r="N280" s="9"/>
      <c r="O280" s="42"/>
      <c r="P280" s="310"/>
      <c r="Q280" s="293"/>
      <c r="R280" s="291"/>
      <c r="S280" s="294"/>
      <c r="T280" s="295"/>
      <c r="U280" s="9"/>
      <c r="V280" s="9"/>
      <c r="W280" s="9"/>
      <c r="X280" s="9"/>
      <c r="Y280" s="9"/>
      <c r="Z280" s="298"/>
      <c r="AA280" s="298"/>
    </row>
    <row r="281" spans="1:27" ht="13.5" customHeight="1" x14ac:dyDescent="0.25">
      <c r="A281" s="9"/>
      <c r="B281" s="9"/>
      <c r="C281" s="9"/>
      <c r="D281" s="9"/>
      <c r="E281" s="9"/>
      <c r="F281" s="185"/>
      <c r="G281" s="185"/>
      <c r="H281" s="9"/>
      <c r="I281" s="311"/>
      <c r="J281" s="310"/>
      <c r="K281" s="291"/>
      <c r="L281" s="309"/>
      <c r="M281" s="9"/>
      <c r="N281" s="9"/>
      <c r="O281" s="42"/>
      <c r="P281" s="310"/>
      <c r="Q281" s="293"/>
      <c r="R281" s="291"/>
      <c r="S281" s="294"/>
      <c r="T281" s="295"/>
      <c r="U281" s="9"/>
      <c r="V281" s="9"/>
      <c r="W281" s="9"/>
      <c r="X281" s="9"/>
      <c r="Y281" s="9"/>
      <c r="Z281" s="298"/>
      <c r="AA281" s="298"/>
    </row>
    <row r="282" spans="1:27" ht="13.5" customHeight="1" x14ac:dyDescent="0.25">
      <c r="A282" s="9"/>
      <c r="B282" s="9"/>
      <c r="C282" s="9"/>
      <c r="D282" s="9"/>
      <c r="E282" s="9"/>
      <c r="F282" s="185"/>
      <c r="G282" s="185"/>
      <c r="H282" s="9"/>
      <c r="I282" s="311"/>
      <c r="J282" s="310"/>
      <c r="K282" s="291"/>
      <c r="L282" s="309"/>
      <c r="M282" s="9"/>
      <c r="N282" s="9"/>
      <c r="O282" s="42"/>
      <c r="P282" s="310"/>
      <c r="Q282" s="293"/>
      <c r="R282" s="291"/>
      <c r="S282" s="294"/>
      <c r="T282" s="295"/>
      <c r="U282" s="9"/>
      <c r="V282" s="9"/>
      <c r="W282" s="9"/>
      <c r="X282" s="9"/>
      <c r="Y282" s="9"/>
      <c r="Z282" s="298"/>
      <c r="AA282" s="298"/>
    </row>
    <row r="283" spans="1:27" ht="13.5" customHeight="1" x14ac:dyDescent="0.25">
      <c r="A283" s="9"/>
      <c r="B283" s="9"/>
      <c r="C283" s="9"/>
      <c r="D283" s="9"/>
      <c r="E283" s="9"/>
      <c r="F283" s="185"/>
      <c r="G283" s="185"/>
      <c r="H283" s="9"/>
      <c r="I283" s="311"/>
      <c r="J283" s="310"/>
      <c r="K283" s="291"/>
      <c r="L283" s="309"/>
      <c r="M283" s="9"/>
      <c r="N283" s="9"/>
      <c r="O283" s="42"/>
      <c r="P283" s="310"/>
      <c r="Q283" s="293"/>
      <c r="R283" s="291"/>
      <c r="S283" s="294"/>
      <c r="T283" s="295"/>
      <c r="U283" s="9"/>
      <c r="V283" s="9"/>
      <c r="W283" s="9"/>
      <c r="X283" s="9"/>
      <c r="Y283" s="9"/>
      <c r="Z283" s="298"/>
      <c r="AA283" s="298"/>
    </row>
    <row r="284" spans="1:27" ht="13.5" customHeight="1" x14ac:dyDescent="0.25">
      <c r="A284" s="9"/>
      <c r="B284" s="9"/>
      <c r="C284" s="9"/>
      <c r="D284" s="9"/>
      <c r="E284" s="9"/>
      <c r="F284" s="185"/>
      <c r="G284" s="185"/>
      <c r="H284" s="9"/>
      <c r="I284" s="311"/>
      <c r="J284" s="310"/>
      <c r="K284" s="291"/>
      <c r="L284" s="309"/>
      <c r="M284" s="9"/>
      <c r="N284" s="9"/>
      <c r="O284" s="42"/>
      <c r="P284" s="310"/>
      <c r="Q284" s="293"/>
      <c r="R284" s="291"/>
      <c r="S284" s="294"/>
      <c r="T284" s="295"/>
      <c r="U284" s="9"/>
      <c r="V284" s="9"/>
      <c r="W284" s="9"/>
      <c r="X284" s="9"/>
      <c r="Y284" s="9"/>
      <c r="Z284" s="298"/>
      <c r="AA284" s="298"/>
    </row>
    <row r="285" spans="1:27" ht="13.5" customHeight="1" x14ac:dyDescent="0.25">
      <c r="A285" s="9"/>
      <c r="B285" s="9"/>
      <c r="C285" s="9"/>
      <c r="D285" s="9"/>
      <c r="E285" s="9"/>
      <c r="F285" s="185"/>
      <c r="G285" s="185"/>
      <c r="H285" s="9"/>
      <c r="I285" s="311"/>
      <c r="J285" s="310"/>
      <c r="K285" s="291"/>
      <c r="L285" s="309"/>
      <c r="M285" s="9"/>
      <c r="N285" s="9"/>
      <c r="O285" s="42"/>
      <c r="P285" s="310"/>
      <c r="Q285" s="293"/>
      <c r="R285" s="291"/>
      <c r="S285" s="294"/>
      <c r="T285" s="295"/>
      <c r="U285" s="9"/>
      <c r="V285" s="9"/>
      <c r="W285" s="9"/>
      <c r="X285" s="9"/>
      <c r="Y285" s="9"/>
      <c r="Z285" s="298"/>
      <c r="AA285" s="298"/>
    </row>
    <row r="286" spans="1:27" ht="13.5" customHeight="1" x14ac:dyDescent="0.25">
      <c r="A286" s="9"/>
      <c r="B286" s="9"/>
      <c r="C286" s="9"/>
      <c r="D286" s="9"/>
      <c r="E286" s="9"/>
      <c r="F286" s="185"/>
      <c r="G286" s="185"/>
      <c r="H286" s="9"/>
      <c r="I286" s="311"/>
      <c r="J286" s="310"/>
      <c r="K286" s="291"/>
      <c r="L286" s="309"/>
      <c r="M286" s="9"/>
      <c r="N286" s="9"/>
      <c r="O286" s="42"/>
      <c r="P286" s="310"/>
      <c r="Q286" s="293"/>
      <c r="R286" s="291"/>
      <c r="S286" s="294"/>
      <c r="T286" s="295"/>
      <c r="U286" s="9"/>
      <c r="V286" s="9"/>
      <c r="W286" s="9"/>
      <c r="X286" s="9"/>
      <c r="Y286" s="9"/>
      <c r="Z286" s="298"/>
      <c r="AA286" s="298"/>
    </row>
    <row r="287" spans="1:27" ht="13.5" customHeight="1" x14ac:dyDescent="0.25">
      <c r="A287" s="9"/>
      <c r="B287" s="9"/>
      <c r="C287" s="9"/>
      <c r="D287" s="9"/>
      <c r="E287" s="9"/>
      <c r="F287" s="185"/>
      <c r="G287" s="185"/>
      <c r="H287" s="9"/>
      <c r="I287" s="311"/>
      <c r="J287" s="310"/>
      <c r="K287" s="291"/>
      <c r="L287" s="309"/>
      <c r="M287" s="9"/>
      <c r="N287" s="9"/>
      <c r="O287" s="42"/>
      <c r="P287" s="310"/>
      <c r="Q287" s="293"/>
      <c r="R287" s="291"/>
      <c r="S287" s="294"/>
      <c r="T287" s="295"/>
      <c r="U287" s="9"/>
      <c r="V287" s="9"/>
      <c r="W287" s="9"/>
      <c r="X287" s="9"/>
      <c r="Y287" s="9"/>
      <c r="Z287" s="298"/>
      <c r="AA287" s="298"/>
    </row>
    <row r="288" spans="1:27" ht="13.5" customHeight="1" x14ac:dyDescent="0.25">
      <c r="A288" s="9"/>
      <c r="B288" s="9"/>
      <c r="C288" s="9"/>
      <c r="D288" s="9"/>
      <c r="E288" s="9"/>
      <c r="F288" s="185"/>
      <c r="G288" s="185"/>
      <c r="H288" s="9"/>
      <c r="I288" s="311"/>
      <c r="J288" s="310"/>
      <c r="K288" s="291"/>
      <c r="L288" s="309"/>
      <c r="M288" s="9"/>
      <c r="N288" s="9"/>
      <c r="O288" s="42"/>
      <c r="P288" s="310"/>
      <c r="Q288" s="293"/>
      <c r="R288" s="291"/>
      <c r="S288" s="294"/>
      <c r="T288" s="295"/>
      <c r="U288" s="9"/>
      <c r="V288" s="9"/>
      <c r="W288" s="9"/>
      <c r="X288" s="9"/>
      <c r="Y288" s="9"/>
      <c r="Z288" s="298"/>
      <c r="AA288" s="298"/>
    </row>
    <row r="289" spans="1:27" ht="13.5" customHeight="1" x14ac:dyDescent="0.25">
      <c r="A289" s="9"/>
      <c r="B289" s="9"/>
      <c r="C289" s="9"/>
      <c r="D289" s="9"/>
      <c r="E289" s="9"/>
      <c r="F289" s="185"/>
      <c r="G289" s="185"/>
      <c r="H289" s="9"/>
      <c r="I289" s="311"/>
      <c r="J289" s="310"/>
      <c r="K289" s="291"/>
      <c r="L289" s="309"/>
      <c r="M289" s="9"/>
      <c r="N289" s="9"/>
      <c r="O289" s="42"/>
      <c r="P289" s="310"/>
      <c r="Q289" s="293"/>
      <c r="R289" s="291"/>
      <c r="S289" s="294"/>
      <c r="T289" s="295"/>
      <c r="U289" s="9"/>
      <c r="V289" s="9"/>
      <c r="W289" s="9"/>
      <c r="X289" s="9"/>
      <c r="Y289" s="9"/>
      <c r="Z289" s="298"/>
      <c r="AA289" s="298"/>
    </row>
    <row r="290" spans="1:27" ht="13.5" customHeight="1" x14ac:dyDescent="0.25">
      <c r="A290" s="9"/>
      <c r="B290" s="9"/>
      <c r="C290" s="9"/>
      <c r="D290" s="9"/>
      <c r="E290" s="9"/>
      <c r="F290" s="185"/>
      <c r="G290" s="185"/>
      <c r="H290" s="9"/>
      <c r="I290" s="311"/>
      <c r="J290" s="310"/>
      <c r="K290" s="291"/>
      <c r="L290" s="309"/>
      <c r="M290" s="9"/>
      <c r="N290" s="9"/>
      <c r="O290" s="42"/>
      <c r="P290" s="310"/>
      <c r="Q290" s="293"/>
      <c r="R290" s="291"/>
      <c r="S290" s="294"/>
      <c r="T290" s="295"/>
      <c r="U290" s="9"/>
      <c r="V290" s="9"/>
      <c r="W290" s="9"/>
      <c r="X290" s="9"/>
      <c r="Y290" s="9"/>
      <c r="Z290" s="298"/>
      <c r="AA290" s="298"/>
    </row>
    <row r="291" spans="1:27" ht="13.5" customHeight="1" x14ac:dyDescent="0.25">
      <c r="A291" s="9"/>
      <c r="B291" s="9"/>
      <c r="C291" s="9"/>
      <c r="D291" s="9"/>
      <c r="E291" s="9"/>
      <c r="F291" s="185"/>
      <c r="G291" s="185"/>
      <c r="H291" s="9"/>
      <c r="I291" s="311"/>
      <c r="J291" s="310"/>
      <c r="K291" s="291"/>
      <c r="L291" s="309"/>
      <c r="M291" s="9"/>
      <c r="N291" s="9"/>
      <c r="O291" s="42"/>
      <c r="P291" s="310"/>
      <c r="Q291" s="293"/>
      <c r="R291" s="291"/>
      <c r="S291" s="294"/>
      <c r="T291" s="295"/>
      <c r="U291" s="9"/>
      <c r="V291" s="9"/>
      <c r="W291" s="9"/>
      <c r="X291" s="9"/>
      <c r="Y291" s="9"/>
      <c r="Z291" s="298"/>
      <c r="AA291" s="298"/>
    </row>
    <row r="292" spans="1:27" ht="13.5" customHeight="1" x14ac:dyDescent="0.25">
      <c r="A292" s="9"/>
      <c r="B292" s="9"/>
      <c r="C292" s="9"/>
      <c r="D292" s="9"/>
      <c r="E292" s="9"/>
      <c r="F292" s="185"/>
      <c r="G292" s="185"/>
      <c r="H292" s="9"/>
      <c r="I292" s="311"/>
      <c r="J292" s="310"/>
      <c r="K292" s="291"/>
      <c r="L292" s="309"/>
      <c r="M292" s="9"/>
      <c r="N292" s="9"/>
      <c r="O292" s="42"/>
      <c r="P292" s="310"/>
      <c r="Q292" s="293"/>
      <c r="R292" s="291"/>
      <c r="S292" s="294"/>
      <c r="T292" s="295"/>
      <c r="U292" s="9"/>
      <c r="V292" s="9"/>
      <c r="W292" s="9"/>
      <c r="X292" s="9"/>
      <c r="Y292" s="9"/>
      <c r="Z292" s="298"/>
      <c r="AA292" s="298"/>
    </row>
    <row r="293" spans="1:27" ht="13.5" customHeight="1" x14ac:dyDescent="0.25">
      <c r="A293" s="9"/>
      <c r="B293" s="9"/>
      <c r="C293" s="9"/>
      <c r="D293" s="9"/>
      <c r="E293" s="9"/>
      <c r="F293" s="185"/>
      <c r="G293" s="185"/>
      <c r="H293" s="9"/>
      <c r="I293" s="311"/>
      <c r="J293" s="310"/>
      <c r="K293" s="291"/>
      <c r="L293" s="309"/>
      <c r="M293" s="9"/>
      <c r="N293" s="9"/>
      <c r="O293" s="42"/>
      <c r="P293" s="310"/>
      <c r="Q293" s="293"/>
      <c r="R293" s="291"/>
      <c r="S293" s="294"/>
      <c r="T293" s="295"/>
      <c r="U293" s="9"/>
      <c r="V293" s="9"/>
      <c r="W293" s="9"/>
      <c r="X293" s="9"/>
      <c r="Y293" s="9"/>
      <c r="Z293" s="298"/>
      <c r="AA293" s="298"/>
    </row>
    <row r="294" spans="1:27" ht="13.5" customHeight="1" x14ac:dyDescent="0.25">
      <c r="A294" s="9"/>
      <c r="B294" s="9"/>
      <c r="C294" s="9"/>
      <c r="D294" s="9"/>
      <c r="E294" s="9"/>
      <c r="F294" s="185"/>
      <c r="G294" s="185"/>
      <c r="H294" s="9"/>
      <c r="I294" s="311"/>
      <c r="J294" s="310"/>
      <c r="K294" s="291"/>
      <c r="L294" s="309"/>
      <c r="M294" s="9"/>
      <c r="N294" s="9"/>
      <c r="O294" s="42"/>
      <c r="P294" s="310"/>
      <c r="Q294" s="293"/>
      <c r="R294" s="291"/>
      <c r="S294" s="294"/>
      <c r="T294" s="295"/>
      <c r="U294" s="9"/>
      <c r="V294" s="9"/>
      <c r="W294" s="9"/>
      <c r="X294" s="9"/>
      <c r="Y294" s="9"/>
      <c r="Z294" s="298"/>
      <c r="AA294" s="298"/>
    </row>
    <row r="295" spans="1:27" ht="13.5" customHeight="1" x14ac:dyDescent="0.25">
      <c r="A295" s="9"/>
      <c r="B295" s="9"/>
      <c r="C295" s="9"/>
      <c r="D295" s="9"/>
      <c r="E295" s="9"/>
      <c r="F295" s="185"/>
      <c r="G295" s="185"/>
      <c r="H295" s="9"/>
      <c r="I295" s="311"/>
      <c r="J295" s="310"/>
      <c r="K295" s="291"/>
      <c r="L295" s="309"/>
      <c r="M295" s="9"/>
      <c r="N295" s="9"/>
      <c r="O295" s="42"/>
      <c r="P295" s="310"/>
      <c r="Q295" s="293"/>
      <c r="R295" s="291"/>
      <c r="S295" s="294"/>
      <c r="T295" s="295"/>
      <c r="U295" s="9"/>
      <c r="V295" s="9"/>
      <c r="W295" s="9"/>
      <c r="X295" s="9"/>
      <c r="Y295" s="9"/>
      <c r="Z295" s="298"/>
      <c r="AA295" s="298"/>
    </row>
    <row r="296" spans="1:27" ht="13.5" customHeight="1" x14ac:dyDescent="0.25">
      <c r="A296" s="9"/>
      <c r="B296" s="9"/>
      <c r="C296" s="9"/>
      <c r="D296" s="9"/>
      <c r="E296" s="9"/>
      <c r="F296" s="185"/>
      <c r="G296" s="185"/>
      <c r="H296" s="9"/>
      <c r="I296" s="311"/>
      <c r="J296" s="310"/>
      <c r="K296" s="291"/>
      <c r="L296" s="309"/>
      <c r="M296" s="9"/>
      <c r="N296" s="9"/>
      <c r="O296" s="42"/>
      <c r="P296" s="310"/>
      <c r="Q296" s="293"/>
      <c r="R296" s="291"/>
      <c r="S296" s="294"/>
      <c r="T296" s="295"/>
      <c r="U296" s="9"/>
      <c r="V296" s="9"/>
      <c r="W296" s="9"/>
      <c r="X296" s="9"/>
      <c r="Y296" s="9"/>
      <c r="Z296" s="298"/>
      <c r="AA296" s="298"/>
    </row>
    <row r="297" spans="1:27" ht="13.5" customHeight="1" x14ac:dyDescent="0.25">
      <c r="A297" s="9"/>
      <c r="B297" s="9"/>
      <c r="C297" s="9"/>
      <c r="D297" s="9"/>
      <c r="E297" s="9"/>
      <c r="F297" s="185"/>
      <c r="G297" s="185"/>
      <c r="H297" s="9"/>
      <c r="I297" s="311"/>
      <c r="J297" s="310"/>
      <c r="K297" s="291"/>
      <c r="L297" s="309"/>
      <c r="M297" s="9"/>
      <c r="N297" s="9"/>
      <c r="O297" s="42"/>
      <c r="P297" s="310"/>
      <c r="Q297" s="293"/>
      <c r="R297" s="291"/>
      <c r="S297" s="294"/>
      <c r="T297" s="295"/>
      <c r="U297" s="9"/>
      <c r="V297" s="9"/>
      <c r="W297" s="9"/>
      <c r="X297" s="9"/>
      <c r="Y297" s="9"/>
      <c r="Z297" s="298"/>
      <c r="AA297" s="298"/>
    </row>
    <row r="298" spans="1:27" ht="13.5" customHeight="1" x14ac:dyDescent="0.25">
      <c r="A298" s="9"/>
      <c r="B298" s="9"/>
      <c r="C298" s="9"/>
      <c r="D298" s="9"/>
      <c r="E298" s="9"/>
      <c r="F298" s="185"/>
      <c r="G298" s="185"/>
      <c r="H298" s="9"/>
      <c r="I298" s="311"/>
      <c r="J298" s="310"/>
      <c r="K298" s="291"/>
      <c r="L298" s="309"/>
      <c r="M298" s="9"/>
      <c r="N298" s="9"/>
      <c r="O298" s="42"/>
      <c r="P298" s="310"/>
      <c r="Q298" s="293"/>
      <c r="R298" s="291"/>
      <c r="S298" s="294"/>
      <c r="T298" s="295"/>
      <c r="U298" s="9"/>
      <c r="V298" s="9"/>
      <c r="W298" s="9"/>
      <c r="X298" s="9"/>
      <c r="Y298" s="9"/>
      <c r="Z298" s="298"/>
      <c r="AA298" s="298"/>
    </row>
    <row r="299" spans="1:27" ht="13.5" customHeight="1" x14ac:dyDescent="0.25">
      <c r="A299" s="9"/>
      <c r="B299" s="9"/>
      <c r="C299" s="9"/>
      <c r="D299" s="9"/>
      <c r="E299" s="9"/>
      <c r="F299" s="185"/>
      <c r="G299" s="185"/>
      <c r="H299" s="9"/>
      <c r="I299" s="311"/>
      <c r="J299" s="310"/>
      <c r="K299" s="291"/>
      <c r="L299" s="309"/>
      <c r="M299" s="9"/>
      <c r="N299" s="9"/>
      <c r="O299" s="42"/>
      <c r="P299" s="310"/>
      <c r="Q299" s="293"/>
      <c r="R299" s="291"/>
      <c r="S299" s="294"/>
      <c r="T299" s="295"/>
      <c r="U299" s="9"/>
      <c r="V299" s="9"/>
      <c r="W299" s="9"/>
      <c r="X299" s="9"/>
      <c r="Y299" s="9"/>
      <c r="Z299" s="298"/>
      <c r="AA299" s="298"/>
    </row>
    <row r="300" spans="1:27" ht="13.5" customHeight="1" x14ac:dyDescent="0.25">
      <c r="A300" s="9"/>
      <c r="B300" s="9"/>
      <c r="C300" s="9"/>
      <c r="D300" s="9"/>
      <c r="E300" s="9"/>
      <c r="F300" s="185"/>
      <c r="G300" s="185"/>
      <c r="H300" s="9"/>
      <c r="I300" s="311"/>
      <c r="J300" s="310"/>
      <c r="K300" s="291"/>
      <c r="L300" s="309"/>
      <c r="M300" s="9"/>
      <c r="N300" s="9"/>
      <c r="O300" s="42"/>
      <c r="P300" s="310"/>
      <c r="Q300" s="293"/>
      <c r="R300" s="291"/>
      <c r="S300" s="294"/>
      <c r="T300" s="295"/>
      <c r="U300" s="9"/>
      <c r="V300" s="9"/>
      <c r="W300" s="9"/>
      <c r="X300" s="9"/>
      <c r="Y300" s="9"/>
      <c r="Z300" s="298"/>
      <c r="AA300" s="298"/>
    </row>
    <row r="301" spans="1:27" ht="13.5" customHeight="1" x14ac:dyDescent="0.25">
      <c r="A301" s="9"/>
      <c r="B301" s="9"/>
      <c r="C301" s="9"/>
      <c r="D301" s="9"/>
      <c r="E301" s="9"/>
      <c r="F301" s="185"/>
      <c r="G301" s="185"/>
      <c r="H301" s="9"/>
      <c r="I301" s="311"/>
      <c r="J301" s="310"/>
      <c r="K301" s="291"/>
      <c r="L301" s="309"/>
      <c r="M301" s="9"/>
      <c r="N301" s="9"/>
      <c r="O301" s="42"/>
      <c r="P301" s="310"/>
      <c r="Q301" s="293"/>
      <c r="R301" s="291"/>
      <c r="S301" s="294"/>
      <c r="T301" s="295"/>
      <c r="U301" s="9"/>
      <c r="V301" s="9"/>
      <c r="W301" s="9"/>
      <c r="X301" s="9"/>
      <c r="Y301" s="9"/>
      <c r="Z301" s="298"/>
      <c r="AA301" s="298"/>
    </row>
    <row r="302" spans="1:27" ht="13.5" customHeight="1" x14ac:dyDescent="0.25">
      <c r="A302" s="9"/>
      <c r="B302" s="9"/>
      <c r="C302" s="9"/>
      <c r="D302" s="9"/>
      <c r="E302" s="9"/>
      <c r="F302" s="185"/>
      <c r="G302" s="185"/>
      <c r="H302" s="9"/>
      <c r="I302" s="311"/>
      <c r="J302" s="310"/>
      <c r="K302" s="291"/>
      <c r="L302" s="309"/>
      <c r="M302" s="9"/>
      <c r="N302" s="9"/>
      <c r="O302" s="42"/>
      <c r="P302" s="310"/>
      <c r="Q302" s="293"/>
      <c r="R302" s="291"/>
      <c r="S302" s="294"/>
      <c r="T302" s="295"/>
      <c r="U302" s="9"/>
      <c r="V302" s="9"/>
      <c r="W302" s="9"/>
      <c r="X302" s="9"/>
      <c r="Y302" s="9"/>
      <c r="Z302" s="298"/>
      <c r="AA302" s="298"/>
    </row>
    <row r="303" spans="1:27" ht="13.5" customHeight="1" x14ac:dyDescent="0.25">
      <c r="A303" s="9"/>
      <c r="B303" s="9"/>
      <c r="C303" s="9"/>
      <c r="D303" s="9"/>
      <c r="E303" s="9"/>
      <c r="F303" s="185"/>
      <c r="G303" s="185"/>
      <c r="H303" s="9"/>
      <c r="I303" s="311"/>
      <c r="J303" s="310"/>
      <c r="K303" s="291"/>
      <c r="L303" s="309"/>
      <c r="M303" s="9"/>
      <c r="N303" s="9"/>
      <c r="O303" s="42"/>
      <c r="P303" s="310"/>
      <c r="Q303" s="293"/>
      <c r="R303" s="291"/>
      <c r="S303" s="294"/>
      <c r="T303" s="295"/>
      <c r="U303" s="9"/>
      <c r="V303" s="9"/>
      <c r="W303" s="9"/>
      <c r="X303" s="9"/>
      <c r="Y303" s="9"/>
      <c r="Z303" s="298"/>
      <c r="AA303" s="298"/>
    </row>
    <row r="304" spans="1:27" ht="13.5" customHeight="1" x14ac:dyDescent="0.25">
      <c r="A304" s="9"/>
      <c r="B304" s="9"/>
      <c r="C304" s="9"/>
      <c r="D304" s="9"/>
      <c r="E304" s="9"/>
      <c r="F304" s="185"/>
      <c r="G304" s="185"/>
      <c r="H304" s="9"/>
      <c r="I304" s="311"/>
      <c r="J304" s="310"/>
      <c r="K304" s="291"/>
      <c r="L304" s="309"/>
      <c r="M304" s="9"/>
      <c r="N304" s="9"/>
      <c r="O304" s="42"/>
      <c r="P304" s="310"/>
      <c r="Q304" s="293"/>
      <c r="R304" s="291"/>
      <c r="S304" s="294"/>
      <c r="T304" s="295"/>
      <c r="U304" s="9"/>
      <c r="V304" s="9"/>
      <c r="W304" s="9"/>
      <c r="X304" s="9"/>
      <c r="Y304" s="9"/>
      <c r="Z304" s="298"/>
      <c r="AA304" s="298"/>
    </row>
    <row r="305" spans="1:27" ht="13.5" customHeight="1" x14ac:dyDescent="0.25">
      <c r="A305" s="9"/>
      <c r="B305" s="9"/>
      <c r="C305" s="9"/>
      <c r="D305" s="9"/>
      <c r="E305" s="9"/>
      <c r="F305" s="185"/>
      <c r="G305" s="185"/>
      <c r="H305" s="9"/>
      <c r="I305" s="311"/>
      <c r="J305" s="310"/>
      <c r="K305" s="291"/>
      <c r="L305" s="309"/>
      <c r="M305" s="9"/>
      <c r="N305" s="9"/>
      <c r="O305" s="42"/>
      <c r="P305" s="310"/>
      <c r="Q305" s="293"/>
      <c r="R305" s="291"/>
      <c r="S305" s="294"/>
      <c r="T305" s="295"/>
      <c r="U305" s="9"/>
      <c r="V305" s="9"/>
      <c r="W305" s="9"/>
      <c r="X305" s="9"/>
      <c r="Y305" s="9"/>
      <c r="Z305" s="298"/>
      <c r="AA305" s="298"/>
    </row>
    <row r="306" spans="1:27" ht="13.5" customHeight="1" x14ac:dyDescent="0.25">
      <c r="A306" s="9"/>
      <c r="B306" s="9"/>
      <c r="C306" s="9"/>
      <c r="D306" s="9"/>
      <c r="E306" s="9"/>
      <c r="F306" s="185"/>
      <c r="G306" s="185"/>
      <c r="H306" s="9"/>
      <c r="I306" s="311"/>
      <c r="J306" s="310"/>
      <c r="K306" s="291"/>
      <c r="L306" s="309"/>
      <c r="M306" s="9"/>
      <c r="N306" s="9"/>
      <c r="O306" s="42"/>
      <c r="P306" s="310"/>
      <c r="Q306" s="293"/>
      <c r="R306" s="291"/>
      <c r="S306" s="294"/>
      <c r="T306" s="295"/>
      <c r="U306" s="9"/>
      <c r="V306" s="9"/>
      <c r="W306" s="9"/>
      <c r="X306" s="9"/>
      <c r="Y306" s="9"/>
      <c r="Z306" s="298"/>
      <c r="AA306" s="298"/>
    </row>
    <row r="307" spans="1:27" ht="13.5" customHeight="1" x14ac:dyDescent="0.25">
      <c r="A307" s="9"/>
      <c r="B307" s="9"/>
      <c r="C307" s="9"/>
      <c r="D307" s="9"/>
      <c r="E307" s="9"/>
      <c r="F307" s="185"/>
      <c r="G307" s="185"/>
      <c r="H307" s="9"/>
      <c r="I307" s="311"/>
      <c r="J307" s="310"/>
      <c r="K307" s="291"/>
      <c r="L307" s="309"/>
      <c r="M307" s="9"/>
      <c r="N307" s="9"/>
      <c r="O307" s="42"/>
      <c r="P307" s="310"/>
      <c r="Q307" s="293"/>
      <c r="R307" s="291"/>
      <c r="S307" s="294"/>
      <c r="T307" s="295"/>
      <c r="U307" s="9"/>
      <c r="V307" s="9"/>
      <c r="W307" s="9"/>
      <c r="X307" s="9"/>
      <c r="Y307" s="9"/>
      <c r="Z307" s="298"/>
      <c r="AA307" s="298"/>
    </row>
    <row r="308" spans="1:27" ht="13.5" customHeight="1" x14ac:dyDescent="0.25">
      <c r="A308" s="9"/>
      <c r="B308" s="9"/>
      <c r="C308" s="9"/>
      <c r="D308" s="9"/>
      <c r="E308" s="9"/>
      <c r="F308" s="185"/>
      <c r="G308" s="185"/>
      <c r="H308" s="9"/>
      <c r="I308" s="311"/>
      <c r="J308" s="310"/>
      <c r="K308" s="291"/>
      <c r="L308" s="309"/>
      <c r="M308" s="9"/>
      <c r="N308" s="9"/>
      <c r="O308" s="42"/>
      <c r="P308" s="310"/>
      <c r="Q308" s="293"/>
      <c r="R308" s="291"/>
      <c r="S308" s="294"/>
      <c r="T308" s="295"/>
      <c r="U308" s="9"/>
      <c r="V308" s="9"/>
      <c r="W308" s="9"/>
      <c r="X308" s="9"/>
      <c r="Y308" s="9"/>
      <c r="Z308" s="298"/>
      <c r="AA308" s="298"/>
    </row>
    <row r="309" spans="1:27" ht="13.5" customHeight="1" x14ac:dyDescent="0.25">
      <c r="A309" s="9"/>
      <c r="B309" s="9"/>
      <c r="C309" s="9"/>
      <c r="D309" s="9"/>
      <c r="E309" s="9"/>
      <c r="F309" s="185"/>
      <c r="G309" s="185"/>
      <c r="H309" s="9"/>
      <c r="I309" s="311"/>
      <c r="J309" s="310"/>
      <c r="K309" s="291"/>
      <c r="L309" s="309"/>
      <c r="M309" s="9"/>
      <c r="N309" s="9"/>
      <c r="O309" s="42"/>
      <c r="P309" s="310"/>
      <c r="Q309" s="293"/>
      <c r="R309" s="291"/>
      <c r="S309" s="294"/>
      <c r="T309" s="295"/>
      <c r="U309" s="9"/>
      <c r="V309" s="9"/>
      <c r="W309" s="9"/>
      <c r="X309" s="9"/>
      <c r="Y309" s="9"/>
      <c r="Z309" s="298"/>
      <c r="AA309" s="298"/>
    </row>
    <row r="310" spans="1:27" ht="13.5" customHeight="1" x14ac:dyDescent="0.25">
      <c r="A310" s="9"/>
      <c r="B310" s="9"/>
      <c r="C310" s="9"/>
      <c r="D310" s="9"/>
      <c r="E310" s="9"/>
      <c r="F310" s="185"/>
      <c r="G310" s="185"/>
      <c r="H310" s="9"/>
      <c r="I310" s="311"/>
      <c r="J310" s="310"/>
      <c r="K310" s="291"/>
      <c r="L310" s="309"/>
      <c r="M310" s="9"/>
      <c r="N310" s="9"/>
      <c r="O310" s="42"/>
      <c r="P310" s="310"/>
      <c r="Q310" s="293"/>
      <c r="R310" s="291"/>
      <c r="S310" s="294"/>
      <c r="T310" s="295"/>
      <c r="U310" s="9"/>
      <c r="V310" s="9"/>
      <c r="W310" s="9"/>
      <c r="X310" s="9"/>
      <c r="Y310" s="9"/>
      <c r="Z310" s="298"/>
      <c r="AA310" s="298"/>
    </row>
    <row r="311" spans="1:27" ht="13.5" customHeight="1" x14ac:dyDescent="0.25">
      <c r="A311" s="9"/>
      <c r="B311" s="9"/>
      <c r="C311" s="9"/>
      <c r="D311" s="9"/>
      <c r="E311" s="9"/>
      <c r="F311" s="185"/>
      <c r="G311" s="185"/>
      <c r="H311" s="9"/>
      <c r="I311" s="311"/>
      <c r="J311" s="310"/>
      <c r="K311" s="291"/>
      <c r="L311" s="309"/>
      <c r="M311" s="9"/>
      <c r="N311" s="9"/>
      <c r="O311" s="42"/>
      <c r="P311" s="310"/>
      <c r="Q311" s="293"/>
      <c r="R311" s="291"/>
      <c r="S311" s="294"/>
      <c r="T311" s="295"/>
      <c r="U311" s="9"/>
      <c r="V311" s="9"/>
      <c r="W311" s="9"/>
      <c r="X311" s="9"/>
      <c r="Y311" s="9"/>
      <c r="Z311" s="298"/>
      <c r="AA311" s="298"/>
    </row>
    <row r="312" spans="1:27" ht="13.5" customHeight="1" x14ac:dyDescent="0.25">
      <c r="A312" s="9"/>
      <c r="B312" s="9"/>
      <c r="C312" s="9"/>
      <c r="D312" s="9"/>
      <c r="E312" s="9"/>
      <c r="F312" s="185"/>
      <c r="G312" s="185"/>
      <c r="H312" s="9"/>
      <c r="I312" s="311"/>
      <c r="J312" s="310"/>
      <c r="K312" s="291"/>
      <c r="L312" s="309"/>
      <c r="M312" s="9"/>
      <c r="N312" s="9"/>
      <c r="O312" s="42"/>
      <c r="P312" s="310"/>
      <c r="Q312" s="293"/>
      <c r="R312" s="291"/>
      <c r="S312" s="294"/>
      <c r="T312" s="295"/>
      <c r="U312" s="9"/>
      <c r="V312" s="9"/>
      <c r="W312" s="9"/>
      <c r="X312" s="9"/>
      <c r="Y312" s="9"/>
      <c r="Z312" s="298"/>
      <c r="AA312" s="298"/>
    </row>
    <row r="313" spans="1:27" ht="13.5" customHeight="1" x14ac:dyDescent="0.25">
      <c r="A313" s="9"/>
      <c r="B313" s="9"/>
      <c r="C313" s="9"/>
      <c r="D313" s="9"/>
      <c r="E313" s="9"/>
      <c r="F313" s="185"/>
      <c r="G313" s="185"/>
      <c r="H313" s="9"/>
      <c r="I313" s="311"/>
      <c r="J313" s="310"/>
      <c r="K313" s="291"/>
      <c r="L313" s="309"/>
      <c r="M313" s="9"/>
      <c r="N313" s="9"/>
      <c r="O313" s="42"/>
      <c r="P313" s="310"/>
      <c r="Q313" s="293"/>
      <c r="R313" s="291"/>
      <c r="S313" s="294"/>
      <c r="T313" s="295"/>
      <c r="U313" s="9"/>
      <c r="V313" s="9"/>
      <c r="W313" s="9"/>
      <c r="X313" s="9"/>
      <c r="Y313" s="9"/>
      <c r="Z313" s="298"/>
      <c r="AA313" s="298"/>
    </row>
    <row r="314" spans="1:27" ht="13.5" customHeight="1" x14ac:dyDescent="0.25">
      <c r="A314" s="9"/>
      <c r="B314" s="9"/>
      <c r="C314" s="9"/>
      <c r="D314" s="9"/>
      <c r="E314" s="9"/>
      <c r="F314" s="185"/>
      <c r="G314" s="185"/>
      <c r="H314" s="9"/>
      <c r="I314" s="311"/>
      <c r="J314" s="310"/>
      <c r="K314" s="291"/>
      <c r="L314" s="309"/>
      <c r="M314" s="9"/>
      <c r="N314" s="9"/>
      <c r="O314" s="42"/>
      <c r="P314" s="310"/>
      <c r="Q314" s="293"/>
      <c r="R314" s="291"/>
      <c r="S314" s="294"/>
      <c r="T314" s="295"/>
      <c r="U314" s="9"/>
      <c r="V314" s="9"/>
      <c r="W314" s="9"/>
      <c r="X314" s="9"/>
      <c r="Y314" s="9"/>
      <c r="Z314" s="298"/>
      <c r="AA314" s="298"/>
    </row>
    <row r="315" spans="1:27" ht="13.5" customHeight="1" x14ac:dyDescent="0.25">
      <c r="A315" s="9"/>
      <c r="B315" s="9"/>
      <c r="C315" s="9"/>
      <c r="D315" s="9"/>
      <c r="E315" s="9"/>
      <c r="F315" s="185"/>
      <c r="G315" s="185"/>
      <c r="H315" s="9"/>
      <c r="I315" s="311"/>
      <c r="J315" s="310"/>
      <c r="K315" s="291"/>
      <c r="L315" s="309"/>
      <c r="M315" s="9"/>
      <c r="N315" s="9"/>
      <c r="O315" s="42"/>
      <c r="P315" s="310"/>
      <c r="Q315" s="293"/>
      <c r="R315" s="291"/>
      <c r="S315" s="294"/>
      <c r="T315" s="295"/>
      <c r="U315" s="9"/>
      <c r="V315" s="9"/>
      <c r="W315" s="9"/>
      <c r="X315" s="9"/>
      <c r="Y315" s="9"/>
      <c r="Z315" s="298"/>
      <c r="AA315" s="298"/>
    </row>
    <row r="316" spans="1:27" ht="13.5" customHeight="1" x14ac:dyDescent="0.25">
      <c r="A316" s="9"/>
      <c r="B316" s="9"/>
      <c r="C316" s="9"/>
      <c r="D316" s="9"/>
      <c r="E316" s="9"/>
      <c r="F316" s="185"/>
      <c r="G316" s="185"/>
      <c r="H316" s="9"/>
      <c r="I316" s="311"/>
      <c r="J316" s="310"/>
      <c r="K316" s="291"/>
      <c r="L316" s="309"/>
      <c r="M316" s="9"/>
      <c r="N316" s="9"/>
      <c r="O316" s="42"/>
      <c r="P316" s="310"/>
      <c r="Q316" s="293"/>
      <c r="R316" s="291"/>
      <c r="S316" s="294"/>
      <c r="T316" s="295"/>
      <c r="U316" s="9"/>
      <c r="V316" s="9"/>
      <c r="W316" s="9"/>
      <c r="X316" s="9"/>
      <c r="Y316" s="9"/>
      <c r="Z316" s="298"/>
      <c r="AA316" s="298"/>
    </row>
    <row r="317" spans="1:27" ht="13.5" customHeight="1" x14ac:dyDescent="0.25">
      <c r="A317" s="9"/>
      <c r="B317" s="9"/>
      <c r="C317" s="9"/>
      <c r="D317" s="9"/>
      <c r="E317" s="9"/>
      <c r="F317" s="185"/>
      <c r="G317" s="185"/>
      <c r="H317" s="9"/>
      <c r="I317" s="311"/>
      <c r="J317" s="310"/>
      <c r="K317" s="291"/>
      <c r="L317" s="309"/>
      <c r="M317" s="9"/>
      <c r="N317" s="9"/>
      <c r="O317" s="42"/>
      <c r="P317" s="310"/>
      <c r="Q317" s="293"/>
      <c r="R317" s="291"/>
      <c r="S317" s="294"/>
      <c r="T317" s="295"/>
      <c r="U317" s="9"/>
      <c r="V317" s="9"/>
      <c r="W317" s="9"/>
      <c r="X317" s="9"/>
      <c r="Y317" s="9"/>
      <c r="Z317" s="298"/>
      <c r="AA317" s="298"/>
    </row>
    <row r="318" spans="1:27" ht="13.5" customHeight="1" x14ac:dyDescent="0.25">
      <c r="A318" s="9"/>
      <c r="B318" s="9"/>
      <c r="C318" s="9"/>
      <c r="D318" s="9"/>
      <c r="E318" s="9"/>
      <c r="F318" s="185"/>
      <c r="G318" s="185"/>
      <c r="H318" s="9"/>
      <c r="I318" s="311"/>
      <c r="J318" s="310"/>
      <c r="K318" s="291"/>
      <c r="L318" s="309"/>
      <c r="M318" s="9"/>
      <c r="N318" s="9"/>
      <c r="O318" s="42"/>
      <c r="P318" s="310"/>
      <c r="Q318" s="293"/>
      <c r="R318" s="291"/>
      <c r="S318" s="294"/>
      <c r="T318" s="295"/>
      <c r="U318" s="9"/>
      <c r="V318" s="9"/>
      <c r="W318" s="9"/>
      <c r="X318" s="9"/>
      <c r="Y318" s="9"/>
      <c r="Z318" s="298"/>
      <c r="AA318" s="298"/>
    </row>
    <row r="319" spans="1:27" ht="13.5" customHeight="1" x14ac:dyDescent="0.25">
      <c r="A319" s="9"/>
      <c r="B319" s="9"/>
      <c r="C319" s="9"/>
      <c r="D319" s="9"/>
      <c r="E319" s="9"/>
      <c r="F319" s="185"/>
      <c r="G319" s="185"/>
      <c r="H319" s="9"/>
      <c r="I319" s="311"/>
      <c r="J319" s="310"/>
      <c r="K319" s="291"/>
      <c r="L319" s="309"/>
      <c r="M319" s="9"/>
      <c r="N319" s="9"/>
      <c r="O319" s="42"/>
      <c r="P319" s="310"/>
      <c r="Q319" s="293"/>
      <c r="R319" s="291"/>
      <c r="S319" s="294"/>
      <c r="T319" s="295"/>
      <c r="U319" s="9"/>
      <c r="V319" s="9"/>
      <c r="W319" s="9"/>
      <c r="X319" s="9"/>
      <c r="Y319" s="9"/>
      <c r="Z319" s="298"/>
      <c r="AA319" s="298"/>
    </row>
    <row r="320" spans="1:27" ht="13.5" customHeight="1" x14ac:dyDescent="0.25">
      <c r="A320" s="9"/>
      <c r="B320" s="9"/>
      <c r="C320" s="9"/>
      <c r="D320" s="9"/>
      <c r="E320" s="9"/>
      <c r="F320" s="185"/>
      <c r="G320" s="185"/>
      <c r="H320" s="9"/>
      <c r="I320" s="311"/>
      <c r="J320" s="310"/>
      <c r="K320" s="291"/>
      <c r="L320" s="309"/>
      <c r="M320" s="9"/>
      <c r="N320" s="9"/>
      <c r="O320" s="42"/>
      <c r="P320" s="310"/>
      <c r="Q320" s="293"/>
      <c r="R320" s="291"/>
      <c r="S320" s="294"/>
      <c r="T320" s="295"/>
      <c r="U320" s="9"/>
      <c r="V320" s="9"/>
      <c r="W320" s="9"/>
      <c r="X320" s="9"/>
      <c r="Y320" s="9"/>
      <c r="Z320" s="298"/>
      <c r="AA320" s="298"/>
    </row>
    <row r="321" spans="1:27" ht="13.5" customHeight="1" x14ac:dyDescent="0.25">
      <c r="A321" s="9"/>
      <c r="B321" s="9"/>
      <c r="C321" s="9"/>
      <c r="D321" s="9"/>
      <c r="E321" s="9"/>
      <c r="F321" s="185"/>
      <c r="G321" s="185"/>
      <c r="H321" s="9"/>
      <c r="I321" s="311"/>
      <c r="J321" s="310"/>
      <c r="K321" s="291"/>
      <c r="L321" s="309"/>
      <c r="M321" s="9"/>
      <c r="N321" s="9"/>
      <c r="O321" s="42"/>
      <c r="P321" s="310"/>
      <c r="Q321" s="293"/>
      <c r="R321" s="291"/>
      <c r="S321" s="294"/>
      <c r="T321" s="295"/>
      <c r="U321" s="9"/>
      <c r="V321" s="9"/>
      <c r="W321" s="9"/>
      <c r="X321" s="9"/>
      <c r="Y321" s="9"/>
      <c r="Z321" s="298"/>
      <c r="AA321" s="298"/>
    </row>
    <row r="322" spans="1:27" ht="13.5" customHeight="1" x14ac:dyDescent="0.25">
      <c r="A322" s="9"/>
      <c r="B322" s="9"/>
      <c r="C322" s="9"/>
      <c r="D322" s="9"/>
      <c r="E322" s="9"/>
      <c r="F322" s="185"/>
      <c r="G322" s="185"/>
      <c r="H322" s="9"/>
      <c r="I322" s="311"/>
      <c r="J322" s="310"/>
      <c r="K322" s="291"/>
      <c r="L322" s="309"/>
      <c r="M322" s="9"/>
      <c r="N322" s="9"/>
      <c r="O322" s="42"/>
      <c r="P322" s="310"/>
      <c r="Q322" s="293"/>
      <c r="R322" s="291"/>
      <c r="S322" s="294"/>
      <c r="T322" s="295"/>
      <c r="U322" s="9"/>
      <c r="V322" s="9"/>
      <c r="W322" s="9"/>
      <c r="X322" s="9"/>
      <c r="Y322" s="9"/>
      <c r="Z322" s="298"/>
      <c r="AA322" s="298"/>
    </row>
    <row r="323" spans="1:27" ht="13.5" customHeight="1" x14ac:dyDescent="0.25">
      <c r="A323" s="9"/>
      <c r="B323" s="9"/>
      <c r="C323" s="9"/>
      <c r="D323" s="9"/>
      <c r="E323" s="9"/>
      <c r="F323" s="185"/>
      <c r="G323" s="185"/>
      <c r="H323" s="9"/>
      <c r="I323" s="311"/>
      <c r="J323" s="310"/>
      <c r="K323" s="291"/>
      <c r="L323" s="309"/>
      <c r="M323" s="9"/>
      <c r="N323" s="9"/>
      <c r="O323" s="42"/>
      <c r="P323" s="310"/>
      <c r="Q323" s="293"/>
      <c r="R323" s="291"/>
      <c r="S323" s="294"/>
      <c r="T323" s="295"/>
      <c r="U323" s="9"/>
      <c r="V323" s="9"/>
      <c r="W323" s="9"/>
      <c r="X323" s="9"/>
      <c r="Y323" s="9"/>
      <c r="Z323" s="298"/>
      <c r="AA323" s="298"/>
    </row>
    <row r="324" spans="1:27" ht="13.5" customHeight="1" x14ac:dyDescent="0.25">
      <c r="A324" s="9"/>
      <c r="B324" s="9"/>
      <c r="C324" s="9"/>
      <c r="D324" s="9"/>
      <c r="E324" s="9"/>
      <c r="F324" s="185"/>
      <c r="G324" s="185"/>
      <c r="H324" s="9"/>
      <c r="I324" s="311"/>
      <c r="J324" s="310"/>
      <c r="K324" s="291"/>
      <c r="L324" s="309"/>
      <c r="M324" s="9"/>
      <c r="N324" s="9"/>
      <c r="O324" s="42"/>
      <c r="P324" s="310"/>
      <c r="Q324" s="293"/>
      <c r="R324" s="291"/>
      <c r="S324" s="294"/>
      <c r="T324" s="295"/>
      <c r="U324" s="9"/>
      <c r="V324" s="9"/>
      <c r="W324" s="9"/>
      <c r="X324" s="9"/>
      <c r="Y324" s="9"/>
      <c r="Z324" s="298"/>
      <c r="AA324" s="298"/>
    </row>
    <row r="325" spans="1:27" ht="13.5" customHeight="1" x14ac:dyDescent="0.25">
      <c r="A325" s="9"/>
      <c r="B325" s="9"/>
      <c r="C325" s="9"/>
      <c r="D325" s="9"/>
      <c r="E325" s="9"/>
      <c r="F325" s="185"/>
      <c r="G325" s="185"/>
      <c r="H325" s="9"/>
      <c r="I325" s="311"/>
      <c r="J325" s="310"/>
      <c r="K325" s="291"/>
      <c r="L325" s="309"/>
      <c r="M325" s="9"/>
      <c r="N325" s="9"/>
      <c r="O325" s="42"/>
      <c r="P325" s="310"/>
      <c r="Q325" s="293"/>
      <c r="R325" s="291"/>
      <c r="S325" s="294"/>
      <c r="T325" s="295"/>
      <c r="U325" s="9"/>
      <c r="V325" s="9"/>
      <c r="W325" s="9"/>
      <c r="X325" s="9"/>
      <c r="Y325" s="9"/>
      <c r="Z325" s="298"/>
      <c r="AA325" s="298"/>
    </row>
    <row r="326" spans="1:27" ht="13.5" customHeight="1" x14ac:dyDescent="0.25">
      <c r="A326" s="9"/>
      <c r="B326" s="9"/>
      <c r="C326" s="9"/>
      <c r="D326" s="9"/>
      <c r="E326" s="9"/>
      <c r="F326" s="185"/>
      <c r="G326" s="185"/>
      <c r="H326" s="9"/>
      <c r="I326" s="311"/>
      <c r="J326" s="310"/>
      <c r="K326" s="291"/>
      <c r="L326" s="309"/>
      <c r="M326" s="9"/>
      <c r="N326" s="9"/>
      <c r="O326" s="42"/>
      <c r="P326" s="310"/>
      <c r="Q326" s="293"/>
      <c r="R326" s="291"/>
      <c r="S326" s="294"/>
      <c r="T326" s="295"/>
      <c r="U326" s="9"/>
      <c r="V326" s="9"/>
      <c r="W326" s="9"/>
      <c r="X326" s="9"/>
      <c r="Y326" s="9"/>
      <c r="Z326" s="298"/>
      <c r="AA326" s="298"/>
    </row>
    <row r="327" spans="1:27" ht="13.5" customHeight="1" x14ac:dyDescent="0.25">
      <c r="A327" s="9"/>
      <c r="B327" s="9"/>
      <c r="C327" s="9"/>
      <c r="D327" s="9"/>
      <c r="E327" s="9"/>
      <c r="F327" s="185"/>
      <c r="G327" s="185"/>
      <c r="H327" s="9"/>
      <c r="I327" s="311"/>
      <c r="J327" s="310"/>
      <c r="K327" s="291"/>
      <c r="L327" s="309"/>
      <c r="M327" s="9"/>
      <c r="N327" s="9"/>
      <c r="O327" s="42"/>
      <c r="P327" s="310"/>
      <c r="Q327" s="293"/>
      <c r="R327" s="291"/>
      <c r="S327" s="294"/>
      <c r="T327" s="295"/>
      <c r="U327" s="9"/>
      <c r="V327" s="9"/>
      <c r="W327" s="9"/>
      <c r="X327" s="9"/>
      <c r="Y327" s="9"/>
      <c r="Z327" s="298"/>
      <c r="AA327" s="298"/>
    </row>
    <row r="328" spans="1:27" ht="13.5" customHeight="1" x14ac:dyDescent="0.25">
      <c r="A328" s="9"/>
      <c r="B328" s="9"/>
      <c r="C328" s="9"/>
      <c r="D328" s="9"/>
      <c r="E328" s="9"/>
      <c r="F328" s="185"/>
      <c r="G328" s="185"/>
      <c r="H328" s="9"/>
      <c r="I328" s="311"/>
      <c r="J328" s="310"/>
      <c r="K328" s="291"/>
      <c r="L328" s="309"/>
      <c r="M328" s="9"/>
      <c r="N328" s="9"/>
      <c r="O328" s="42"/>
      <c r="P328" s="310"/>
      <c r="Q328" s="293"/>
      <c r="R328" s="291"/>
      <c r="S328" s="294"/>
      <c r="T328" s="295"/>
      <c r="U328" s="9"/>
      <c r="V328" s="9"/>
      <c r="W328" s="9"/>
      <c r="X328" s="9"/>
      <c r="Y328" s="9"/>
      <c r="Z328" s="298"/>
      <c r="AA328" s="298"/>
    </row>
    <row r="329" spans="1:27" ht="13.5" customHeight="1" x14ac:dyDescent="0.25">
      <c r="A329" s="9"/>
      <c r="B329" s="9"/>
      <c r="C329" s="9"/>
      <c r="D329" s="9"/>
      <c r="E329" s="9"/>
      <c r="F329" s="185"/>
      <c r="G329" s="185"/>
      <c r="H329" s="9"/>
      <c r="I329" s="311"/>
      <c r="J329" s="310"/>
      <c r="K329" s="291"/>
      <c r="L329" s="309"/>
      <c r="M329" s="9"/>
      <c r="N329" s="9"/>
      <c r="O329" s="42"/>
      <c r="P329" s="310"/>
      <c r="Q329" s="293"/>
      <c r="R329" s="291"/>
      <c r="S329" s="294"/>
      <c r="T329" s="295"/>
      <c r="U329" s="9"/>
      <c r="V329" s="9"/>
      <c r="W329" s="9"/>
      <c r="X329" s="9"/>
      <c r="Y329" s="9"/>
      <c r="Z329" s="298"/>
      <c r="AA329" s="298"/>
    </row>
    <row r="330" spans="1:27" ht="13.5" customHeight="1" x14ac:dyDescent="0.25">
      <c r="A330" s="9"/>
      <c r="B330" s="9"/>
      <c r="C330" s="9"/>
      <c r="D330" s="9"/>
      <c r="E330" s="9"/>
      <c r="F330" s="185"/>
      <c r="G330" s="185"/>
      <c r="H330" s="9"/>
      <c r="I330" s="311"/>
      <c r="J330" s="310"/>
      <c r="K330" s="291"/>
      <c r="L330" s="309"/>
      <c r="M330" s="9"/>
      <c r="N330" s="9"/>
      <c r="O330" s="42"/>
      <c r="P330" s="310"/>
      <c r="Q330" s="293"/>
      <c r="R330" s="291"/>
      <c r="S330" s="294"/>
      <c r="T330" s="295"/>
      <c r="U330" s="9"/>
      <c r="V330" s="9"/>
      <c r="W330" s="9"/>
      <c r="X330" s="9"/>
      <c r="Y330" s="9"/>
      <c r="Z330" s="298"/>
      <c r="AA330" s="298"/>
    </row>
    <row r="331" spans="1:27" ht="13.5" customHeight="1" x14ac:dyDescent="0.25">
      <c r="A331" s="9"/>
      <c r="B331" s="9"/>
      <c r="C331" s="9"/>
      <c r="D331" s="9"/>
      <c r="E331" s="9"/>
      <c r="F331" s="185"/>
      <c r="G331" s="185"/>
      <c r="H331" s="9"/>
      <c r="I331" s="311"/>
      <c r="J331" s="310"/>
      <c r="K331" s="291"/>
      <c r="L331" s="309"/>
      <c r="M331" s="9"/>
      <c r="N331" s="9"/>
      <c r="O331" s="42"/>
      <c r="P331" s="310"/>
      <c r="Q331" s="293"/>
      <c r="R331" s="291"/>
      <c r="S331" s="294"/>
      <c r="T331" s="295"/>
      <c r="U331" s="9"/>
      <c r="V331" s="9"/>
      <c r="W331" s="9"/>
      <c r="X331" s="9"/>
      <c r="Y331" s="9"/>
      <c r="Z331" s="298"/>
      <c r="AA331" s="298"/>
    </row>
    <row r="332" spans="1:27" ht="13.5" customHeight="1" x14ac:dyDescent="0.25">
      <c r="A332" s="9"/>
      <c r="B332" s="9"/>
      <c r="C332" s="9"/>
      <c r="D332" s="9"/>
      <c r="E332" s="9"/>
      <c r="F332" s="185"/>
      <c r="G332" s="185"/>
      <c r="H332" s="9"/>
      <c r="I332" s="311"/>
      <c r="J332" s="310"/>
      <c r="K332" s="291"/>
      <c r="L332" s="309"/>
      <c r="M332" s="9"/>
      <c r="N332" s="9"/>
      <c r="O332" s="42"/>
      <c r="P332" s="310"/>
      <c r="Q332" s="293"/>
      <c r="R332" s="291"/>
      <c r="S332" s="294"/>
      <c r="T332" s="295"/>
      <c r="U332" s="9"/>
      <c r="V332" s="9"/>
      <c r="W332" s="9"/>
      <c r="X332" s="9"/>
      <c r="Y332" s="9"/>
      <c r="Z332" s="298"/>
      <c r="AA332" s="298"/>
    </row>
    <row r="333" spans="1:27" ht="13.5" customHeight="1" x14ac:dyDescent="0.25">
      <c r="A333" s="9"/>
      <c r="B333" s="9"/>
      <c r="C333" s="9"/>
      <c r="D333" s="9"/>
      <c r="E333" s="9"/>
      <c r="F333" s="185"/>
      <c r="G333" s="185"/>
      <c r="H333" s="9"/>
      <c r="I333" s="311"/>
      <c r="J333" s="310"/>
      <c r="K333" s="291"/>
      <c r="L333" s="309"/>
      <c r="M333" s="9"/>
      <c r="N333" s="9"/>
      <c r="O333" s="42"/>
      <c r="P333" s="310"/>
      <c r="Q333" s="293"/>
      <c r="R333" s="291"/>
      <c r="S333" s="294"/>
      <c r="T333" s="295"/>
      <c r="U333" s="9"/>
      <c r="V333" s="9"/>
      <c r="W333" s="9"/>
      <c r="X333" s="9"/>
      <c r="Y333" s="9"/>
      <c r="Z333" s="298"/>
      <c r="AA333" s="298"/>
    </row>
    <row r="334" spans="1:27" ht="13.5" customHeight="1" x14ac:dyDescent="0.25">
      <c r="A334" s="9"/>
      <c r="B334" s="9"/>
      <c r="C334" s="9"/>
      <c r="D334" s="9"/>
      <c r="E334" s="9"/>
      <c r="F334" s="185"/>
      <c r="G334" s="185"/>
      <c r="H334" s="9"/>
      <c r="I334" s="311"/>
      <c r="J334" s="310"/>
      <c r="K334" s="291"/>
      <c r="L334" s="309"/>
      <c r="M334" s="9"/>
      <c r="N334" s="9"/>
      <c r="O334" s="42"/>
      <c r="P334" s="310"/>
      <c r="Q334" s="293"/>
      <c r="R334" s="291"/>
      <c r="S334" s="294"/>
      <c r="T334" s="295"/>
      <c r="U334" s="9"/>
      <c r="V334" s="9"/>
      <c r="W334" s="9"/>
      <c r="X334" s="9"/>
      <c r="Y334" s="9"/>
      <c r="Z334" s="298"/>
      <c r="AA334" s="298"/>
    </row>
    <row r="335" spans="1:27" ht="13.5" customHeight="1" x14ac:dyDescent="0.25">
      <c r="A335" s="9"/>
      <c r="B335" s="9"/>
      <c r="C335" s="9"/>
      <c r="D335" s="9"/>
      <c r="E335" s="9"/>
      <c r="F335" s="185"/>
      <c r="G335" s="185"/>
      <c r="H335" s="9"/>
      <c r="I335" s="311"/>
      <c r="J335" s="310"/>
      <c r="K335" s="291"/>
      <c r="L335" s="309"/>
      <c r="M335" s="9"/>
      <c r="N335" s="9"/>
      <c r="O335" s="42"/>
      <c r="P335" s="310"/>
      <c r="Q335" s="293"/>
      <c r="R335" s="291"/>
      <c r="S335" s="294"/>
      <c r="T335" s="295"/>
      <c r="U335" s="9"/>
      <c r="V335" s="9"/>
      <c r="W335" s="9"/>
      <c r="X335" s="9"/>
      <c r="Y335" s="9"/>
      <c r="Z335" s="298"/>
      <c r="AA335" s="298"/>
    </row>
    <row r="336" spans="1:27" ht="13.5" customHeight="1" x14ac:dyDescent="0.25">
      <c r="A336" s="9"/>
      <c r="B336" s="9"/>
      <c r="C336" s="9"/>
      <c r="D336" s="9"/>
      <c r="E336" s="9"/>
      <c r="F336" s="185"/>
      <c r="G336" s="185"/>
      <c r="H336" s="9"/>
      <c r="I336" s="311"/>
      <c r="J336" s="310"/>
      <c r="K336" s="291"/>
      <c r="L336" s="309"/>
      <c r="M336" s="9"/>
      <c r="N336" s="9"/>
      <c r="O336" s="42"/>
      <c r="P336" s="310"/>
      <c r="Q336" s="293"/>
      <c r="R336" s="291"/>
      <c r="S336" s="294"/>
      <c r="T336" s="295"/>
      <c r="U336" s="9"/>
      <c r="V336" s="9"/>
      <c r="W336" s="9"/>
      <c r="X336" s="9"/>
      <c r="Y336" s="9"/>
      <c r="Z336" s="298"/>
      <c r="AA336" s="298"/>
    </row>
    <row r="337" spans="1:27" ht="13.5" customHeight="1" x14ac:dyDescent="0.25">
      <c r="A337" s="9"/>
      <c r="B337" s="9"/>
      <c r="C337" s="9"/>
      <c r="D337" s="9"/>
      <c r="E337" s="9"/>
      <c r="F337" s="185"/>
      <c r="G337" s="185"/>
      <c r="H337" s="9"/>
      <c r="I337" s="311"/>
      <c r="J337" s="310"/>
      <c r="K337" s="291"/>
      <c r="L337" s="309"/>
      <c r="M337" s="9"/>
      <c r="N337" s="9"/>
      <c r="O337" s="42"/>
      <c r="P337" s="310"/>
      <c r="Q337" s="293"/>
      <c r="R337" s="291"/>
      <c r="S337" s="294"/>
      <c r="T337" s="295"/>
      <c r="U337" s="9"/>
      <c r="V337" s="9"/>
      <c r="W337" s="9"/>
      <c r="X337" s="9"/>
      <c r="Y337" s="9"/>
      <c r="Z337" s="298"/>
      <c r="AA337" s="298"/>
    </row>
    <row r="338" spans="1:27" ht="13.5" customHeight="1" x14ac:dyDescent="0.25">
      <c r="A338" s="9"/>
      <c r="B338" s="9"/>
      <c r="C338" s="9"/>
      <c r="D338" s="9"/>
      <c r="E338" s="9"/>
      <c r="F338" s="185"/>
      <c r="G338" s="185"/>
      <c r="H338" s="9"/>
      <c r="I338" s="311"/>
      <c r="J338" s="310"/>
      <c r="K338" s="291"/>
      <c r="L338" s="309"/>
      <c r="M338" s="9"/>
      <c r="N338" s="9"/>
      <c r="O338" s="42"/>
      <c r="P338" s="310"/>
      <c r="Q338" s="293"/>
      <c r="R338" s="291"/>
      <c r="S338" s="294"/>
      <c r="T338" s="295"/>
      <c r="U338" s="9"/>
      <c r="V338" s="9"/>
      <c r="W338" s="9"/>
      <c r="X338" s="9"/>
      <c r="Y338" s="9"/>
      <c r="Z338" s="298"/>
      <c r="AA338" s="298"/>
    </row>
    <row r="339" spans="1:27" ht="13.5" customHeight="1" x14ac:dyDescent="0.25">
      <c r="A339" s="9"/>
      <c r="B339" s="9"/>
      <c r="C339" s="9"/>
      <c r="D339" s="9"/>
      <c r="E339" s="9"/>
      <c r="F339" s="185"/>
      <c r="G339" s="185"/>
      <c r="H339" s="9"/>
      <c r="I339" s="311"/>
      <c r="J339" s="310"/>
      <c r="K339" s="291"/>
      <c r="L339" s="309"/>
      <c r="M339" s="9"/>
      <c r="N339" s="9"/>
      <c r="O339" s="42"/>
      <c r="P339" s="310"/>
      <c r="Q339" s="293"/>
      <c r="R339" s="291"/>
      <c r="S339" s="294"/>
      <c r="T339" s="295"/>
      <c r="U339" s="9"/>
      <c r="V339" s="9"/>
      <c r="W339" s="9"/>
      <c r="X339" s="9"/>
      <c r="Y339" s="9"/>
      <c r="Z339" s="298"/>
      <c r="AA339" s="298"/>
    </row>
    <row r="340" spans="1:27" ht="13.5" customHeight="1" x14ac:dyDescent="0.25">
      <c r="A340" s="9"/>
      <c r="B340" s="9"/>
      <c r="C340" s="9"/>
      <c r="D340" s="9"/>
      <c r="E340" s="9"/>
      <c r="F340" s="185"/>
      <c r="G340" s="185"/>
      <c r="H340" s="9"/>
      <c r="I340" s="311"/>
      <c r="J340" s="310"/>
      <c r="K340" s="291"/>
      <c r="L340" s="309"/>
      <c r="M340" s="9"/>
      <c r="N340" s="9"/>
      <c r="O340" s="42"/>
      <c r="P340" s="310"/>
      <c r="Q340" s="293"/>
      <c r="R340" s="291"/>
      <c r="S340" s="294"/>
      <c r="T340" s="295"/>
      <c r="U340" s="9"/>
      <c r="V340" s="9"/>
      <c r="W340" s="9"/>
      <c r="X340" s="9"/>
      <c r="Y340" s="9"/>
      <c r="Z340" s="298"/>
      <c r="AA340" s="298"/>
    </row>
    <row r="341" spans="1:27" ht="13.5" customHeight="1" x14ac:dyDescent="0.25">
      <c r="A341" s="9"/>
      <c r="B341" s="9"/>
      <c r="C341" s="9"/>
      <c r="D341" s="9"/>
      <c r="E341" s="9"/>
      <c r="F341" s="185"/>
      <c r="G341" s="185"/>
      <c r="H341" s="9"/>
      <c r="I341" s="311"/>
      <c r="J341" s="310"/>
      <c r="K341" s="291"/>
      <c r="L341" s="309"/>
      <c r="M341" s="9"/>
      <c r="N341" s="9"/>
      <c r="O341" s="42"/>
      <c r="P341" s="310"/>
      <c r="Q341" s="293"/>
      <c r="R341" s="291"/>
      <c r="S341" s="294"/>
      <c r="T341" s="295"/>
      <c r="U341" s="9"/>
      <c r="V341" s="9"/>
      <c r="W341" s="9"/>
      <c r="X341" s="9"/>
      <c r="Y341" s="9"/>
      <c r="Z341" s="298"/>
      <c r="AA341" s="298"/>
    </row>
    <row r="342" spans="1:27" ht="13.5" customHeight="1" x14ac:dyDescent="0.25">
      <c r="A342" s="9"/>
      <c r="B342" s="9"/>
      <c r="C342" s="9"/>
      <c r="D342" s="9"/>
      <c r="E342" s="9"/>
      <c r="F342" s="185"/>
      <c r="G342" s="185"/>
      <c r="H342" s="9"/>
      <c r="I342" s="311"/>
      <c r="J342" s="310"/>
      <c r="K342" s="291"/>
      <c r="L342" s="309"/>
      <c r="M342" s="9"/>
      <c r="N342" s="9"/>
      <c r="O342" s="42"/>
      <c r="P342" s="310"/>
      <c r="Q342" s="293"/>
      <c r="R342" s="291"/>
      <c r="S342" s="294"/>
      <c r="T342" s="295"/>
      <c r="U342" s="9"/>
      <c r="V342" s="9"/>
      <c r="W342" s="9"/>
      <c r="X342" s="9"/>
      <c r="Y342" s="9"/>
      <c r="Z342" s="298"/>
      <c r="AA342" s="298"/>
    </row>
    <row r="343" spans="1:27" ht="13.5" customHeight="1" x14ac:dyDescent="0.25">
      <c r="A343" s="9"/>
      <c r="B343" s="9"/>
      <c r="C343" s="9"/>
      <c r="D343" s="9"/>
      <c r="E343" s="9"/>
      <c r="F343" s="185"/>
      <c r="G343" s="185"/>
      <c r="H343" s="9"/>
      <c r="I343" s="311"/>
      <c r="J343" s="310"/>
      <c r="K343" s="291"/>
      <c r="L343" s="309"/>
      <c r="M343" s="9"/>
      <c r="N343" s="9"/>
      <c r="O343" s="42"/>
      <c r="P343" s="310"/>
      <c r="Q343" s="293"/>
      <c r="R343" s="291"/>
      <c r="S343" s="294"/>
      <c r="T343" s="295"/>
      <c r="U343" s="9"/>
      <c r="V343" s="9"/>
      <c r="W343" s="9"/>
      <c r="X343" s="9"/>
      <c r="Y343" s="9"/>
      <c r="Z343" s="298"/>
      <c r="AA343" s="298"/>
    </row>
    <row r="344" spans="1:27" ht="13.5" customHeight="1" x14ac:dyDescent="0.25">
      <c r="A344" s="9"/>
      <c r="B344" s="9"/>
      <c r="C344" s="9"/>
      <c r="D344" s="9"/>
      <c r="E344" s="9"/>
      <c r="F344" s="185"/>
      <c r="G344" s="185"/>
      <c r="H344" s="9"/>
      <c r="I344" s="311"/>
      <c r="J344" s="310"/>
      <c r="K344" s="291"/>
      <c r="L344" s="309"/>
      <c r="M344" s="9"/>
      <c r="N344" s="9"/>
      <c r="O344" s="42"/>
      <c r="P344" s="310"/>
      <c r="Q344" s="293"/>
      <c r="R344" s="291"/>
      <c r="S344" s="294"/>
      <c r="T344" s="295"/>
      <c r="U344" s="9"/>
      <c r="V344" s="9"/>
      <c r="W344" s="9"/>
      <c r="X344" s="9"/>
      <c r="Y344" s="9"/>
      <c r="Z344" s="298"/>
      <c r="AA344" s="298"/>
    </row>
    <row r="345" spans="1:27" ht="13.5" customHeight="1" x14ac:dyDescent="0.25">
      <c r="A345" s="9"/>
      <c r="B345" s="9"/>
      <c r="C345" s="9"/>
      <c r="D345" s="9"/>
      <c r="E345" s="9"/>
      <c r="F345" s="185"/>
      <c r="G345" s="185"/>
      <c r="H345" s="9"/>
      <c r="I345" s="311"/>
      <c r="J345" s="310"/>
      <c r="K345" s="291"/>
      <c r="L345" s="309"/>
      <c r="M345" s="9"/>
      <c r="N345" s="9"/>
      <c r="O345" s="42"/>
      <c r="P345" s="310"/>
      <c r="Q345" s="293"/>
      <c r="R345" s="291"/>
      <c r="S345" s="294"/>
      <c r="T345" s="295"/>
      <c r="U345" s="9"/>
      <c r="V345" s="9"/>
      <c r="W345" s="9"/>
      <c r="X345" s="9"/>
      <c r="Y345" s="9"/>
      <c r="Z345" s="298"/>
      <c r="AA345" s="298"/>
    </row>
    <row r="346" spans="1:27" ht="13.5" customHeight="1" x14ac:dyDescent="0.25">
      <c r="A346" s="9"/>
      <c r="B346" s="9"/>
      <c r="C346" s="9"/>
      <c r="D346" s="9"/>
      <c r="E346" s="9"/>
      <c r="F346" s="185"/>
      <c r="G346" s="185"/>
      <c r="H346" s="9"/>
      <c r="I346" s="311"/>
      <c r="J346" s="310"/>
      <c r="K346" s="291"/>
      <c r="L346" s="309"/>
      <c r="M346" s="9"/>
      <c r="N346" s="9"/>
      <c r="O346" s="42"/>
      <c r="P346" s="310"/>
      <c r="Q346" s="293"/>
      <c r="R346" s="291"/>
      <c r="S346" s="294"/>
      <c r="T346" s="295"/>
      <c r="U346" s="9"/>
      <c r="V346" s="9"/>
      <c r="W346" s="9"/>
      <c r="X346" s="9"/>
      <c r="Y346" s="9"/>
      <c r="Z346" s="298"/>
      <c r="AA346" s="298"/>
    </row>
    <row r="347" spans="1:27" ht="13.5" customHeight="1" x14ac:dyDescent="0.25">
      <c r="A347" s="9"/>
      <c r="B347" s="9"/>
      <c r="C347" s="9"/>
      <c r="D347" s="9"/>
      <c r="E347" s="9"/>
      <c r="F347" s="185"/>
      <c r="G347" s="185"/>
      <c r="H347" s="9"/>
      <c r="I347" s="311"/>
      <c r="J347" s="310"/>
      <c r="K347" s="291"/>
      <c r="L347" s="309"/>
      <c r="M347" s="9"/>
      <c r="N347" s="9"/>
      <c r="O347" s="42"/>
      <c r="P347" s="310"/>
      <c r="Q347" s="293"/>
      <c r="R347" s="291"/>
      <c r="S347" s="294"/>
      <c r="T347" s="295"/>
      <c r="U347" s="9"/>
      <c r="V347" s="9"/>
      <c r="W347" s="9"/>
      <c r="X347" s="9"/>
      <c r="Y347" s="9"/>
      <c r="Z347" s="298"/>
      <c r="AA347" s="298"/>
    </row>
    <row r="348" spans="1:27" ht="13.5" customHeight="1" x14ac:dyDescent="0.25">
      <c r="A348" s="9"/>
      <c r="B348" s="9"/>
      <c r="C348" s="9"/>
      <c r="D348" s="9"/>
      <c r="E348" s="9"/>
      <c r="F348" s="185"/>
      <c r="G348" s="185"/>
      <c r="H348" s="9"/>
      <c r="I348" s="311"/>
      <c r="J348" s="310"/>
      <c r="K348" s="291"/>
      <c r="L348" s="309"/>
      <c r="M348" s="9"/>
      <c r="N348" s="9"/>
      <c r="O348" s="42"/>
      <c r="P348" s="310"/>
      <c r="Q348" s="293"/>
      <c r="R348" s="291"/>
      <c r="S348" s="294"/>
      <c r="T348" s="295"/>
      <c r="U348" s="9"/>
      <c r="V348" s="9"/>
      <c r="W348" s="9"/>
      <c r="X348" s="9"/>
      <c r="Y348" s="9"/>
      <c r="Z348" s="298"/>
      <c r="AA348" s="298"/>
    </row>
    <row r="349" spans="1:27" ht="13.5" customHeight="1" x14ac:dyDescent="0.25">
      <c r="A349" s="9"/>
      <c r="B349" s="9"/>
      <c r="C349" s="9"/>
      <c r="D349" s="9"/>
      <c r="E349" s="9"/>
      <c r="F349" s="185"/>
      <c r="G349" s="185"/>
      <c r="H349" s="9"/>
      <c r="I349" s="311"/>
      <c r="J349" s="310"/>
      <c r="K349" s="291"/>
      <c r="L349" s="309"/>
      <c r="M349" s="9"/>
      <c r="N349" s="9"/>
      <c r="O349" s="42"/>
      <c r="P349" s="310"/>
      <c r="Q349" s="293"/>
      <c r="R349" s="291"/>
      <c r="S349" s="294"/>
      <c r="T349" s="295"/>
      <c r="U349" s="9"/>
      <c r="V349" s="9"/>
      <c r="W349" s="9"/>
      <c r="X349" s="9"/>
      <c r="Y349" s="9"/>
      <c r="Z349" s="298"/>
      <c r="AA349" s="298"/>
    </row>
    <row r="350" spans="1:27" ht="13.5" customHeight="1" x14ac:dyDescent="0.25">
      <c r="A350" s="9"/>
      <c r="B350" s="9"/>
      <c r="C350" s="9"/>
      <c r="D350" s="9"/>
      <c r="E350" s="9"/>
      <c r="F350" s="185"/>
      <c r="G350" s="185"/>
      <c r="H350" s="9"/>
      <c r="I350" s="311"/>
      <c r="J350" s="310"/>
      <c r="K350" s="291"/>
      <c r="L350" s="309"/>
      <c r="M350" s="9"/>
      <c r="N350" s="9"/>
      <c r="O350" s="42"/>
      <c r="P350" s="310"/>
      <c r="Q350" s="293"/>
      <c r="R350" s="291"/>
      <c r="S350" s="294"/>
      <c r="T350" s="295"/>
      <c r="U350" s="9"/>
      <c r="V350" s="9"/>
      <c r="W350" s="9"/>
      <c r="X350" s="9"/>
      <c r="Y350" s="9"/>
      <c r="Z350" s="298"/>
      <c r="AA350" s="298"/>
    </row>
    <row r="351" spans="1:27" ht="13.5" customHeight="1" x14ac:dyDescent="0.25">
      <c r="A351" s="9"/>
      <c r="B351" s="9"/>
      <c r="C351" s="9"/>
      <c r="D351" s="9"/>
      <c r="E351" s="9"/>
      <c r="F351" s="185"/>
      <c r="G351" s="185"/>
      <c r="H351" s="9"/>
      <c r="I351" s="311"/>
      <c r="J351" s="310"/>
      <c r="K351" s="291"/>
      <c r="L351" s="309"/>
      <c r="M351" s="9"/>
      <c r="N351" s="9"/>
      <c r="O351" s="42"/>
      <c r="P351" s="310"/>
      <c r="Q351" s="293"/>
      <c r="R351" s="291"/>
      <c r="S351" s="294"/>
      <c r="T351" s="295"/>
      <c r="U351" s="9"/>
      <c r="V351" s="9"/>
      <c r="W351" s="9"/>
      <c r="X351" s="9"/>
      <c r="Y351" s="9"/>
      <c r="Z351" s="298"/>
      <c r="AA351" s="298"/>
    </row>
    <row r="352" spans="1:27" ht="13.5" customHeight="1" x14ac:dyDescent="0.25">
      <c r="A352" s="9"/>
      <c r="B352" s="9"/>
      <c r="C352" s="9"/>
      <c r="D352" s="9"/>
      <c r="E352" s="9"/>
      <c r="F352" s="185"/>
      <c r="G352" s="185"/>
      <c r="H352" s="9"/>
      <c r="I352" s="311"/>
      <c r="J352" s="310"/>
      <c r="K352" s="291"/>
      <c r="L352" s="309"/>
      <c r="M352" s="9"/>
      <c r="N352" s="9"/>
      <c r="O352" s="42"/>
      <c r="P352" s="310"/>
      <c r="Q352" s="293"/>
      <c r="R352" s="291"/>
      <c r="S352" s="294"/>
      <c r="T352" s="295"/>
      <c r="U352" s="9"/>
      <c r="V352" s="9"/>
      <c r="W352" s="9"/>
      <c r="X352" s="9"/>
      <c r="Y352" s="9"/>
      <c r="Z352" s="298"/>
      <c r="AA352" s="298"/>
    </row>
    <row r="353" spans="1:27" ht="13.5" customHeight="1" x14ac:dyDescent="0.25">
      <c r="A353" s="9"/>
      <c r="B353" s="9"/>
      <c r="C353" s="9"/>
      <c r="D353" s="9"/>
      <c r="E353" s="9"/>
      <c r="F353" s="185"/>
      <c r="G353" s="185"/>
      <c r="H353" s="9"/>
      <c r="I353" s="311"/>
      <c r="J353" s="310"/>
      <c r="K353" s="291"/>
      <c r="L353" s="309"/>
      <c r="M353" s="9"/>
      <c r="N353" s="9"/>
      <c r="O353" s="42"/>
      <c r="P353" s="310"/>
      <c r="Q353" s="293"/>
      <c r="R353" s="291"/>
      <c r="S353" s="294"/>
      <c r="T353" s="295"/>
      <c r="U353" s="9"/>
      <c r="V353" s="9"/>
      <c r="W353" s="9"/>
      <c r="X353" s="9"/>
      <c r="Y353" s="9"/>
      <c r="Z353" s="298"/>
      <c r="AA353" s="298"/>
    </row>
    <row r="354" spans="1:27" ht="13.5" customHeight="1" x14ac:dyDescent="0.25">
      <c r="A354" s="9"/>
      <c r="B354" s="9"/>
      <c r="C354" s="9"/>
      <c r="D354" s="9"/>
      <c r="E354" s="9"/>
      <c r="F354" s="185"/>
      <c r="G354" s="185"/>
      <c r="H354" s="9"/>
      <c r="I354" s="311"/>
      <c r="J354" s="310"/>
      <c r="K354" s="291"/>
      <c r="L354" s="309"/>
      <c r="M354" s="9"/>
      <c r="N354" s="9"/>
      <c r="O354" s="42"/>
      <c r="P354" s="310"/>
      <c r="Q354" s="293"/>
      <c r="R354" s="291"/>
      <c r="S354" s="294"/>
      <c r="T354" s="295"/>
      <c r="U354" s="9"/>
      <c r="V354" s="9"/>
      <c r="W354" s="9"/>
      <c r="X354" s="9"/>
      <c r="Y354" s="9"/>
      <c r="Z354" s="298"/>
      <c r="AA354" s="298"/>
    </row>
    <row r="355" spans="1:27" ht="13.5" customHeight="1" x14ac:dyDescent="0.25">
      <c r="A355" s="9"/>
      <c r="B355" s="9"/>
      <c r="C355" s="9"/>
      <c r="D355" s="9"/>
      <c r="E355" s="9"/>
      <c r="F355" s="185"/>
      <c r="G355" s="185"/>
      <c r="H355" s="9"/>
      <c r="I355" s="311"/>
      <c r="J355" s="310"/>
      <c r="K355" s="291"/>
      <c r="L355" s="309"/>
      <c r="M355" s="9"/>
      <c r="N355" s="9"/>
      <c r="O355" s="42"/>
      <c r="P355" s="310"/>
      <c r="Q355" s="293"/>
      <c r="R355" s="291"/>
      <c r="S355" s="294"/>
      <c r="T355" s="295"/>
      <c r="U355" s="9"/>
      <c r="V355" s="9"/>
      <c r="W355" s="9"/>
      <c r="X355" s="9"/>
      <c r="Y355" s="9"/>
      <c r="Z355" s="298"/>
      <c r="AA355" s="298"/>
    </row>
    <row r="356" spans="1:27" ht="13.5" customHeight="1" x14ac:dyDescent="0.25">
      <c r="A356" s="9"/>
      <c r="B356" s="9"/>
      <c r="C356" s="9"/>
      <c r="D356" s="9"/>
      <c r="E356" s="9"/>
      <c r="F356" s="185"/>
      <c r="G356" s="185"/>
      <c r="H356" s="9"/>
      <c r="I356" s="311"/>
      <c r="J356" s="310"/>
      <c r="K356" s="291"/>
      <c r="L356" s="309"/>
      <c r="M356" s="9"/>
      <c r="N356" s="9"/>
      <c r="O356" s="42"/>
      <c r="P356" s="310"/>
      <c r="Q356" s="293"/>
      <c r="R356" s="291"/>
      <c r="S356" s="294"/>
      <c r="T356" s="295"/>
      <c r="U356" s="9"/>
      <c r="V356" s="9"/>
      <c r="W356" s="9"/>
      <c r="X356" s="9"/>
      <c r="Y356" s="9"/>
      <c r="Z356" s="298"/>
      <c r="AA356" s="298"/>
    </row>
    <row r="357" spans="1:27" ht="13.5" customHeight="1" x14ac:dyDescent="0.25">
      <c r="A357" s="9"/>
      <c r="B357" s="9"/>
      <c r="C357" s="9"/>
      <c r="D357" s="9"/>
      <c r="E357" s="9"/>
      <c r="F357" s="185"/>
      <c r="G357" s="185"/>
      <c r="H357" s="9"/>
      <c r="I357" s="311"/>
      <c r="J357" s="310"/>
      <c r="K357" s="291"/>
      <c r="L357" s="309"/>
      <c r="M357" s="9"/>
      <c r="N357" s="9"/>
      <c r="O357" s="42"/>
      <c r="P357" s="310"/>
      <c r="Q357" s="293"/>
      <c r="R357" s="291"/>
      <c r="S357" s="294"/>
      <c r="T357" s="295"/>
      <c r="U357" s="9"/>
      <c r="V357" s="9"/>
      <c r="W357" s="9"/>
      <c r="X357" s="9"/>
      <c r="Y357" s="9"/>
      <c r="Z357" s="298"/>
      <c r="AA357" s="298"/>
    </row>
    <row r="358" spans="1:27" ht="13.5" customHeight="1" x14ac:dyDescent="0.25">
      <c r="A358" s="9"/>
      <c r="B358" s="9"/>
      <c r="C358" s="9"/>
      <c r="D358" s="9"/>
      <c r="E358" s="9"/>
      <c r="F358" s="185"/>
      <c r="G358" s="185"/>
      <c r="H358" s="9"/>
      <c r="I358" s="311"/>
      <c r="J358" s="310"/>
      <c r="K358" s="291"/>
      <c r="L358" s="309"/>
      <c r="M358" s="9"/>
      <c r="N358" s="9"/>
      <c r="O358" s="42"/>
      <c r="P358" s="310"/>
      <c r="Q358" s="293"/>
      <c r="R358" s="291"/>
      <c r="S358" s="294"/>
      <c r="T358" s="295"/>
      <c r="U358" s="9"/>
      <c r="V358" s="9"/>
      <c r="W358" s="9"/>
      <c r="X358" s="9"/>
      <c r="Y358" s="9"/>
      <c r="Z358" s="298"/>
      <c r="AA358" s="298"/>
    </row>
    <row r="359" spans="1:27" ht="13.5" customHeight="1" x14ac:dyDescent="0.25">
      <c r="A359" s="9"/>
      <c r="B359" s="9"/>
      <c r="C359" s="9"/>
      <c r="D359" s="9"/>
      <c r="E359" s="9"/>
      <c r="F359" s="185"/>
      <c r="G359" s="185"/>
      <c r="H359" s="9"/>
      <c r="I359" s="311"/>
      <c r="J359" s="310"/>
      <c r="K359" s="291"/>
      <c r="L359" s="309"/>
      <c r="M359" s="9"/>
      <c r="N359" s="9"/>
      <c r="O359" s="42"/>
      <c r="P359" s="310"/>
      <c r="Q359" s="293"/>
      <c r="R359" s="291"/>
      <c r="S359" s="294"/>
      <c r="T359" s="295"/>
      <c r="U359" s="9"/>
      <c r="V359" s="9"/>
      <c r="W359" s="9"/>
      <c r="X359" s="9"/>
      <c r="Y359" s="9"/>
      <c r="Z359" s="298"/>
      <c r="AA359" s="298"/>
    </row>
    <row r="360" spans="1:27" ht="13.5" customHeight="1" x14ac:dyDescent="0.25">
      <c r="A360" s="9"/>
      <c r="B360" s="9"/>
      <c r="C360" s="9"/>
      <c r="D360" s="9"/>
      <c r="E360" s="9"/>
      <c r="F360" s="185"/>
      <c r="G360" s="185"/>
      <c r="H360" s="9"/>
      <c r="I360" s="311"/>
      <c r="J360" s="310"/>
      <c r="K360" s="291"/>
      <c r="L360" s="309"/>
      <c r="M360" s="9"/>
      <c r="N360" s="9"/>
      <c r="O360" s="42"/>
      <c r="P360" s="310"/>
      <c r="Q360" s="293"/>
      <c r="R360" s="291"/>
      <c r="S360" s="294"/>
      <c r="T360" s="295"/>
      <c r="U360" s="9"/>
      <c r="V360" s="9"/>
      <c r="W360" s="9"/>
      <c r="X360" s="9"/>
      <c r="Y360" s="9"/>
      <c r="Z360" s="298"/>
      <c r="AA360" s="298"/>
    </row>
    <row r="361" spans="1:27" ht="13.5" customHeight="1" x14ac:dyDescent="0.25">
      <c r="A361" s="9"/>
      <c r="B361" s="9"/>
      <c r="C361" s="9"/>
      <c r="D361" s="9"/>
      <c r="E361" s="9"/>
      <c r="F361" s="185"/>
      <c r="G361" s="185"/>
      <c r="H361" s="9"/>
      <c r="I361" s="311"/>
      <c r="J361" s="310"/>
      <c r="K361" s="291"/>
      <c r="L361" s="309"/>
      <c r="M361" s="9"/>
      <c r="N361" s="9"/>
      <c r="O361" s="42"/>
      <c r="P361" s="310"/>
      <c r="Q361" s="293"/>
      <c r="R361" s="291"/>
      <c r="S361" s="294"/>
      <c r="T361" s="295"/>
      <c r="U361" s="9"/>
      <c r="V361" s="9"/>
      <c r="W361" s="9"/>
      <c r="X361" s="9"/>
      <c r="Y361" s="9"/>
      <c r="Z361" s="298"/>
      <c r="AA361" s="298"/>
    </row>
    <row r="362" spans="1:27" ht="13.5" customHeight="1" x14ac:dyDescent="0.25">
      <c r="A362" s="9"/>
      <c r="B362" s="9"/>
      <c r="C362" s="9"/>
      <c r="D362" s="9"/>
      <c r="E362" s="9"/>
      <c r="F362" s="185"/>
      <c r="G362" s="185"/>
      <c r="H362" s="9"/>
      <c r="I362" s="311"/>
      <c r="J362" s="310"/>
      <c r="K362" s="291"/>
      <c r="L362" s="309"/>
      <c r="M362" s="9"/>
      <c r="N362" s="9"/>
      <c r="O362" s="42"/>
      <c r="P362" s="310"/>
      <c r="Q362" s="293"/>
      <c r="R362" s="291"/>
      <c r="S362" s="294"/>
      <c r="T362" s="295"/>
      <c r="U362" s="9"/>
      <c r="V362" s="9"/>
      <c r="W362" s="9"/>
      <c r="X362" s="9"/>
      <c r="Y362" s="9"/>
      <c r="Z362" s="298"/>
      <c r="AA362" s="298"/>
    </row>
    <row r="363" spans="1:27" ht="13.5" customHeight="1" x14ac:dyDescent="0.25">
      <c r="A363" s="9"/>
      <c r="B363" s="9"/>
      <c r="C363" s="9"/>
      <c r="D363" s="9"/>
      <c r="E363" s="9"/>
      <c r="F363" s="185"/>
      <c r="G363" s="185"/>
      <c r="H363" s="9"/>
      <c r="I363" s="311"/>
      <c r="J363" s="310"/>
      <c r="K363" s="291"/>
      <c r="L363" s="309"/>
      <c r="M363" s="9"/>
      <c r="N363" s="9"/>
      <c r="O363" s="42"/>
      <c r="P363" s="310"/>
      <c r="Q363" s="293"/>
      <c r="R363" s="291"/>
      <c r="S363" s="294"/>
      <c r="T363" s="295"/>
      <c r="U363" s="9"/>
      <c r="V363" s="9"/>
      <c r="W363" s="9"/>
      <c r="X363" s="9"/>
      <c r="Y363" s="9"/>
      <c r="Z363" s="298"/>
      <c r="AA363" s="298"/>
    </row>
    <row r="364" spans="1:27" ht="13.5" customHeight="1" x14ac:dyDescent="0.25">
      <c r="A364" s="9"/>
      <c r="B364" s="9"/>
      <c r="C364" s="9"/>
      <c r="D364" s="9"/>
      <c r="E364" s="9"/>
      <c r="F364" s="185"/>
      <c r="G364" s="185"/>
      <c r="H364" s="9"/>
      <c r="I364" s="311"/>
      <c r="J364" s="310"/>
      <c r="K364" s="291"/>
      <c r="L364" s="309"/>
      <c r="M364" s="9"/>
      <c r="N364" s="9"/>
      <c r="O364" s="42"/>
      <c r="P364" s="310"/>
      <c r="Q364" s="293"/>
      <c r="R364" s="291"/>
      <c r="S364" s="294"/>
      <c r="T364" s="295"/>
      <c r="U364" s="9"/>
      <c r="V364" s="9"/>
      <c r="W364" s="9"/>
      <c r="X364" s="9"/>
      <c r="Y364" s="9"/>
      <c r="Z364" s="298"/>
      <c r="AA364" s="298"/>
    </row>
    <row r="365" spans="1:27" ht="13.5" customHeight="1" x14ac:dyDescent="0.25">
      <c r="A365" s="9"/>
      <c r="B365" s="9"/>
      <c r="C365" s="9"/>
      <c r="D365" s="9"/>
      <c r="E365" s="9"/>
      <c r="F365" s="185"/>
      <c r="G365" s="185"/>
      <c r="H365" s="9"/>
      <c r="I365" s="311"/>
      <c r="J365" s="310"/>
      <c r="K365" s="291"/>
      <c r="L365" s="309"/>
      <c r="M365" s="9"/>
      <c r="N365" s="9"/>
      <c r="O365" s="42"/>
      <c r="P365" s="310"/>
      <c r="Q365" s="293"/>
      <c r="R365" s="291"/>
      <c r="S365" s="294"/>
      <c r="T365" s="295"/>
      <c r="U365" s="9"/>
      <c r="V365" s="9"/>
      <c r="W365" s="9"/>
      <c r="X365" s="9"/>
      <c r="Y365" s="9"/>
      <c r="Z365" s="298"/>
      <c r="AA365" s="298"/>
    </row>
    <row r="366" spans="1:27" ht="13.5" customHeight="1" x14ac:dyDescent="0.25">
      <c r="A366" s="9"/>
      <c r="B366" s="9"/>
      <c r="C366" s="9"/>
      <c r="D366" s="9"/>
      <c r="E366" s="9"/>
      <c r="F366" s="185"/>
      <c r="G366" s="185"/>
      <c r="H366" s="9"/>
      <c r="I366" s="311"/>
      <c r="J366" s="310"/>
      <c r="K366" s="291"/>
      <c r="L366" s="309"/>
      <c r="M366" s="9"/>
      <c r="N366" s="9"/>
      <c r="O366" s="42"/>
      <c r="P366" s="310"/>
      <c r="Q366" s="293"/>
      <c r="R366" s="291"/>
      <c r="S366" s="294"/>
      <c r="T366" s="295"/>
      <c r="U366" s="9"/>
      <c r="V366" s="9"/>
      <c r="W366" s="9"/>
      <c r="X366" s="9"/>
      <c r="Y366" s="9"/>
      <c r="Z366" s="298"/>
      <c r="AA366" s="298"/>
    </row>
    <row r="367" spans="1:27" ht="13.5" customHeight="1" x14ac:dyDescent="0.25">
      <c r="A367" s="9"/>
      <c r="B367" s="9"/>
      <c r="C367" s="9"/>
      <c r="D367" s="9"/>
      <c r="E367" s="9"/>
      <c r="F367" s="185"/>
      <c r="G367" s="185"/>
      <c r="H367" s="9"/>
      <c r="I367" s="311"/>
      <c r="J367" s="310"/>
      <c r="K367" s="291"/>
      <c r="L367" s="309"/>
      <c r="M367" s="9"/>
      <c r="N367" s="9"/>
      <c r="O367" s="42"/>
      <c r="P367" s="310"/>
      <c r="Q367" s="293"/>
      <c r="R367" s="291"/>
      <c r="S367" s="294"/>
      <c r="T367" s="295"/>
      <c r="U367" s="9"/>
      <c r="V367" s="9"/>
      <c r="W367" s="9"/>
      <c r="X367" s="9"/>
      <c r="Y367" s="9"/>
      <c r="Z367" s="298"/>
      <c r="AA367" s="298"/>
    </row>
    <row r="368" spans="1:27" ht="13.5" customHeight="1" x14ac:dyDescent="0.25">
      <c r="A368" s="9"/>
      <c r="B368" s="9"/>
      <c r="C368" s="9"/>
      <c r="D368" s="9"/>
      <c r="E368" s="9"/>
      <c r="F368" s="185"/>
      <c r="G368" s="185"/>
      <c r="H368" s="9"/>
      <c r="I368" s="311"/>
      <c r="J368" s="310"/>
      <c r="K368" s="291"/>
      <c r="L368" s="309"/>
      <c r="M368" s="9"/>
      <c r="N368" s="9"/>
      <c r="O368" s="42"/>
      <c r="P368" s="310"/>
      <c r="Q368" s="293"/>
      <c r="R368" s="291"/>
      <c r="S368" s="294"/>
      <c r="T368" s="295"/>
      <c r="U368" s="9"/>
      <c r="V368" s="9"/>
      <c r="W368" s="9"/>
      <c r="X368" s="9"/>
      <c r="Y368" s="9"/>
      <c r="Z368" s="298"/>
      <c r="AA368" s="298"/>
    </row>
    <row r="369" spans="1:27" ht="13.5" customHeight="1" x14ac:dyDescent="0.25">
      <c r="A369" s="9"/>
      <c r="B369" s="9"/>
      <c r="C369" s="9"/>
      <c r="D369" s="9"/>
      <c r="E369" s="9"/>
      <c r="F369" s="185"/>
      <c r="G369" s="185"/>
      <c r="H369" s="9"/>
      <c r="I369" s="311"/>
      <c r="J369" s="310"/>
      <c r="K369" s="291"/>
      <c r="L369" s="309"/>
      <c r="M369" s="9"/>
      <c r="N369" s="9"/>
      <c r="O369" s="42"/>
      <c r="P369" s="310"/>
      <c r="Q369" s="293"/>
      <c r="R369" s="291"/>
      <c r="S369" s="294"/>
      <c r="T369" s="295"/>
      <c r="U369" s="9"/>
      <c r="V369" s="9"/>
      <c r="W369" s="9"/>
      <c r="X369" s="9"/>
      <c r="Y369" s="9"/>
      <c r="Z369" s="298"/>
      <c r="AA369" s="298"/>
    </row>
    <row r="370" spans="1:27" ht="13.5" customHeight="1" x14ac:dyDescent="0.25">
      <c r="A370" s="9"/>
      <c r="B370" s="9"/>
      <c r="C370" s="9"/>
      <c r="D370" s="9"/>
      <c r="E370" s="9"/>
      <c r="F370" s="185"/>
      <c r="G370" s="185"/>
      <c r="H370" s="9"/>
      <c r="I370" s="311"/>
      <c r="J370" s="310"/>
      <c r="K370" s="291"/>
      <c r="L370" s="309"/>
      <c r="M370" s="9"/>
      <c r="N370" s="9"/>
      <c r="O370" s="42"/>
      <c r="P370" s="310"/>
      <c r="Q370" s="293"/>
      <c r="R370" s="291"/>
      <c r="S370" s="294"/>
      <c r="T370" s="295"/>
      <c r="U370" s="9"/>
      <c r="V370" s="9"/>
      <c r="W370" s="9"/>
      <c r="X370" s="9"/>
      <c r="Y370" s="9"/>
      <c r="Z370" s="298"/>
      <c r="AA370" s="298"/>
    </row>
    <row r="371" spans="1:27" ht="13.5" customHeight="1" x14ac:dyDescent="0.25">
      <c r="A371" s="9"/>
      <c r="B371" s="9"/>
      <c r="C371" s="9"/>
      <c r="D371" s="9"/>
      <c r="E371" s="9"/>
      <c r="F371" s="185"/>
      <c r="G371" s="185"/>
      <c r="H371" s="9"/>
      <c r="I371" s="311"/>
      <c r="J371" s="310"/>
      <c r="K371" s="291"/>
      <c r="L371" s="309"/>
      <c r="M371" s="9"/>
      <c r="N371" s="9"/>
      <c r="O371" s="42"/>
      <c r="P371" s="310"/>
      <c r="Q371" s="293"/>
      <c r="R371" s="291"/>
      <c r="S371" s="294"/>
      <c r="T371" s="295"/>
      <c r="U371" s="9"/>
      <c r="V371" s="9"/>
      <c r="W371" s="9"/>
      <c r="X371" s="9"/>
      <c r="Y371" s="9"/>
      <c r="Z371" s="298"/>
      <c r="AA371" s="298"/>
    </row>
    <row r="372" spans="1:27" ht="13.5" customHeight="1" x14ac:dyDescent="0.25">
      <c r="A372" s="9"/>
      <c r="B372" s="9"/>
      <c r="C372" s="9"/>
      <c r="D372" s="9"/>
      <c r="E372" s="9"/>
      <c r="F372" s="185"/>
      <c r="G372" s="185"/>
      <c r="H372" s="9"/>
      <c r="I372" s="311"/>
      <c r="J372" s="310"/>
      <c r="K372" s="291"/>
      <c r="L372" s="309"/>
      <c r="M372" s="9"/>
      <c r="N372" s="9"/>
      <c r="O372" s="42"/>
      <c r="P372" s="310"/>
      <c r="Q372" s="293"/>
      <c r="R372" s="291"/>
      <c r="S372" s="294"/>
      <c r="T372" s="295"/>
      <c r="U372" s="9"/>
      <c r="V372" s="9"/>
      <c r="W372" s="9"/>
      <c r="X372" s="9"/>
      <c r="Y372" s="9"/>
      <c r="Z372" s="298"/>
      <c r="AA372" s="298"/>
    </row>
    <row r="373" spans="1:27" ht="13.5" customHeight="1" x14ac:dyDescent="0.25">
      <c r="A373" s="9"/>
      <c r="B373" s="9"/>
      <c r="C373" s="9"/>
      <c r="D373" s="9"/>
      <c r="E373" s="9"/>
      <c r="F373" s="185"/>
      <c r="G373" s="185"/>
      <c r="H373" s="9"/>
      <c r="I373" s="311"/>
      <c r="J373" s="310"/>
      <c r="K373" s="291"/>
      <c r="L373" s="309"/>
      <c r="M373" s="9"/>
      <c r="N373" s="9"/>
      <c r="O373" s="42"/>
      <c r="P373" s="310"/>
      <c r="Q373" s="293"/>
      <c r="R373" s="291"/>
      <c r="S373" s="294"/>
      <c r="T373" s="295"/>
      <c r="U373" s="9"/>
      <c r="V373" s="9"/>
      <c r="W373" s="9"/>
      <c r="X373" s="9"/>
      <c r="Y373" s="9"/>
      <c r="Z373" s="298"/>
      <c r="AA373" s="298"/>
    </row>
    <row r="374" spans="1:27" ht="13.5" customHeight="1" x14ac:dyDescent="0.25">
      <c r="A374" s="9"/>
      <c r="B374" s="9"/>
      <c r="C374" s="9"/>
      <c r="D374" s="9"/>
      <c r="E374" s="9"/>
      <c r="F374" s="185"/>
      <c r="G374" s="185"/>
      <c r="H374" s="9"/>
      <c r="I374" s="311"/>
      <c r="J374" s="310"/>
      <c r="K374" s="291"/>
      <c r="L374" s="309"/>
      <c r="M374" s="9"/>
      <c r="N374" s="9"/>
      <c r="O374" s="42"/>
      <c r="P374" s="310"/>
      <c r="Q374" s="293"/>
      <c r="R374" s="291"/>
      <c r="S374" s="294"/>
      <c r="T374" s="295"/>
      <c r="U374" s="9"/>
      <c r="V374" s="9"/>
      <c r="W374" s="9"/>
      <c r="X374" s="9"/>
      <c r="Y374" s="9"/>
      <c r="Z374" s="298"/>
      <c r="AA374" s="298"/>
    </row>
    <row r="375" spans="1:27" ht="13.5" customHeight="1" x14ac:dyDescent="0.25">
      <c r="A375" s="9"/>
      <c r="B375" s="9"/>
      <c r="C375" s="9"/>
      <c r="D375" s="9"/>
      <c r="E375" s="9"/>
      <c r="F375" s="185"/>
      <c r="G375" s="185"/>
      <c r="H375" s="9"/>
      <c r="I375" s="311"/>
      <c r="J375" s="310"/>
      <c r="K375" s="291"/>
      <c r="L375" s="309"/>
      <c r="M375" s="9"/>
      <c r="N375" s="9"/>
      <c r="O375" s="42"/>
      <c r="P375" s="310"/>
      <c r="Q375" s="293"/>
      <c r="R375" s="291"/>
      <c r="S375" s="294"/>
      <c r="T375" s="295"/>
      <c r="U375" s="9"/>
      <c r="V375" s="9"/>
      <c r="W375" s="9"/>
      <c r="X375" s="9"/>
      <c r="Y375" s="9"/>
      <c r="Z375" s="298"/>
      <c r="AA375" s="298"/>
    </row>
    <row r="376" spans="1:27" ht="13.5" customHeight="1" x14ac:dyDescent="0.25">
      <c r="A376" s="9"/>
      <c r="B376" s="9"/>
      <c r="C376" s="9"/>
      <c r="D376" s="9"/>
      <c r="E376" s="9"/>
      <c r="F376" s="185"/>
      <c r="G376" s="185"/>
      <c r="H376" s="9"/>
      <c r="I376" s="311"/>
      <c r="J376" s="310"/>
      <c r="K376" s="291"/>
      <c r="L376" s="309"/>
      <c r="M376" s="9"/>
      <c r="N376" s="9"/>
      <c r="O376" s="42"/>
      <c r="P376" s="310"/>
      <c r="Q376" s="293"/>
      <c r="R376" s="291"/>
      <c r="S376" s="294"/>
      <c r="T376" s="295"/>
      <c r="U376" s="9"/>
      <c r="V376" s="9"/>
      <c r="W376" s="9"/>
      <c r="X376" s="9"/>
      <c r="Y376" s="9"/>
      <c r="Z376" s="298"/>
      <c r="AA376" s="298"/>
    </row>
    <row r="377" spans="1:27" ht="13.5" customHeight="1" x14ac:dyDescent="0.25">
      <c r="A377" s="9"/>
      <c r="B377" s="9"/>
      <c r="C377" s="9"/>
      <c r="D377" s="9"/>
      <c r="E377" s="9"/>
      <c r="F377" s="185"/>
      <c r="G377" s="185"/>
      <c r="H377" s="9"/>
      <c r="I377" s="311"/>
      <c r="J377" s="310"/>
      <c r="K377" s="291"/>
      <c r="L377" s="309"/>
      <c r="M377" s="9"/>
      <c r="N377" s="9"/>
      <c r="O377" s="42"/>
      <c r="P377" s="310"/>
      <c r="Q377" s="293"/>
      <c r="R377" s="291"/>
      <c r="S377" s="294"/>
      <c r="T377" s="295"/>
      <c r="U377" s="9"/>
      <c r="V377" s="9"/>
      <c r="W377" s="9"/>
      <c r="X377" s="9"/>
      <c r="Y377" s="9"/>
      <c r="Z377" s="298"/>
      <c r="AA377" s="298"/>
    </row>
    <row r="378" spans="1:27" ht="13.5" customHeight="1" x14ac:dyDescent="0.25">
      <c r="A378" s="9"/>
      <c r="B378" s="9"/>
      <c r="C378" s="9"/>
      <c r="D378" s="9"/>
      <c r="E378" s="9"/>
      <c r="F378" s="185"/>
      <c r="G378" s="185"/>
      <c r="H378" s="9"/>
      <c r="I378" s="311"/>
      <c r="J378" s="310"/>
      <c r="K378" s="291"/>
      <c r="L378" s="309"/>
      <c r="M378" s="9"/>
      <c r="N378" s="9"/>
      <c r="O378" s="42"/>
      <c r="P378" s="310"/>
      <c r="Q378" s="293"/>
      <c r="R378" s="291"/>
      <c r="S378" s="294"/>
      <c r="T378" s="295"/>
      <c r="U378" s="9"/>
      <c r="V378" s="9"/>
      <c r="W378" s="9"/>
      <c r="X378" s="9"/>
      <c r="Y378" s="9"/>
      <c r="Z378" s="298"/>
      <c r="AA378" s="298"/>
    </row>
    <row r="379" spans="1:27" ht="13.5" customHeight="1" x14ac:dyDescent="0.25">
      <c r="A379" s="9"/>
      <c r="B379" s="9"/>
      <c r="C379" s="9"/>
      <c r="D379" s="9"/>
      <c r="E379" s="9"/>
      <c r="F379" s="185"/>
      <c r="G379" s="185"/>
      <c r="H379" s="9"/>
      <c r="I379" s="311"/>
      <c r="J379" s="310"/>
      <c r="K379" s="291"/>
      <c r="L379" s="309"/>
      <c r="M379" s="9"/>
      <c r="N379" s="9"/>
      <c r="O379" s="42"/>
      <c r="P379" s="310"/>
      <c r="Q379" s="293"/>
      <c r="R379" s="291"/>
      <c r="S379" s="294"/>
      <c r="T379" s="295"/>
      <c r="U379" s="9"/>
      <c r="V379" s="9"/>
      <c r="W379" s="9"/>
      <c r="X379" s="9"/>
      <c r="Y379" s="9"/>
      <c r="Z379" s="298"/>
      <c r="AA379" s="298"/>
    </row>
    <row r="380" spans="1:27" ht="13.5" customHeight="1" x14ac:dyDescent="0.25">
      <c r="A380" s="9"/>
      <c r="B380" s="9"/>
      <c r="C380" s="9"/>
      <c r="D380" s="9"/>
      <c r="E380" s="9"/>
      <c r="F380" s="185"/>
      <c r="G380" s="185"/>
      <c r="H380" s="9"/>
      <c r="I380" s="311"/>
      <c r="J380" s="310"/>
      <c r="K380" s="291"/>
      <c r="L380" s="309"/>
      <c r="M380" s="9"/>
      <c r="N380" s="9"/>
      <c r="O380" s="42"/>
      <c r="P380" s="310"/>
      <c r="Q380" s="293"/>
      <c r="R380" s="291"/>
      <c r="S380" s="294"/>
      <c r="T380" s="295"/>
      <c r="U380" s="9"/>
      <c r="V380" s="9"/>
      <c r="W380" s="9"/>
      <c r="X380" s="9"/>
      <c r="Y380" s="9"/>
      <c r="Z380" s="298"/>
      <c r="AA380" s="298"/>
    </row>
    <row r="381" spans="1:27" ht="13.5" customHeight="1" x14ac:dyDescent="0.25">
      <c r="A381" s="9"/>
      <c r="B381" s="9"/>
      <c r="C381" s="9"/>
      <c r="D381" s="9"/>
      <c r="E381" s="9"/>
      <c r="F381" s="185"/>
      <c r="G381" s="185"/>
      <c r="H381" s="9"/>
      <c r="I381" s="311"/>
      <c r="J381" s="310"/>
      <c r="K381" s="291"/>
      <c r="L381" s="309"/>
      <c r="M381" s="9"/>
      <c r="N381" s="9"/>
      <c r="O381" s="42"/>
      <c r="P381" s="310"/>
      <c r="Q381" s="293"/>
      <c r="R381" s="291"/>
      <c r="S381" s="294"/>
      <c r="T381" s="295"/>
      <c r="U381" s="9"/>
      <c r="V381" s="9"/>
      <c r="W381" s="9"/>
      <c r="X381" s="9"/>
      <c r="Y381" s="9"/>
      <c r="Z381" s="298"/>
      <c r="AA381" s="298"/>
    </row>
    <row r="382" spans="1:27" ht="13.5" customHeight="1" x14ac:dyDescent="0.25">
      <c r="A382" s="9"/>
      <c r="B382" s="9"/>
      <c r="C382" s="9"/>
      <c r="D382" s="9"/>
      <c r="E382" s="9"/>
      <c r="F382" s="185"/>
      <c r="G382" s="185"/>
      <c r="H382" s="9"/>
      <c r="I382" s="311"/>
      <c r="J382" s="310"/>
      <c r="K382" s="291"/>
      <c r="L382" s="309"/>
      <c r="M382" s="9"/>
      <c r="N382" s="9"/>
      <c r="O382" s="42"/>
      <c r="P382" s="310"/>
      <c r="Q382" s="293"/>
      <c r="R382" s="291"/>
      <c r="S382" s="294"/>
      <c r="T382" s="295"/>
      <c r="U382" s="9"/>
      <c r="V382" s="9"/>
      <c r="W382" s="9"/>
      <c r="X382" s="9"/>
      <c r="Y382" s="9"/>
      <c r="Z382" s="298"/>
      <c r="AA382" s="298"/>
    </row>
    <row r="383" spans="1:27" ht="13.5" customHeight="1" x14ac:dyDescent="0.25">
      <c r="A383" s="9"/>
      <c r="B383" s="9"/>
      <c r="C383" s="9"/>
      <c r="D383" s="9"/>
      <c r="E383" s="9"/>
      <c r="F383" s="185"/>
      <c r="G383" s="185"/>
      <c r="H383" s="9"/>
      <c r="I383" s="311"/>
      <c r="J383" s="310"/>
      <c r="K383" s="291"/>
      <c r="L383" s="309"/>
      <c r="M383" s="9"/>
      <c r="N383" s="9"/>
      <c r="O383" s="42"/>
      <c r="P383" s="310"/>
      <c r="Q383" s="293"/>
      <c r="R383" s="291"/>
      <c r="S383" s="294"/>
      <c r="T383" s="295"/>
      <c r="U383" s="9"/>
      <c r="V383" s="9"/>
      <c r="W383" s="9"/>
      <c r="X383" s="9"/>
      <c r="Y383" s="9"/>
      <c r="Z383" s="298"/>
      <c r="AA383" s="298"/>
    </row>
    <row r="384" spans="1:27" ht="13.5" customHeight="1" x14ac:dyDescent="0.25">
      <c r="A384" s="9"/>
      <c r="B384" s="9"/>
      <c r="C384" s="9"/>
      <c r="D384" s="9"/>
      <c r="E384" s="9"/>
      <c r="F384" s="185"/>
      <c r="G384" s="185"/>
      <c r="H384" s="9"/>
      <c r="I384" s="311"/>
      <c r="J384" s="310"/>
      <c r="K384" s="291"/>
      <c r="L384" s="309"/>
      <c r="M384" s="9"/>
      <c r="N384" s="9"/>
      <c r="O384" s="42"/>
      <c r="P384" s="310"/>
      <c r="Q384" s="293"/>
      <c r="R384" s="291"/>
      <c r="S384" s="294"/>
      <c r="T384" s="295"/>
      <c r="U384" s="9"/>
      <c r="V384" s="9"/>
      <c r="W384" s="9"/>
      <c r="X384" s="9"/>
      <c r="Y384" s="9"/>
      <c r="Z384" s="298"/>
      <c r="AA384" s="298"/>
    </row>
    <row r="385" spans="1:27" ht="13.5" customHeight="1" x14ac:dyDescent="0.25">
      <c r="A385" s="9"/>
      <c r="B385" s="9"/>
      <c r="C385" s="9"/>
      <c r="D385" s="9"/>
      <c r="E385" s="9"/>
      <c r="F385" s="185"/>
      <c r="G385" s="185"/>
      <c r="H385" s="9"/>
      <c r="I385" s="311"/>
      <c r="J385" s="310"/>
      <c r="K385" s="291"/>
      <c r="L385" s="309"/>
      <c r="M385" s="9"/>
      <c r="N385" s="9"/>
      <c r="O385" s="42"/>
      <c r="P385" s="310"/>
      <c r="Q385" s="293"/>
      <c r="R385" s="291"/>
      <c r="S385" s="294"/>
      <c r="T385" s="295"/>
      <c r="U385" s="9"/>
      <c r="V385" s="9"/>
      <c r="W385" s="9"/>
      <c r="X385" s="9"/>
      <c r="Y385" s="9"/>
      <c r="Z385" s="298"/>
      <c r="AA385" s="298"/>
    </row>
    <row r="386" spans="1:27" ht="13.5" customHeight="1" x14ac:dyDescent="0.25">
      <c r="A386" s="9"/>
      <c r="B386" s="9"/>
      <c r="C386" s="9"/>
      <c r="D386" s="9"/>
      <c r="E386" s="9"/>
      <c r="F386" s="185"/>
      <c r="G386" s="185"/>
      <c r="H386" s="9"/>
      <c r="I386" s="311"/>
      <c r="J386" s="310"/>
      <c r="K386" s="291"/>
      <c r="L386" s="309"/>
      <c r="M386" s="9"/>
      <c r="N386" s="9"/>
      <c r="O386" s="42"/>
      <c r="P386" s="310"/>
      <c r="Q386" s="293"/>
      <c r="R386" s="291"/>
      <c r="S386" s="294"/>
      <c r="T386" s="295"/>
      <c r="U386" s="9"/>
      <c r="V386" s="9"/>
      <c r="W386" s="9"/>
      <c r="X386" s="9"/>
      <c r="Y386" s="9"/>
      <c r="Z386" s="298"/>
      <c r="AA386" s="298"/>
    </row>
    <row r="387" spans="1:27" ht="13.5" customHeight="1" x14ac:dyDescent="0.25">
      <c r="A387" s="9"/>
      <c r="B387" s="9"/>
      <c r="C387" s="9"/>
      <c r="D387" s="9"/>
      <c r="E387" s="9"/>
      <c r="F387" s="185"/>
      <c r="G387" s="185"/>
      <c r="H387" s="9"/>
      <c r="I387" s="311"/>
      <c r="J387" s="310"/>
      <c r="K387" s="291"/>
      <c r="L387" s="309"/>
      <c r="M387" s="9"/>
      <c r="N387" s="9"/>
      <c r="O387" s="42"/>
      <c r="P387" s="310"/>
      <c r="Q387" s="293"/>
      <c r="R387" s="291"/>
      <c r="S387" s="294"/>
      <c r="T387" s="295"/>
      <c r="U387" s="9"/>
      <c r="V387" s="9"/>
      <c r="W387" s="9"/>
      <c r="X387" s="9"/>
      <c r="Y387" s="9"/>
      <c r="Z387" s="298"/>
      <c r="AA387" s="298"/>
    </row>
    <row r="388" spans="1:27" ht="13.5" customHeight="1" x14ac:dyDescent="0.25">
      <c r="A388" s="9"/>
      <c r="B388" s="9"/>
      <c r="C388" s="9"/>
      <c r="D388" s="9"/>
      <c r="E388" s="9"/>
      <c r="F388" s="185"/>
      <c r="G388" s="185"/>
      <c r="H388" s="9"/>
      <c r="I388" s="311"/>
      <c r="J388" s="310"/>
      <c r="K388" s="291"/>
      <c r="L388" s="309"/>
      <c r="M388" s="9"/>
      <c r="N388" s="9"/>
      <c r="O388" s="42"/>
      <c r="P388" s="310"/>
      <c r="Q388" s="293"/>
      <c r="R388" s="291"/>
      <c r="S388" s="294"/>
      <c r="T388" s="295"/>
      <c r="U388" s="9"/>
      <c r="V388" s="9"/>
      <c r="W388" s="9"/>
      <c r="X388" s="9"/>
      <c r="Y388" s="9"/>
      <c r="Z388" s="298"/>
      <c r="AA388" s="298"/>
    </row>
    <row r="389" spans="1:27" ht="13.5" customHeight="1" x14ac:dyDescent="0.25">
      <c r="A389" s="9"/>
      <c r="B389" s="9"/>
      <c r="C389" s="9"/>
      <c r="D389" s="9"/>
      <c r="E389" s="9"/>
      <c r="F389" s="185"/>
      <c r="G389" s="185"/>
      <c r="H389" s="9"/>
      <c r="I389" s="311"/>
      <c r="J389" s="310"/>
      <c r="K389" s="291"/>
      <c r="L389" s="309"/>
      <c r="M389" s="9"/>
      <c r="N389" s="9"/>
      <c r="O389" s="42"/>
      <c r="P389" s="310"/>
      <c r="Q389" s="293"/>
      <c r="R389" s="291"/>
      <c r="S389" s="294"/>
      <c r="T389" s="295"/>
      <c r="U389" s="9"/>
      <c r="V389" s="9"/>
      <c r="W389" s="9"/>
      <c r="X389" s="9"/>
      <c r="Y389" s="9"/>
      <c r="Z389" s="298"/>
      <c r="AA389" s="298"/>
    </row>
    <row r="390" spans="1:27" ht="13.5" customHeight="1" x14ac:dyDescent="0.25">
      <c r="A390" s="9"/>
      <c r="B390" s="9"/>
      <c r="C390" s="9"/>
      <c r="D390" s="9"/>
      <c r="E390" s="9"/>
      <c r="F390" s="185"/>
      <c r="G390" s="185"/>
      <c r="H390" s="9"/>
      <c r="I390" s="311"/>
      <c r="J390" s="310"/>
      <c r="K390" s="291"/>
      <c r="L390" s="309"/>
      <c r="M390" s="9"/>
      <c r="N390" s="9"/>
      <c r="O390" s="42"/>
      <c r="P390" s="310"/>
      <c r="Q390" s="293"/>
      <c r="R390" s="291"/>
      <c r="S390" s="294"/>
      <c r="T390" s="295"/>
      <c r="U390" s="9"/>
      <c r="V390" s="9"/>
      <c r="W390" s="9"/>
      <c r="X390" s="9"/>
      <c r="Y390" s="9"/>
      <c r="Z390" s="298"/>
      <c r="AA390" s="298"/>
    </row>
    <row r="391" spans="1:27" ht="13.5" customHeight="1" x14ac:dyDescent="0.25">
      <c r="A391" s="9"/>
      <c r="B391" s="9"/>
      <c r="C391" s="9"/>
      <c r="D391" s="9"/>
      <c r="E391" s="9"/>
      <c r="F391" s="185"/>
      <c r="G391" s="185"/>
      <c r="H391" s="9"/>
      <c r="I391" s="311"/>
      <c r="J391" s="310"/>
      <c r="K391" s="291"/>
      <c r="L391" s="309"/>
      <c r="M391" s="9"/>
      <c r="N391" s="9"/>
      <c r="O391" s="42"/>
      <c r="P391" s="310"/>
      <c r="Q391" s="293"/>
      <c r="R391" s="291"/>
      <c r="S391" s="294"/>
      <c r="T391" s="295"/>
      <c r="U391" s="9"/>
      <c r="V391" s="9"/>
      <c r="W391" s="9"/>
      <c r="X391" s="9"/>
      <c r="Y391" s="9"/>
      <c r="Z391" s="298"/>
      <c r="AA391" s="298"/>
    </row>
    <row r="392" spans="1:27" ht="13.5" customHeight="1" x14ac:dyDescent="0.25">
      <c r="A392" s="9"/>
      <c r="B392" s="9"/>
      <c r="C392" s="9"/>
      <c r="D392" s="9"/>
      <c r="E392" s="9"/>
      <c r="F392" s="185"/>
      <c r="G392" s="185"/>
      <c r="H392" s="9"/>
      <c r="I392" s="311"/>
      <c r="J392" s="310"/>
      <c r="K392" s="291"/>
      <c r="L392" s="309"/>
      <c r="M392" s="9"/>
      <c r="N392" s="9"/>
      <c r="O392" s="42"/>
      <c r="P392" s="310"/>
      <c r="Q392" s="293"/>
      <c r="R392" s="291"/>
      <c r="S392" s="294"/>
      <c r="T392" s="295"/>
      <c r="U392" s="9"/>
      <c r="V392" s="9"/>
      <c r="W392" s="9"/>
      <c r="X392" s="9"/>
      <c r="Y392" s="9"/>
      <c r="Z392" s="298"/>
      <c r="AA392" s="298"/>
    </row>
    <row r="393" spans="1:27" ht="13.5" customHeight="1" x14ac:dyDescent="0.25">
      <c r="A393" s="9"/>
      <c r="B393" s="9"/>
      <c r="C393" s="9"/>
      <c r="D393" s="9"/>
      <c r="E393" s="9"/>
      <c r="F393" s="185"/>
      <c r="G393" s="185"/>
      <c r="H393" s="9"/>
      <c r="I393" s="311"/>
      <c r="J393" s="310"/>
      <c r="K393" s="291"/>
      <c r="L393" s="309"/>
      <c r="M393" s="9"/>
      <c r="N393" s="9"/>
      <c r="O393" s="42"/>
      <c r="P393" s="310"/>
      <c r="Q393" s="293"/>
      <c r="R393" s="291"/>
      <c r="S393" s="294"/>
      <c r="T393" s="295"/>
      <c r="U393" s="9"/>
      <c r="V393" s="9"/>
      <c r="W393" s="9"/>
      <c r="X393" s="9"/>
      <c r="Y393" s="9"/>
      <c r="Z393" s="298"/>
      <c r="AA393" s="298"/>
    </row>
    <row r="394" spans="1:27" ht="13.5" customHeight="1" x14ac:dyDescent="0.25">
      <c r="A394" s="9"/>
      <c r="B394" s="9"/>
      <c r="C394" s="9"/>
      <c r="D394" s="9"/>
      <c r="E394" s="9"/>
      <c r="F394" s="185"/>
      <c r="G394" s="185"/>
      <c r="H394" s="9"/>
      <c r="I394" s="311"/>
      <c r="J394" s="310"/>
      <c r="K394" s="291"/>
      <c r="L394" s="309"/>
      <c r="M394" s="9"/>
      <c r="N394" s="9"/>
      <c r="O394" s="42"/>
      <c r="P394" s="310"/>
      <c r="Q394" s="293"/>
      <c r="R394" s="291"/>
      <c r="S394" s="294"/>
      <c r="T394" s="295"/>
      <c r="U394" s="9"/>
      <c r="V394" s="9"/>
      <c r="W394" s="9"/>
      <c r="X394" s="9"/>
      <c r="Y394" s="9"/>
      <c r="Z394" s="298"/>
      <c r="AA394" s="298"/>
    </row>
    <row r="395" spans="1:27" ht="13.5" customHeight="1" x14ac:dyDescent="0.25">
      <c r="A395" s="9"/>
      <c r="B395" s="9"/>
      <c r="C395" s="9"/>
      <c r="D395" s="9"/>
      <c r="E395" s="9"/>
      <c r="F395" s="185"/>
      <c r="G395" s="185"/>
      <c r="H395" s="9"/>
      <c r="I395" s="311"/>
      <c r="J395" s="310"/>
      <c r="K395" s="291"/>
      <c r="L395" s="309"/>
      <c r="M395" s="9"/>
      <c r="N395" s="9"/>
      <c r="O395" s="42"/>
      <c r="P395" s="310"/>
      <c r="Q395" s="293"/>
      <c r="R395" s="291"/>
      <c r="S395" s="294"/>
      <c r="T395" s="295"/>
      <c r="U395" s="9"/>
      <c r="V395" s="9"/>
      <c r="W395" s="9"/>
      <c r="X395" s="9"/>
      <c r="Y395" s="9"/>
      <c r="Z395" s="298"/>
      <c r="AA395" s="298"/>
    </row>
    <row r="396" spans="1:27" ht="13.5" customHeight="1" x14ac:dyDescent="0.25">
      <c r="A396" s="9"/>
      <c r="B396" s="9"/>
      <c r="C396" s="9"/>
      <c r="D396" s="9"/>
      <c r="E396" s="9"/>
      <c r="F396" s="185"/>
      <c r="G396" s="185"/>
      <c r="H396" s="9"/>
      <c r="I396" s="311"/>
      <c r="J396" s="310"/>
      <c r="K396" s="291"/>
      <c r="L396" s="309"/>
      <c r="M396" s="9"/>
      <c r="N396" s="9"/>
      <c r="O396" s="42"/>
      <c r="P396" s="310"/>
      <c r="Q396" s="293"/>
      <c r="R396" s="291"/>
      <c r="S396" s="294"/>
      <c r="T396" s="295"/>
      <c r="U396" s="9"/>
      <c r="V396" s="9"/>
      <c r="W396" s="9"/>
      <c r="X396" s="9"/>
      <c r="Y396" s="9"/>
      <c r="Z396" s="298"/>
      <c r="AA396" s="298"/>
    </row>
    <row r="397" spans="1:27" ht="13.5" customHeight="1" x14ac:dyDescent="0.25">
      <c r="A397" s="9"/>
      <c r="B397" s="9"/>
      <c r="C397" s="9"/>
      <c r="D397" s="9"/>
      <c r="E397" s="9"/>
      <c r="F397" s="185"/>
      <c r="G397" s="185"/>
      <c r="H397" s="9"/>
      <c r="I397" s="311"/>
      <c r="J397" s="310"/>
      <c r="K397" s="291"/>
      <c r="L397" s="309"/>
      <c r="M397" s="9"/>
      <c r="N397" s="9"/>
      <c r="O397" s="42"/>
      <c r="P397" s="310"/>
      <c r="Q397" s="293"/>
      <c r="R397" s="291"/>
      <c r="S397" s="294"/>
      <c r="T397" s="295"/>
      <c r="U397" s="9"/>
      <c r="V397" s="9"/>
      <c r="W397" s="9"/>
      <c r="X397" s="9"/>
      <c r="Y397" s="9"/>
      <c r="Z397" s="298"/>
      <c r="AA397" s="298"/>
    </row>
    <row r="398" spans="1:27" ht="13.5" customHeight="1" x14ac:dyDescent="0.25">
      <c r="A398" s="9"/>
      <c r="B398" s="9"/>
      <c r="C398" s="9"/>
      <c r="D398" s="9"/>
      <c r="E398" s="9"/>
      <c r="F398" s="185"/>
      <c r="G398" s="185"/>
      <c r="H398" s="9"/>
      <c r="I398" s="311"/>
      <c r="J398" s="310"/>
      <c r="K398" s="291"/>
      <c r="L398" s="309"/>
      <c r="M398" s="9"/>
      <c r="N398" s="9"/>
      <c r="O398" s="42"/>
      <c r="P398" s="310"/>
      <c r="Q398" s="293"/>
      <c r="R398" s="291"/>
      <c r="S398" s="294"/>
      <c r="T398" s="295"/>
      <c r="U398" s="9"/>
      <c r="V398" s="9"/>
      <c r="W398" s="9"/>
      <c r="X398" s="9"/>
      <c r="Y398" s="9"/>
      <c r="Z398" s="298"/>
      <c r="AA398" s="298"/>
    </row>
    <row r="399" spans="1:27" ht="13.5" customHeight="1" x14ac:dyDescent="0.25">
      <c r="A399" s="9"/>
      <c r="B399" s="9"/>
      <c r="C399" s="9"/>
      <c r="D399" s="9"/>
      <c r="E399" s="9"/>
      <c r="F399" s="185"/>
      <c r="G399" s="185"/>
      <c r="H399" s="9"/>
      <c r="I399" s="311"/>
      <c r="J399" s="310"/>
      <c r="K399" s="291"/>
      <c r="L399" s="309"/>
      <c r="M399" s="9"/>
      <c r="N399" s="9"/>
      <c r="O399" s="42"/>
      <c r="P399" s="310"/>
      <c r="Q399" s="293"/>
      <c r="R399" s="291"/>
      <c r="S399" s="294"/>
      <c r="T399" s="295"/>
      <c r="U399" s="9"/>
      <c r="V399" s="9"/>
      <c r="W399" s="9"/>
      <c r="X399" s="9"/>
      <c r="Y399" s="9"/>
      <c r="Z399" s="298"/>
      <c r="AA399" s="298"/>
    </row>
    <row r="400" spans="1:27" ht="13.5" customHeight="1" x14ac:dyDescent="0.25">
      <c r="A400" s="9"/>
      <c r="B400" s="9"/>
      <c r="C400" s="9"/>
      <c r="D400" s="9"/>
      <c r="E400" s="9"/>
      <c r="F400" s="185"/>
      <c r="G400" s="185"/>
      <c r="H400" s="9"/>
      <c r="I400" s="311"/>
      <c r="J400" s="310"/>
      <c r="K400" s="291"/>
      <c r="L400" s="309"/>
      <c r="M400" s="9"/>
      <c r="N400" s="9"/>
      <c r="O400" s="42"/>
      <c r="P400" s="310"/>
      <c r="Q400" s="293"/>
      <c r="R400" s="291"/>
      <c r="S400" s="294"/>
      <c r="T400" s="295"/>
      <c r="U400" s="9"/>
      <c r="V400" s="9"/>
      <c r="W400" s="9"/>
      <c r="X400" s="9"/>
      <c r="Y400" s="9"/>
      <c r="Z400" s="298"/>
      <c r="AA400" s="298"/>
    </row>
    <row r="401" spans="1:27" ht="13.5" customHeight="1" x14ac:dyDescent="0.25">
      <c r="A401" s="9"/>
      <c r="B401" s="9"/>
      <c r="C401" s="9"/>
      <c r="D401" s="9"/>
      <c r="E401" s="9"/>
      <c r="F401" s="185"/>
      <c r="G401" s="185"/>
      <c r="H401" s="9"/>
      <c r="I401" s="311"/>
      <c r="J401" s="310"/>
      <c r="K401" s="291"/>
      <c r="L401" s="309"/>
      <c r="M401" s="9"/>
      <c r="N401" s="9"/>
      <c r="O401" s="42"/>
      <c r="P401" s="310"/>
      <c r="Q401" s="293"/>
      <c r="R401" s="291"/>
      <c r="S401" s="294"/>
      <c r="T401" s="295"/>
      <c r="U401" s="9"/>
      <c r="V401" s="9"/>
      <c r="W401" s="9"/>
      <c r="X401" s="9"/>
      <c r="Y401" s="9"/>
      <c r="Z401" s="298"/>
      <c r="AA401" s="298"/>
    </row>
    <row r="402" spans="1:27" ht="13.5" customHeight="1" x14ac:dyDescent="0.25">
      <c r="A402" s="9"/>
      <c r="B402" s="9"/>
      <c r="C402" s="9"/>
      <c r="D402" s="9"/>
      <c r="E402" s="9"/>
      <c r="F402" s="185"/>
      <c r="G402" s="185"/>
      <c r="H402" s="9"/>
      <c r="I402" s="311"/>
      <c r="J402" s="310"/>
      <c r="K402" s="291"/>
      <c r="L402" s="309"/>
      <c r="M402" s="9"/>
      <c r="N402" s="9"/>
      <c r="O402" s="42"/>
      <c r="P402" s="310"/>
      <c r="Q402" s="293"/>
      <c r="R402" s="291"/>
      <c r="S402" s="294"/>
      <c r="T402" s="295"/>
      <c r="U402" s="9"/>
      <c r="V402" s="9"/>
      <c r="W402" s="9"/>
      <c r="X402" s="9"/>
      <c r="Y402" s="9"/>
      <c r="Z402" s="298"/>
      <c r="AA402" s="298"/>
    </row>
    <row r="403" spans="1:27" ht="13.5" customHeight="1" x14ac:dyDescent="0.25">
      <c r="A403" s="9"/>
      <c r="B403" s="9"/>
      <c r="C403" s="9"/>
      <c r="D403" s="9"/>
      <c r="E403" s="9"/>
      <c r="F403" s="185"/>
      <c r="G403" s="185"/>
      <c r="H403" s="9"/>
      <c r="I403" s="311"/>
      <c r="J403" s="310"/>
      <c r="K403" s="291"/>
      <c r="L403" s="309"/>
      <c r="M403" s="9"/>
      <c r="N403" s="9"/>
      <c r="O403" s="42"/>
      <c r="P403" s="310"/>
      <c r="Q403" s="293"/>
      <c r="R403" s="291"/>
      <c r="S403" s="294"/>
      <c r="T403" s="295"/>
      <c r="U403" s="9"/>
      <c r="V403" s="9"/>
      <c r="W403" s="9"/>
      <c r="X403" s="9"/>
      <c r="Y403" s="9"/>
      <c r="Z403" s="298"/>
      <c r="AA403" s="298"/>
    </row>
    <row r="404" spans="1:27" ht="13.5" customHeight="1" x14ac:dyDescent="0.25">
      <c r="A404" s="9"/>
      <c r="B404" s="9"/>
      <c r="C404" s="9"/>
      <c r="D404" s="9"/>
      <c r="E404" s="9"/>
      <c r="F404" s="185"/>
      <c r="G404" s="185"/>
      <c r="H404" s="9"/>
      <c r="I404" s="311"/>
      <c r="J404" s="310"/>
      <c r="K404" s="291"/>
      <c r="L404" s="309"/>
      <c r="M404" s="9"/>
      <c r="N404" s="9"/>
      <c r="O404" s="42"/>
      <c r="P404" s="310"/>
      <c r="Q404" s="293"/>
      <c r="R404" s="291"/>
      <c r="S404" s="294"/>
      <c r="T404" s="295"/>
      <c r="U404" s="9"/>
      <c r="V404" s="9"/>
      <c r="W404" s="9"/>
      <c r="X404" s="9"/>
      <c r="Y404" s="9"/>
      <c r="Z404" s="298"/>
      <c r="AA404" s="298"/>
    </row>
    <row r="405" spans="1:27" ht="13.5" customHeight="1" x14ac:dyDescent="0.25">
      <c r="A405" s="9"/>
      <c r="B405" s="9"/>
      <c r="C405" s="9"/>
      <c r="D405" s="9"/>
      <c r="E405" s="9"/>
      <c r="F405" s="185"/>
      <c r="G405" s="185"/>
      <c r="H405" s="9"/>
      <c r="I405" s="311"/>
      <c r="J405" s="310"/>
      <c r="K405" s="291"/>
      <c r="L405" s="309"/>
      <c r="M405" s="9"/>
      <c r="N405" s="9"/>
      <c r="O405" s="42"/>
      <c r="P405" s="310"/>
      <c r="Q405" s="293"/>
      <c r="R405" s="291"/>
      <c r="S405" s="294"/>
      <c r="T405" s="295"/>
      <c r="U405" s="9"/>
      <c r="V405" s="9"/>
      <c r="W405" s="9"/>
      <c r="X405" s="9"/>
      <c r="Y405" s="9"/>
      <c r="Z405" s="298"/>
      <c r="AA405" s="298"/>
    </row>
    <row r="406" spans="1:27" ht="13.5" customHeight="1" x14ac:dyDescent="0.25">
      <c r="A406" s="9"/>
      <c r="B406" s="9"/>
      <c r="C406" s="9"/>
      <c r="D406" s="9"/>
      <c r="E406" s="9"/>
      <c r="F406" s="185"/>
      <c r="G406" s="185"/>
      <c r="H406" s="9"/>
      <c r="I406" s="311"/>
      <c r="J406" s="310"/>
      <c r="K406" s="291"/>
      <c r="L406" s="309"/>
      <c r="M406" s="9"/>
      <c r="N406" s="9"/>
      <c r="O406" s="42"/>
      <c r="P406" s="310"/>
      <c r="Q406" s="293"/>
      <c r="R406" s="291"/>
      <c r="S406" s="294"/>
      <c r="T406" s="295"/>
      <c r="U406" s="9"/>
      <c r="V406" s="9"/>
      <c r="W406" s="9"/>
      <c r="X406" s="9"/>
      <c r="Y406" s="9"/>
      <c r="Z406" s="298"/>
      <c r="AA406" s="298"/>
    </row>
    <row r="407" spans="1:27" ht="13.5" customHeight="1" x14ac:dyDescent="0.25">
      <c r="A407" s="9"/>
      <c r="B407" s="9"/>
      <c r="C407" s="9"/>
      <c r="D407" s="9"/>
      <c r="E407" s="9"/>
      <c r="F407" s="185"/>
      <c r="G407" s="185"/>
      <c r="H407" s="9"/>
      <c r="I407" s="311"/>
      <c r="J407" s="310"/>
      <c r="K407" s="291"/>
      <c r="L407" s="309"/>
      <c r="M407" s="9"/>
      <c r="N407" s="9"/>
      <c r="O407" s="42"/>
      <c r="P407" s="310"/>
      <c r="Q407" s="293"/>
      <c r="R407" s="291"/>
      <c r="S407" s="294"/>
      <c r="T407" s="295"/>
      <c r="U407" s="9"/>
      <c r="V407" s="9"/>
      <c r="W407" s="9"/>
      <c r="X407" s="9"/>
      <c r="Y407" s="9"/>
      <c r="Z407" s="298"/>
      <c r="AA407" s="298"/>
    </row>
  </sheetData>
  <mergeCells count="55">
    <mergeCell ref="C234:K234"/>
    <mergeCell ref="P234:Q234"/>
    <mergeCell ref="P229:Q229"/>
    <mergeCell ref="P230:Q230"/>
    <mergeCell ref="P231:Q231"/>
    <mergeCell ref="P232:Q232"/>
    <mergeCell ref="P233:Q233"/>
    <mergeCell ref="P224:Q224"/>
    <mergeCell ref="P225:Q225"/>
    <mergeCell ref="P226:Q226"/>
    <mergeCell ref="P227:Q227"/>
    <mergeCell ref="P228:Q228"/>
    <mergeCell ref="C220:K220"/>
    <mergeCell ref="C223:L223"/>
    <mergeCell ref="M223:R223"/>
    <mergeCell ref="P212:Q212"/>
    <mergeCell ref="P213:Q213"/>
    <mergeCell ref="P214:Q214"/>
    <mergeCell ref="P215:Q215"/>
    <mergeCell ref="P216:Q216"/>
    <mergeCell ref="P217:Q217"/>
    <mergeCell ref="C219:K219"/>
    <mergeCell ref="P218:Q218"/>
    <mergeCell ref="P219:Q219"/>
    <mergeCell ref="C208:L208"/>
    <mergeCell ref="M208:R208"/>
    <mergeCell ref="P209:Q209"/>
    <mergeCell ref="P210:Q210"/>
    <mergeCell ref="P211:Q211"/>
    <mergeCell ref="A101:A108"/>
    <mergeCell ref="A109:A197"/>
    <mergeCell ref="A198:A199"/>
    <mergeCell ref="A2:A100"/>
    <mergeCell ref="F91:I91"/>
    <mergeCell ref="F92:I92"/>
    <mergeCell ref="F93:I93"/>
    <mergeCell ref="F94:I94"/>
    <mergeCell ref="F95:I95"/>
    <mergeCell ref="F96:I96"/>
    <mergeCell ref="F97:I97"/>
    <mergeCell ref="F98:I98"/>
    <mergeCell ref="C249:K249"/>
    <mergeCell ref="P249:Q249"/>
    <mergeCell ref="C238:L238"/>
    <mergeCell ref="M238:R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</mergeCells>
  <conditionalFormatting sqref="P210:Q219 P225:Q234 P240:Q249">
    <cfRule type="cellIs" dxfId="1" priority="1" operator="greaterThanOrEqual">
      <formula>1</formula>
    </cfRule>
  </conditionalFormatting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07"/>
  <sheetViews>
    <sheetView workbookViewId="0">
      <pane ySplit="1" topLeftCell="A140" activePane="bottomLeft" state="frozen"/>
      <selection pane="bottomLeft" activeCell="A109" sqref="A109:A197"/>
    </sheetView>
  </sheetViews>
  <sheetFormatPr defaultColWidth="14.42578125" defaultRowHeight="15" customHeight="1" outlineLevelRow="1" outlineLevelCol="1" x14ac:dyDescent="0.25"/>
  <cols>
    <col min="1" max="1" width="6.28515625" customWidth="1"/>
    <col min="2" max="2" width="20.28515625" customWidth="1"/>
    <col min="3" max="3" width="13.42578125" customWidth="1"/>
    <col min="4" max="4" width="12" customWidth="1"/>
    <col min="5" max="5" width="14.42578125" customWidth="1"/>
    <col min="6" max="6" width="10.28515625" hidden="1" customWidth="1" outlineLevel="1"/>
    <col min="7" max="7" width="9.7109375" hidden="1" customWidth="1" outlineLevel="1"/>
    <col min="8" max="8" width="13.28515625" hidden="1" customWidth="1" outlineLevel="1"/>
    <col min="9" max="9" width="8.7109375" customWidth="1" collapsed="1"/>
    <col min="10" max="10" width="8" customWidth="1"/>
    <col min="11" max="11" width="7.7109375" customWidth="1"/>
    <col min="12" max="12" width="12.85546875" customWidth="1"/>
    <col min="13" max="13" width="12.5703125" customWidth="1"/>
    <col min="14" max="14" width="9.85546875" customWidth="1"/>
    <col min="15" max="15" width="11.42578125" customWidth="1"/>
    <col min="16" max="16" width="11.5703125" hidden="1" customWidth="1" outlineLevel="1"/>
    <col min="17" max="17" width="12.7109375" customWidth="1" collapsed="1"/>
    <col min="18" max="18" width="14.5703125" customWidth="1"/>
    <col min="19" max="19" width="13" customWidth="1" outlineLevel="1"/>
    <col min="20" max="20" width="13.140625" customWidth="1" outlineLevel="1"/>
    <col min="21" max="21" width="9.7109375" customWidth="1"/>
    <col min="22" max="22" width="8.7109375" customWidth="1"/>
    <col min="23" max="25" width="10.7109375" customWidth="1"/>
    <col min="26" max="27" width="8.7109375" customWidth="1"/>
  </cols>
  <sheetData>
    <row r="1" spans="1:27" ht="13.5" customHeight="1" x14ac:dyDescent="0.25">
      <c r="A1" s="94" t="s">
        <v>34</v>
      </c>
      <c r="B1" s="95" t="s">
        <v>22</v>
      </c>
      <c r="C1" s="47" t="s">
        <v>35</v>
      </c>
      <c r="D1" s="47" t="s">
        <v>24</v>
      </c>
      <c r="E1" s="47" t="s">
        <v>25</v>
      </c>
      <c r="F1" s="47" t="s">
        <v>36</v>
      </c>
      <c r="G1" s="96" t="s">
        <v>37</v>
      </c>
      <c r="H1" s="47" t="s">
        <v>38</v>
      </c>
      <c r="I1" s="97" t="s">
        <v>26</v>
      </c>
      <c r="J1" s="98" t="s">
        <v>27</v>
      </c>
      <c r="K1" s="47" t="s">
        <v>39</v>
      </c>
      <c r="L1" s="47" t="s">
        <v>40</v>
      </c>
      <c r="M1" s="47" t="s">
        <v>41</v>
      </c>
      <c r="N1" s="47" t="s">
        <v>42</v>
      </c>
      <c r="O1" s="48" t="s">
        <v>43</v>
      </c>
      <c r="P1" s="47" t="s">
        <v>44</v>
      </c>
      <c r="Q1" s="49" t="s">
        <v>45</v>
      </c>
      <c r="R1" s="99" t="s">
        <v>46</v>
      </c>
      <c r="S1" s="47" t="s">
        <v>47</v>
      </c>
      <c r="T1" s="47" t="s">
        <v>48</v>
      </c>
      <c r="U1" s="100" t="s">
        <v>49</v>
      </c>
      <c r="V1" s="45"/>
      <c r="W1" s="46"/>
      <c r="X1" s="46"/>
      <c r="Y1" s="46"/>
      <c r="Z1" s="4"/>
      <c r="AA1" s="4"/>
    </row>
    <row r="2" spans="1:27" ht="13.5" customHeight="1" x14ac:dyDescent="0.25">
      <c r="A2" s="370" t="s">
        <v>50</v>
      </c>
      <c r="B2" s="101" t="s">
        <v>51</v>
      </c>
      <c r="C2" s="101"/>
      <c r="D2" s="101"/>
      <c r="E2" s="101"/>
      <c r="F2" s="101"/>
      <c r="G2" s="101"/>
      <c r="H2" s="101"/>
      <c r="I2" s="102"/>
      <c r="J2" s="103"/>
      <c r="K2" s="101"/>
      <c r="L2" s="101"/>
      <c r="M2" s="101"/>
      <c r="N2" s="104"/>
      <c r="O2" s="105"/>
      <c r="P2" s="101"/>
      <c r="Q2" s="106"/>
      <c r="R2" s="107"/>
      <c r="S2" s="101"/>
      <c r="T2" s="101"/>
      <c r="U2" s="108"/>
      <c r="V2" s="16"/>
      <c r="W2" s="16"/>
      <c r="X2" s="16"/>
      <c r="Y2" s="16"/>
      <c r="Z2" s="16"/>
      <c r="AA2" s="16"/>
    </row>
    <row r="3" spans="1:27" ht="14.25" customHeight="1" outlineLevel="1" x14ac:dyDescent="0.25">
      <c r="A3" s="371"/>
      <c r="B3" s="109"/>
      <c r="C3" s="110">
        <v>2.7E-2</v>
      </c>
      <c r="D3" s="111">
        <v>0.14000000000000001</v>
      </c>
      <c r="E3" s="56">
        <v>4.2</v>
      </c>
      <c r="F3" s="112">
        <f t="shared" ref="F3:F28" si="0">C3*D3*E3</f>
        <v>1.5876000000000001E-2</v>
      </c>
      <c r="G3" s="112">
        <f t="shared" ref="G3:G28" si="1">D3*E3</f>
        <v>0.58800000000000008</v>
      </c>
      <c r="H3" s="113">
        <v>401.52</v>
      </c>
      <c r="I3" s="114">
        <f t="shared" ref="I3:I4" si="2">ROUND(H3*1.1667,0)</f>
        <v>468</v>
      </c>
      <c r="J3" s="115">
        <f t="shared" ref="J3:J10" si="3">ROUND((I3*0.992)*1.21,0)*(C3*D3*E3)</f>
        <v>8.9223120000000016</v>
      </c>
      <c r="K3" s="116">
        <f t="shared" ref="K3:K28" si="4">J3/(D3*E3)</f>
        <v>15.174000000000001</v>
      </c>
      <c r="L3" s="117">
        <f t="shared" ref="L3:L18" si="5">T3+R3-O3</f>
        <v>181</v>
      </c>
      <c r="M3" s="118">
        <f t="shared" ref="M3:M28" si="6">L3*F3</f>
        <v>2.8735560000000002</v>
      </c>
      <c r="N3" s="119">
        <f t="shared" ref="N3:N28" si="7">L3*G3</f>
        <v>106.42800000000001</v>
      </c>
      <c r="O3" s="120"/>
      <c r="P3" s="121" t="str">
        <f t="shared" ref="P3:P28" si="8">IF(O3="","",(O3*F3))</f>
        <v/>
      </c>
      <c r="Q3" s="122"/>
      <c r="R3" s="123"/>
      <c r="S3" s="56">
        <f t="shared" ref="S3:S28" si="9">R3*F3</f>
        <v>0</v>
      </c>
      <c r="T3" s="124">
        <v>181</v>
      </c>
      <c r="U3" s="125">
        <f t="shared" ref="U3:U28" si="10">J3*L3</f>
        <v>1614.9384720000003</v>
      </c>
      <c r="V3" s="9" t="str">
        <f t="shared" ref="V3:V126" si="11">IF(O3="","",Q3-(O3*(H3*F3)))</f>
        <v/>
      </c>
      <c r="W3" s="9" t="str">
        <f t="shared" ref="W3:W129" si="12">IF(O3="","",(P3*H3))</f>
        <v/>
      </c>
      <c r="X3" s="9"/>
      <c r="Y3" s="9"/>
      <c r="Z3" s="9"/>
      <c r="AA3" s="9"/>
    </row>
    <row r="4" spans="1:27" ht="14.25" customHeight="1" outlineLevel="1" x14ac:dyDescent="0.25">
      <c r="A4" s="371"/>
      <c r="B4" s="109"/>
      <c r="C4" s="110">
        <v>2.7E-2</v>
      </c>
      <c r="D4" s="55">
        <v>0.14000000000000001</v>
      </c>
      <c r="E4" s="56">
        <v>4.8</v>
      </c>
      <c r="F4" s="112">
        <f t="shared" si="0"/>
        <v>1.8144E-2</v>
      </c>
      <c r="G4" s="112">
        <f t="shared" si="1"/>
        <v>0.67200000000000004</v>
      </c>
      <c r="H4" s="113">
        <v>401.52</v>
      </c>
      <c r="I4" s="114">
        <f t="shared" si="2"/>
        <v>468</v>
      </c>
      <c r="J4" s="115">
        <f t="shared" si="3"/>
        <v>10.196928</v>
      </c>
      <c r="K4" s="116">
        <f t="shared" si="4"/>
        <v>15.173999999999999</v>
      </c>
      <c r="L4" s="117">
        <f t="shared" si="5"/>
        <v>226</v>
      </c>
      <c r="M4" s="118">
        <f t="shared" si="6"/>
        <v>4.1005440000000002</v>
      </c>
      <c r="N4" s="119">
        <f t="shared" si="7"/>
        <v>151.87200000000001</v>
      </c>
      <c r="O4" s="126"/>
      <c r="P4" s="121" t="str">
        <f t="shared" si="8"/>
        <v/>
      </c>
      <c r="Q4" s="122"/>
      <c r="R4" s="123"/>
      <c r="S4" s="56">
        <f t="shared" si="9"/>
        <v>0</v>
      </c>
      <c r="T4" s="124">
        <v>226</v>
      </c>
      <c r="U4" s="125">
        <f t="shared" si="10"/>
        <v>2304.5057280000001</v>
      </c>
      <c r="V4" s="9" t="str">
        <f t="shared" si="11"/>
        <v/>
      </c>
      <c r="W4" s="9" t="str">
        <f t="shared" si="12"/>
        <v/>
      </c>
      <c r="X4" s="9"/>
      <c r="Y4" s="9"/>
      <c r="Z4" s="9"/>
      <c r="AA4" s="9"/>
    </row>
    <row r="5" spans="1:27" ht="14.25" customHeight="1" outlineLevel="1" x14ac:dyDescent="0.25">
      <c r="A5" s="371"/>
      <c r="B5" s="109"/>
      <c r="C5" s="110">
        <v>2.8000000000000001E-2</v>
      </c>
      <c r="D5" s="55">
        <v>9.5000000000000001E-2</v>
      </c>
      <c r="E5" s="56">
        <v>3</v>
      </c>
      <c r="F5" s="127">
        <f t="shared" si="0"/>
        <v>7.980000000000001E-3</v>
      </c>
      <c r="G5" s="127">
        <f t="shared" si="1"/>
        <v>0.28500000000000003</v>
      </c>
      <c r="H5" s="113">
        <v>404.93</v>
      </c>
      <c r="I5" s="114">
        <f>ROUND(H5*1.12,0)</f>
        <v>454</v>
      </c>
      <c r="J5" s="115">
        <f t="shared" si="3"/>
        <v>4.3491000000000009</v>
      </c>
      <c r="K5" s="128">
        <f t="shared" si="4"/>
        <v>15.260000000000002</v>
      </c>
      <c r="L5" s="117">
        <f t="shared" si="5"/>
        <v>599</v>
      </c>
      <c r="M5" s="118">
        <f t="shared" si="6"/>
        <v>4.7800200000000004</v>
      </c>
      <c r="N5" s="129">
        <f t="shared" si="7"/>
        <v>170.71500000000003</v>
      </c>
      <c r="O5" s="126"/>
      <c r="P5" s="121" t="str">
        <f t="shared" si="8"/>
        <v/>
      </c>
      <c r="Q5" s="130"/>
      <c r="R5" s="123"/>
      <c r="S5" s="56">
        <f t="shared" si="9"/>
        <v>0</v>
      </c>
      <c r="T5" s="124">
        <v>599</v>
      </c>
      <c r="U5" s="125">
        <f t="shared" si="10"/>
        <v>2605.1109000000006</v>
      </c>
      <c r="V5" s="9" t="str">
        <f t="shared" si="11"/>
        <v/>
      </c>
      <c r="W5" s="9" t="str">
        <f t="shared" si="12"/>
        <v/>
      </c>
      <c r="X5" s="9"/>
      <c r="Y5" s="9"/>
      <c r="Z5" s="9"/>
      <c r="AA5" s="9"/>
    </row>
    <row r="6" spans="1:27" ht="14.25" customHeight="1" outlineLevel="1" x14ac:dyDescent="0.25">
      <c r="A6" s="371"/>
      <c r="B6" s="109"/>
      <c r="C6" s="110">
        <v>2.8000000000000001E-2</v>
      </c>
      <c r="D6" s="55">
        <v>0.115</v>
      </c>
      <c r="E6" s="56">
        <v>3</v>
      </c>
      <c r="F6" s="112">
        <f t="shared" si="0"/>
        <v>9.6600000000000002E-3</v>
      </c>
      <c r="G6" s="112">
        <f t="shared" si="1"/>
        <v>0.34500000000000003</v>
      </c>
      <c r="H6" s="113">
        <v>402.09</v>
      </c>
      <c r="I6" s="114">
        <f>ROUND(H6*1.13,0)</f>
        <v>454</v>
      </c>
      <c r="J6" s="115">
        <f t="shared" si="3"/>
        <v>5.2647000000000004</v>
      </c>
      <c r="K6" s="116">
        <f t="shared" si="4"/>
        <v>15.26</v>
      </c>
      <c r="L6" s="117">
        <f t="shared" si="5"/>
        <v>52</v>
      </c>
      <c r="M6" s="118">
        <f t="shared" si="6"/>
        <v>0.50231999999999999</v>
      </c>
      <c r="N6" s="119">
        <f t="shared" si="7"/>
        <v>17.940000000000001</v>
      </c>
      <c r="O6" s="126"/>
      <c r="P6" s="121" t="str">
        <f t="shared" si="8"/>
        <v/>
      </c>
      <c r="Q6" s="122"/>
      <c r="R6" s="123"/>
      <c r="S6" s="56">
        <f t="shared" si="9"/>
        <v>0</v>
      </c>
      <c r="T6" s="124">
        <v>52</v>
      </c>
      <c r="U6" s="125">
        <f t="shared" si="10"/>
        <v>273.76440000000002</v>
      </c>
      <c r="V6" s="9" t="str">
        <f t="shared" si="11"/>
        <v/>
      </c>
      <c r="W6" s="9" t="str">
        <f t="shared" si="12"/>
        <v/>
      </c>
      <c r="X6" s="9"/>
      <c r="Y6" s="9"/>
      <c r="Z6" s="9"/>
      <c r="AA6" s="9"/>
    </row>
    <row r="7" spans="1:27" ht="14.25" customHeight="1" outlineLevel="1" x14ac:dyDescent="0.25">
      <c r="A7" s="371"/>
      <c r="B7" s="328" t="s">
        <v>52</v>
      </c>
      <c r="C7" s="110">
        <v>2.8000000000000001E-2</v>
      </c>
      <c r="D7" s="55">
        <v>0.12</v>
      </c>
      <c r="E7" s="56">
        <v>4.5</v>
      </c>
      <c r="F7" s="127">
        <f t="shared" si="0"/>
        <v>1.5120000000000001E-2</v>
      </c>
      <c r="G7" s="127">
        <f t="shared" si="1"/>
        <v>0.54</v>
      </c>
      <c r="H7" s="113">
        <f>395+(50/1.709)</f>
        <v>424.25687536571093</v>
      </c>
      <c r="I7" s="114">
        <f>ROUND(H7*1.067,0)</f>
        <v>453</v>
      </c>
      <c r="J7" s="115">
        <f t="shared" si="3"/>
        <v>8.2252800000000015</v>
      </c>
      <c r="K7" s="128">
        <f t="shared" si="4"/>
        <v>15.232000000000001</v>
      </c>
      <c r="L7" s="117">
        <f t="shared" si="5"/>
        <v>329</v>
      </c>
      <c r="M7" s="118">
        <f t="shared" si="6"/>
        <v>4.9744800000000007</v>
      </c>
      <c r="N7" s="129">
        <f t="shared" si="7"/>
        <v>177.66000000000003</v>
      </c>
      <c r="O7" s="126"/>
      <c r="P7" s="121" t="str">
        <f t="shared" si="8"/>
        <v/>
      </c>
      <c r="Q7" s="130"/>
      <c r="R7" s="123"/>
      <c r="S7" s="56">
        <f t="shared" si="9"/>
        <v>0</v>
      </c>
      <c r="T7" s="124">
        <v>329</v>
      </c>
      <c r="U7" s="125">
        <f t="shared" si="10"/>
        <v>2706.1171200000003</v>
      </c>
      <c r="V7" s="9" t="str">
        <f t="shared" si="11"/>
        <v/>
      </c>
      <c r="W7" s="9" t="str">
        <f t="shared" si="12"/>
        <v/>
      </c>
      <c r="X7" s="9"/>
      <c r="Y7" s="9"/>
      <c r="Z7" s="9"/>
      <c r="AA7" s="9"/>
    </row>
    <row r="8" spans="1:27" ht="13.5" customHeight="1" outlineLevel="1" x14ac:dyDescent="0.25">
      <c r="A8" s="371"/>
      <c r="B8" s="75"/>
      <c r="C8" s="131">
        <v>2.8000000000000001E-2</v>
      </c>
      <c r="D8" s="111">
        <v>0.12</v>
      </c>
      <c r="E8" s="132">
        <v>4.8</v>
      </c>
      <c r="F8" s="133">
        <f t="shared" si="0"/>
        <v>1.6128E-2</v>
      </c>
      <c r="G8" s="133">
        <f t="shared" si="1"/>
        <v>0.57599999999999996</v>
      </c>
      <c r="H8" s="113">
        <v>400</v>
      </c>
      <c r="I8" s="114">
        <f>ROUND(H8*1.1667,0)</f>
        <v>467</v>
      </c>
      <c r="J8" s="115">
        <f t="shared" si="3"/>
        <v>9.0478079999999999</v>
      </c>
      <c r="K8" s="116">
        <f t="shared" si="4"/>
        <v>15.708</v>
      </c>
      <c r="L8" s="117">
        <f t="shared" si="5"/>
        <v>54</v>
      </c>
      <c r="M8" s="118">
        <f t="shared" si="6"/>
        <v>0.87091200000000002</v>
      </c>
      <c r="N8" s="134">
        <f t="shared" si="7"/>
        <v>31.103999999999999</v>
      </c>
      <c r="O8" s="135"/>
      <c r="P8" s="121" t="str">
        <f t="shared" si="8"/>
        <v/>
      </c>
      <c r="Q8" s="136"/>
      <c r="R8" s="137"/>
      <c r="S8" s="56">
        <f t="shared" si="9"/>
        <v>0</v>
      </c>
      <c r="T8" s="124">
        <v>54</v>
      </c>
      <c r="U8" s="125">
        <f t="shared" si="10"/>
        <v>488.58163200000001</v>
      </c>
      <c r="V8" s="9" t="str">
        <f t="shared" si="11"/>
        <v/>
      </c>
      <c r="W8" s="9" t="str">
        <f t="shared" si="12"/>
        <v/>
      </c>
      <c r="X8" s="9"/>
      <c r="Y8" s="9"/>
      <c r="Z8" s="9"/>
      <c r="AA8" s="9"/>
    </row>
    <row r="9" spans="1:27" ht="13.5" customHeight="1" outlineLevel="1" x14ac:dyDescent="0.25">
      <c r="A9" s="371"/>
      <c r="B9" s="329" t="s">
        <v>53</v>
      </c>
      <c r="C9" s="110">
        <v>2.8000000000000001E-2</v>
      </c>
      <c r="D9" s="55">
        <v>0.14499999999999999</v>
      </c>
      <c r="E9" s="56">
        <v>2.4</v>
      </c>
      <c r="F9" s="112">
        <f t="shared" si="0"/>
        <v>9.7439999999999975E-3</v>
      </c>
      <c r="G9" s="112">
        <f t="shared" si="1"/>
        <v>0.34799999999999998</v>
      </c>
      <c r="H9" s="113">
        <v>745.69</v>
      </c>
      <c r="I9" s="114">
        <f t="shared" ref="I9:I10" si="13">ROUND(H9*1.058,0)</f>
        <v>789</v>
      </c>
      <c r="J9" s="115">
        <f t="shared" si="3"/>
        <v>9.227567999999998</v>
      </c>
      <c r="K9" s="116">
        <f t="shared" si="4"/>
        <v>26.515999999999995</v>
      </c>
      <c r="L9" s="117">
        <f t="shared" si="5"/>
        <v>1057</v>
      </c>
      <c r="M9" s="118">
        <f t="shared" si="6"/>
        <v>10.299407999999998</v>
      </c>
      <c r="N9" s="119">
        <f t="shared" si="7"/>
        <v>367.83599999999996</v>
      </c>
      <c r="O9" s="126"/>
      <c r="P9" s="121" t="str">
        <f t="shared" si="8"/>
        <v/>
      </c>
      <c r="Q9" s="122"/>
      <c r="R9" s="123"/>
      <c r="S9" s="56">
        <f t="shared" si="9"/>
        <v>0</v>
      </c>
      <c r="T9" s="124">
        <v>1057</v>
      </c>
      <c r="U9" s="125">
        <f t="shared" si="10"/>
        <v>9753.539375999997</v>
      </c>
      <c r="V9" s="9" t="str">
        <f t="shared" si="11"/>
        <v/>
      </c>
      <c r="W9" s="9" t="str">
        <f t="shared" si="12"/>
        <v/>
      </c>
      <c r="X9" s="9"/>
      <c r="Y9" s="9"/>
      <c r="Z9" s="9"/>
      <c r="AA9" s="9"/>
    </row>
    <row r="10" spans="1:27" ht="13.5" customHeight="1" outlineLevel="1" x14ac:dyDescent="0.25">
      <c r="A10" s="371"/>
      <c r="B10" s="329" t="s">
        <v>53</v>
      </c>
      <c r="C10" s="110">
        <v>2.8000000000000001E-2</v>
      </c>
      <c r="D10" s="139">
        <v>0.14499999999999999</v>
      </c>
      <c r="E10" s="140">
        <v>3</v>
      </c>
      <c r="F10" s="112">
        <f t="shared" si="0"/>
        <v>1.2179999999999998E-2</v>
      </c>
      <c r="G10" s="112">
        <f t="shared" si="1"/>
        <v>0.43499999999999994</v>
      </c>
      <c r="H10" s="113">
        <v>745.69</v>
      </c>
      <c r="I10" s="114">
        <f t="shared" si="13"/>
        <v>789</v>
      </c>
      <c r="J10" s="115">
        <f t="shared" si="3"/>
        <v>11.534459999999997</v>
      </c>
      <c r="K10" s="116">
        <f t="shared" si="4"/>
        <v>26.515999999999998</v>
      </c>
      <c r="L10" s="117">
        <f t="shared" si="5"/>
        <v>766</v>
      </c>
      <c r="M10" s="118">
        <f t="shared" si="6"/>
        <v>9.3298799999999993</v>
      </c>
      <c r="N10" s="119">
        <f t="shared" si="7"/>
        <v>333.21</v>
      </c>
      <c r="O10" s="141"/>
      <c r="P10" s="121" t="str">
        <f t="shared" si="8"/>
        <v/>
      </c>
      <c r="Q10" s="122"/>
      <c r="R10" s="142"/>
      <c r="S10" s="56">
        <f t="shared" si="9"/>
        <v>0</v>
      </c>
      <c r="T10" s="124">
        <v>766</v>
      </c>
      <c r="U10" s="125">
        <f t="shared" si="10"/>
        <v>8835.3963599999988</v>
      </c>
      <c r="V10" s="9" t="str">
        <f t="shared" si="11"/>
        <v/>
      </c>
      <c r="W10" s="9" t="str">
        <f t="shared" si="12"/>
        <v/>
      </c>
      <c r="X10" s="9"/>
      <c r="Y10" s="9"/>
      <c r="Z10" s="9"/>
      <c r="AA10" s="9"/>
    </row>
    <row r="11" spans="1:27" ht="13.5" customHeight="1" outlineLevel="1" x14ac:dyDescent="0.25">
      <c r="A11" s="371"/>
      <c r="B11" s="330" t="s">
        <v>54</v>
      </c>
      <c r="C11" s="110">
        <v>2.8000000000000001E-2</v>
      </c>
      <c r="D11" s="55">
        <v>0.14499999999999999</v>
      </c>
      <c r="E11" s="56">
        <v>3</v>
      </c>
      <c r="F11" s="112">
        <f t="shared" si="0"/>
        <v>1.2179999999999998E-2</v>
      </c>
      <c r="G11" s="112">
        <f t="shared" si="1"/>
        <v>0.43499999999999994</v>
      </c>
      <c r="H11" s="113">
        <v>399.29</v>
      </c>
      <c r="I11" s="114">
        <f t="shared" ref="I11:I12" si="14">ROUND(H11*1.025,0)</f>
        <v>409</v>
      </c>
      <c r="J11" s="115">
        <f>ROUND((I11*0.74)*1.21,0)*(C11*D11*E11)</f>
        <v>4.4578799999999994</v>
      </c>
      <c r="K11" s="116">
        <f t="shared" si="4"/>
        <v>10.247999999999999</v>
      </c>
      <c r="L11" s="117">
        <f t="shared" si="5"/>
        <v>52</v>
      </c>
      <c r="M11" s="118">
        <f t="shared" si="6"/>
        <v>0.63335999999999992</v>
      </c>
      <c r="N11" s="119">
        <f t="shared" si="7"/>
        <v>22.619999999999997</v>
      </c>
      <c r="O11" s="120"/>
      <c r="P11" s="121" t="str">
        <f t="shared" si="8"/>
        <v/>
      </c>
      <c r="Q11" s="122"/>
      <c r="R11" s="123"/>
      <c r="S11" s="56">
        <f t="shared" si="9"/>
        <v>0</v>
      </c>
      <c r="T11" s="124">
        <v>52</v>
      </c>
      <c r="U11" s="125">
        <f t="shared" si="10"/>
        <v>231.80975999999998</v>
      </c>
      <c r="V11" s="9" t="str">
        <f t="shared" si="11"/>
        <v/>
      </c>
      <c r="W11" s="9" t="str">
        <f t="shared" si="12"/>
        <v/>
      </c>
      <c r="X11" s="9"/>
      <c r="Y11" s="9"/>
      <c r="Z11" s="9"/>
      <c r="AA11" s="9"/>
    </row>
    <row r="12" spans="1:27" ht="13.5" customHeight="1" outlineLevel="1" x14ac:dyDescent="0.25">
      <c r="A12" s="371"/>
      <c r="B12" s="143" t="s">
        <v>54</v>
      </c>
      <c r="C12" s="110">
        <v>2.8000000000000001E-2</v>
      </c>
      <c r="D12" s="55">
        <v>0.14499999999999999</v>
      </c>
      <c r="E12" s="56">
        <v>3.6</v>
      </c>
      <c r="F12" s="112">
        <f t="shared" si="0"/>
        <v>1.4615999999999999E-2</v>
      </c>
      <c r="G12" s="112">
        <f t="shared" si="1"/>
        <v>0.52200000000000002</v>
      </c>
      <c r="H12" s="113">
        <v>399.29</v>
      </c>
      <c r="I12" s="114">
        <f t="shared" si="14"/>
        <v>409</v>
      </c>
      <c r="J12" s="115">
        <f>ROUND((I12*0.83)*1.21,0)*(C12*D12*E12)</f>
        <v>6.0071759999999994</v>
      </c>
      <c r="K12" s="116">
        <f t="shared" si="4"/>
        <v>11.507999999999999</v>
      </c>
      <c r="L12" s="117">
        <f t="shared" si="5"/>
        <v>40</v>
      </c>
      <c r="M12" s="118">
        <f t="shared" si="6"/>
        <v>0.58463999999999994</v>
      </c>
      <c r="N12" s="119">
        <f t="shared" si="7"/>
        <v>20.880000000000003</v>
      </c>
      <c r="O12" s="120"/>
      <c r="P12" s="121" t="str">
        <f t="shared" si="8"/>
        <v/>
      </c>
      <c r="Q12" s="122"/>
      <c r="R12" s="123"/>
      <c r="S12" s="56">
        <f t="shared" si="9"/>
        <v>0</v>
      </c>
      <c r="T12" s="124">
        <v>40</v>
      </c>
      <c r="U12" s="125">
        <f t="shared" si="10"/>
        <v>240.28703999999999</v>
      </c>
      <c r="V12" s="9" t="str">
        <f t="shared" si="11"/>
        <v/>
      </c>
      <c r="W12" s="9" t="str">
        <f t="shared" si="12"/>
        <v/>
      </c>
      <c r="X12" s="9"/>
      <c r="Y12" s="9"/>
      <c r="Z12" s="9"/>
      <c r="AA12" s="9"/>
    </row>
    <row r="13" spans="1:27" ht="13.5" customHeight="1" outlineLevel="1" x14ac:dyDescent="0.25">
      <c r="A13" s="371"/>
      <c r="B13" s="109"/>
      <c r="C13" s="110">
        <v>2.8000000000000001E-2</v>
      </c>
      <c r="D13" s="55">
        <v>0.14499999999999999</v>
      </c>
      <c r="E13" s="56">
        <v>6</v>
      </c>
      <c r="F13" s="127">
        <f t="shared" si="0"/>
        <v>2.4359999999999996E-2</v>
      </c>
      <c r="G13" s="127">
        <f t="shared" si="1"/>
        <v>0.86999999999999988</v>
      </c>
      <c r="H13" s="113">
        <v>399.29</v>
      </c>
      <c r="I13" s="114">
        <f>ROUND(H13*1.1357,0)</f>
        <v>453</v>
      </c>
      <c r="J13" s="115">
        <f>ROUND((I13*0.992)*1.21,0)*(C13*D13*E13)</f>
        <v>13.251839999999998</v>
      </c>
      <c r="K13" s="128">
        <f t="shared" si="4"/>
        <v>15.231999999999999</v>
      </c>
      <c r="L13" s="117">
        <f t="shared" si="5"/>
        <v>43</v>
      </c>
      <c r="M13" s="118">
        <f t="shared" si="6"/>
        <v>1.0474799999999997</v>
      </c>
      <c r="N13" s="129">
        <f t="shared" si="7"/>
        <v>37.409999999999997</v>
      </c>
      <c r="O13" s="144"/>
      <c r="P13" s="121" t="str">
        <f t="shared" si="8"/>
        <v/>
      </c>
      <c r="Q13" s="130"/>
      <c r="R13" s="123"/>
      <c r="S13" s="56">
        <f t="shared" si="9"/>
        <v>0</v>
      </c>
      <c r="T13" s="124">
        <v>43</v>
      </c>
      <c r="U13" s="125">
        <f t="shared" si="10"/>
        <v>569.82911999999988</v>
      </c>
      <c r="V13" s="9" t="str">
        <f t="shared" si="11"/>
        <v/>
      </c>
      <c r="W13" s="9" t="str">
        <f t="shared" si="12"/>
        <v/>
      </c>
      <c r="X13" s="9"/>
      <c r="Y13" s="9"/>
      <c r="Z13" s="9"/>
      <c r="AA13" s="9"/>
    </row>
    <row r="14" spans="1:27" ht="13.5" customHeight="1" outlineLevel="1" x14ac:dyDescent="0.25">
      <c r="A14" s="371"/>
      <c r="B14" s="143" t="s">
        <v>54</v>
      </c>
      <c r="C14" s="110">
        <v>2.8000000000000001E-2</v>
      </c>
      <c r="D14" s="55">
        <v>0.14499999999999999</v>
      </c>
      <c r="E14" s="56">
        <v>6</v>
      </c>
      <c r="F14" s="112">
        <f t="shared" si="0"/>
        <v>2.4359999999999996E-2</v>
      </c>
      <c r="G14" s="112">
        <f t="shared" si="1"/>
        <v>0.86999999999999988</v>
      </c>
      <c r="H14" s="113">
        <v>399.29</v>
      </c>
      <c r="I14" s="114">
        <f>ROUND(H14*1.025,0)</f>
        <v>409</v>
      </c>
      <c r="J14" s="115">
        <f>ROUND((I14*0.83)*1.21,0)*(C14*D14*E14)</f>
        <v>10.011959999999998</v>
      </c>
      <c r="K14" s="116">
        <f t="shared" si="4"/>
        <v>11.507999999999999</v>
      </c>
      <c r="L14" s="117">
        <f t="shared" si="5"/>
        <v>72</v>
      </c>
      <c r="M14" s="118">
        <f t="shared" si="6"/>
        <v>1.7539199999999997</v>
      </c>
      <c r="N14" s="119">
        <f t="shared" si="7"/>
        <v>62.639999999999993</v>
      </c>
      <c r="O14" s="145"/>
      <c r="P14" s="121" t="str">
        <f t="shared" si="8"/>
        <v/>
      </c>
      <c r="Q14" s="122"/>
      <c r="R14" s="123"/>
      <c r="S14" s="56">
        <f t="shared" si="9"/>
        <v>0</v>
      </c>
      <c r="T14" s="124">
        <v>72</v>
      </c>
      <c r="U14" s="125">
        <f t="shared" si="10"/>
        <v>720.86111999999991</v>
      </c>
      <c r="V14" s="9" t="str">
        <f t="shared" si="11"/>
        <v/>
      </c>
      <c r="W14" s="9" t="str">
        <f t="shared" si="12"/>
        <v/>
      </c>
      <c r="X14" s="9"/>
      <c r="Y14" s="9"/>
      <c r="Z14" s="9"/>
      <c r="AA14" s="9"/>
    </row>
    <row r="15" spans="1:27" ht="13.5" customHeight="1" outlineLevel="1" x14ac:dyDescent="0.25">
      <c r="A15" s="371"/>
      <c r="B15" s="143" t="s">
        <v>55</v>
      </c>
      <c r="C15" s="110">
        <v>0.03</v>
      </c>
      <c r="D15" s="55">
        <v>0.1</v>
      </c>
      <c r="E15" s="56">
        <v>3</v>
      </c>
      <c r="F15" s="112">
        <f t="shared" si="0"/>
        <v>9.0000000000000011E-3</v>
      </c>
      <c r="G15" s="112">
        <f t="shared" si="1"/>
        <v>0.30000000000000004</v>
      </c>
      <c r="H15" s="113">
        <v>400.75</v>
      </c>
      <c r="I15" s="114">
        <f>ROUND(H15*1.09,0)</f>
        <v>437</v>
      </c>
      <c r="J15" s="115">
        <f>ROUND((I15*0.91)*1.21,0)*(C15*D15*E15)</f>
        <v>4.3290000000000006</v>
      </c>
      <c r="K15" s="116">
        <f t="shared" si="4"/>
        <v>14.43</v>
      </c>
      <c r="L15" s="117">
        <f t="shared" si="5"/>
        <v>184</v>
      </c>
      <c r="M15" s="118">
        <f t="shared" si="6"/>
        <v>1.6560000000000001</v>
      </c>
      <c r="N15" s="119">
        <f t="shared" si="7"/>
        <v>55.20000000000001</v>
      </c>
      <c r="O15" s="145"/>
      <c r="P15" s="121" t="str">
        <f t="shared" si="8"/>
        <v/>
      </c>
      <c r="Q15" s="122"/>
      <c r="R15" s="123"/>
      <c r="S15" s="56">
        <f t="shared" si="9"/>
        <v>0</v>
      </c>
      <c r="T15" s="124">
        <v>184</v>
      </c>
      <c r="U15" s="125">
        <f t="shared" si="10"/>
        <v>796.53600000000006</v>
      </c>
      <c r="V15" s="9" t="str">
        <f t="shared" si="11"/>
        <v/>
      </c>
      <c r="W15" s="9" t="str">
        <f t="shared" si="12"/>
        <v/>
      </c>
      <c r="X15" s="9"/>
      <c r="Y15" s="9"/>
      <c r="Z15" s="9"/>
      <c r="AA15" s="9"/>
    </row>
    <row r="16" spans="1:27" ht="13.5" customHeight="1" outlineLevel="1" x14ac:dyDescent="0.25">
      <c r="A16" s="371"/>
      <c r="B16" s="143" t="s">
        <v>54</v>
      </c>
      <c r="C16" s="110">
        <v>0.03</v>
      </c>
      <c r="D16" s="55">
        <v>0.1</v>
      </c>
      <c r="E16" s="56">
        <v>6</v>
      </c>
      <c r="F16" s="112">
        <f t="shared" si="0"/>
        <v>1.8000000000000002E-2</v>
      </c>
      <c r="G16" s="112">
        <f t="shared" si="1"/>
        <v>0.60000000000000009</v>
      </c>
      <c r="H16" s="113">
        <v>400.75</v>
      </c>
      <c r="I16" s="114">
        <f t="shared" ref="I16:I19" si="15">ROUND(H16*1.025,0)</f>
        <v>411</v>
      </c>
      <c r="J16" s="115">
        <f t="shared" ref="J16:J19" si="16">ROUND((I16*0.83)*1.21,0)*(C16*D16*E16)</f>
        <v>7.4340000000000011</v>
      </c>
      <c r="K16" s="116">
        <f t="shared" si="4"/>
        <v>12.39</v>
      </c>
      <c r="L16" s="117">
        <f t="shared" si="5"/>
        <v>45</v>
      </c>
      <c r="M16" s="118">
        <f t="shared" si="6"/>
        <v>0.81</v>
      </c>
      <c r="N16" s="119">
        <f t="shared" si="7"/>
        <v>27.000000000000004</v>
      </c>
      <c r="O16" s="145"/>
      <c r="P16" s="121" t="str">
        <f t="shared" si="8"/>
        <v/>
      </c>
      <c r="Q16" s="122"/>
      <c r="R16" s="123"/>
      <c r="S16" s="56">
        <f t="shared" si="9"/>
        <v>0</v>
      </c>
      <c r="T16" s="124">
        <v>45</v>
      </c>
      <c r="U16" s="125">
        <f t="shared" si="10"/>
        <v>334.53000000000003</v>
      </c>
      <c r="V16" s="9" t="str">
        <f t="shared" si="11"/>
        <v/>
      </c>
      <c r="W16" s="9" t="str">
        <f t="shared" si="12"/>
        <v/>
      </c>
      <c r="X16" s="9"/>
      <c r="Y16" s="9"/>
      <c r="Z16" s="9"/>
      <c r="AA16" s="9"/>
    </row>
    <row r="17" spans="1:27" ht="13.5" customHeight="1" outlineLevel="1" x14ac:dyDescent="0.25">
      <c r="A17" s="371"/>
      <c r="B17" s="143" t="s">
        <v>54</v>
      </c>
      <c r="C17" s="110">
        <v>0.03</v>
      </c>
      <c r="D17" s="55">
        <v>0.12</v>
      </c>
      <c r="E17" s="56">
        <v>3.6</v>
      </c>
      <c r="F17" s="112">
        <f t="shared" si="0"/>
        <v>1.2959999999999999E-2</v>
      </c>
      <c r="G17" s="112">
        <f t="shared" si="1"/>
        <v>0.432</v>
      </c>
      <c r="H17" s="113">
        <v>398.18</v>
      </c>
      <c r="I17" s="114">
        <f t="shared" si="15"/>
        <v>408</v>
      </c>
      <c r="J17" s="115">
        <f t="shared" si="16"/>
        <v>5.3136000000000001</v>
      </c>
      <c r="K17" s="116">
        <f t="shared" si="4"/>
        <v>12.3</v>
      </c>
      <c r="L17" s="117">
        <f t="shared" si="5"/>
        <v>102</v>
      </c>
      <c r="M17" s="118">
        <f t="shared" si="6"/>
        <v>1.32192</v>
      </c>
      <c r="N17" s="119">
        <f t="shared" si="7"/>
        <v>44.064</v>
      </c>
      <c r="O17" s="145"/>
      <c r="P17" s="121" t="str">
        <f t="shared" si="8"/>
        <v/>
      </c>
      <c r="Q17" s="122"/>
      <c r="R17" s="123"/>
      <c r="S17" s="56">
        <f t="shared" si="9"/>
        <v>0</v>
      </c>
      <c r="T17" s="124">
        <v>102</v>
      </c>
      <c r="U17" s="125">
        <f t="shared" si="10"/>
        <v>541.98720000000003</v>
      </c>
      <c r="V17" s="9" t="str">
        <f t="shared" si="11"/>
        <v/>
      </c>
      <c r="W17" s="9" t="str">
        <f t="shared" si="12"/>
        <v/>
      </c>
      <c r="X17" s="9"/>
      <c r="Y17" s="9"/>
      <c r="Z17" s="9"/>
      <c r="AA17" s="9"/>
    </row>
    <row r="18" spans="1:27" ht="13.5" customHeight="1" outlineLevel="1" x14ac:dyDescent="0.25">
      <c r="A18" s="371"/>
      <c r="B18" s="143" t="s">
        <v>54</v>
      </c>
      <c r="C18" s="110">
        <v>0.03</v>
      </c>
      <c r="D18" s="55">
        <v>0.12</v>
      </c>
      <c r="E18" s="56">
        <v>4.8</v>
      </c>
      <c r="F18" s="112">
        <f t="shared" si="0"/>
        <v>1.728E-2</v>
      </c>
      <c r="G18" s="112">
        <f t="shared" si="1"/>
        <v>0.57599999999999996</v>
      </c>
      <c r="H18" s="113">
        <v>396.34</v>
      </c>
      <c r="I18" s="114">
        <f t="shared" si="15"/>
        <v>406</v>
      </c>
      <c r="J18" s="115">
        <f t="shared" si="16"/>
        <v>7.0502400000000005</v>
      </c>
      <c r="K18" s="116">
        <f t="shared" si="4"/>
        <v>12.240000000000002</v>
      </c>
      <c r="L18" s="117">
        <f t="shared" si="5"/>
        <v>62</v>
      </c>
      <c r="M18" s="118">
        <f t="shared" si="6"/>
        <v>1.0713600000000001</v>
      </c>
      <c r="N18" s="119">
        <f t="shared" si="7"/>
        <v>35.711999999999996</v>
      </c>
      <c r="O18" s="145"/>
      <c r="P18" s="121" t="str">
        <f t="shared" si="8"/>
        <v/>
      </c>
      <c r="Q18" s="122"/>
      <c r="R18" s="123"/>
      <c r="S18" s="56">
        <f t="shared" si="9"/>
        <v>0</v>
      </c>
      <c r="T18" s="124">
        <v>62</v>
      </c>
      <c r="U18" s="125">
        <f t="shared" si="10"/>
        <v>437.11488000000003</v>
      </c>
      <c r="V18" s="9" t="str">
        <f t="shared" si="11"/>
        <v/>
      </c>
      <c r="W18" s="9" t="str">
        <f t="shared" si="12"/>
        <v/>
      </c>
      <c r="X18" s="9"/>
      <c r="Y18" s="9"/>
      <c r="Z18" s="9"/>
      <c r="AA18" s="9"/>
    </row>
    <row r="19" spans="1:27" ht="13.5" customHeight="1" outlineLevel="1" x14ac:dyDescent="0.25">
      <c r="A19" s="371"/>
      <c r="B19" s="330" t="s">
        <v>54</v>
      </c>
      <c r="C19" s="110">
        <v>0.03</v>
      </c>
      <c r="D19" s="55">
        <v>0.14000000000000001</v>
      </c>
      <c r="E19" s="56">
        <v>3.6</v>
      </c>
      <c r="F19" s="112">
        <f t="shared" si="0"/>
        <v>1.5120000000000003E-2</v>
      </c>
      <c r="G19" s="112">
        <f t="shared" si="1"/>
        <v>0.50400000000000011</v>
      </c>
      <c r="H19" s="113">
        <v>396.34</v>
      </c>
      <c r="I19" s="114">
        <f t="shared" si="15"/>
        <v>406</v>
      </c>
      <c r="J19" s="115">
        <f t="shared" si="16"/>
        <v>6.1689600000000011</v>
      </c>
      <c r="K19" s="116">
        <f t="shared" si="4"/>
        <v>12.24</v>
      </c>
      <c r="L19" s="117">
        <v>110</v>
      </c>
      <c r="M19" s="118">
        <f t="shared" si="6"/>
        <v>1.6632000000000005</v>
      </c>
      <c r="N19" s="119">
        <f t="shared" si="7"/>
        <v>55.440000000000012</v>
      </c>
      <c r="O19" s="144"/>
      <c r="P19" s="121" t="str">
        <f t="shared" si="8"/>
        <v/>
      </c>
      <c r="Q19" s="122"/>
      <c r="R19" s="123"/>
      <c r="S19" s="56">
        <f t="shared" si="9"/>
        <v>0</v>
      </c>
      <c r="T19" s="124">
        <v>110</v>
      </c>
      <c r="U19" s="125">
        <f t="shared" si="10"/>
        <v>678.58560000000011</v>
      </c>
      <c r="V19" s="9" t="str">
        <f t="shared" si="11"/>
        <v/>
      </c>
      <c r="W19" s="9" t="str">
        <f t="shared" si="12"/>
        <v/>
      </c>
      <c r="X19" s="9"/>
      <c r="Y19" s="9"/>
      <c r="Z19" s="9"/>
      <c r="AA19" s="9"/>
    </row>
    <row r="20" spans="1:27" ht="13.5" customHeight="1" outlineLevel="1" x14ac:dyDescent="0.25">
      <c r="A20" s="371"/>
      <c r="B20" s="109"/>
      <c r="C20" s="110">
        <v>0.03</v>
      </c>
      <c r="D20" s="55">
        <v>0.14499999999999999</v>
      </c>
      <c r="E20" s="56">
        <v>3.6</v>
      </c>
      <c r="F20" s="112">
        <f t="shared" si="0"/>
        <v>1.566E-2</v>
      </c>
      <c r="G20" s="112">
        <f t="shared" si="1"/>
        <v>0.52200000000000002</v>
      </c>
      <c r="H20" s="113">
        <v>395.96</v>
      </c>
      <c r="I20" s="114">
        <f>ROUND(H20*1.1667,0)</f>
        <v>462</v>
      </c>
      <c r="J20" s="115">
        <f>ROUND((I20*0.992)*1.21,0)*(C20*D20*E20)</f>
        <v>8.6913</v>
      </c>
      <c r="K20" s="116">
        <f t="shared" si="4"/>
        <v>16.649999999999999</v>
      </c>
      <c r="L20" s="117">
        <f t="shared" ref="L20:L28" si="17">T20+R20-O20</f>
        <v>10</v>
      </c>
      <c r="M20" s="118">
        <f t="shared" si="6"/>
        <v>0.15660000000000002</v>
      </c>
      <c r="N20" s="146">
        <f t="shared" si="7"/>
        <v>5.2200000000000006</v>
      </c>
      <c r="O20" s="126"/>
      <c r="P20" s="121" t="str">
        <f t="shared" si="8"/>
        <v/>
      </c>
      <c r="Q20" s="122"/>
      <c r="R20" s="123"/>
      <c r="S20" s="56">
        <f t="shared" si="9"/>
        <v>0</v>
      </c>
      <c r="T20" s="124">
        <v>10</v>
      </c>
      <c r="U20" s="125">
        <f t="shared" si="10"/>
        <v>86.912999999999997</v>
      </c>
      <c r="V20" s="9" t="str">
        <f t="shared" si="11"/>
        <v/>
      </c>
      <c r="W20" s="9" t="str">
        <f t="shared" si="12"/>
        <v/>
      </c>
      <c r="X20" s="9"/>
      <c r="Y20" s="9"/>
      <c r="Z20" s="9"/>
      <c r="AA20" s="9"/>
    </row>
    <row r="21" spans="1:27" ht="13.5" customHeight="1" outlineLevel="1" x14ac:dyDescent="0.25">
      <c r="A21" s="371"/>
      <c r="B21" s="330" t="s">
        <v>54</v>
      </c>
      <c r="C21" s="110">
        <v>0.03</v>
      </c>
      <c r="D21" s="55">
        <v>0.14499999999999999</v>
      </c>
      <c r="E21" s="56">
        <v>3.6</v>
      </c>
      <c r="F21" s="112">
        <f t="shared" si="0"/>
        <v>1.566E-2</v>
      </c>
      <c r="G21" s="112">
        <f t="shared" si="1"/>
        <v>0.52200000000000002</v>
      </c>
      <c r="H21" s="113">
        <v>395.96</v>
      </c>
      <c r="I21" s="114">
        <f>ROUND(H21*1.025,0)</f>
        <v>406</v>
      </c>
      <c r="J21" s="115">
        <f>ROUND((I21*0.83)*1.21,0)*(C21*D21*E21)</f>
        <v>6.3892800000000003</v>
      </c>
      <c r="K21" s="116">
        <f t="shared" si="4"/>
        <v>12.24</v>
      </c>
      <c r="L21" s="117">
        <f t="shared" si="17"/>
        <v>97</v>
      </c>
      <c r="M21" s="118">
        <f t="shared" si="6"/>
        <v>1.51902</v>
      </c>
      <c r="N21" s="119">
        <f t="shared" si="7"/>
        <v>50.634</v>
      </c>
      <c r="O21" s="144"/>
      <c r="P21" s="121" t="str">
        <f t="shared" si="8"/>
        <v/>
      </c>
      <c r="Q21" s="122"/>
      <c r="R21" s="123"/>
      <c r="S21" s="56">
        <f t="shared" si="9"/>
        <v>0</v>
      </c>
      <c r="T21" s="124">
        <v>97</v>
      </c>
      <c r="U21" s="125">
        <f t="shared" si="10"/>
        <v>619.76016000000004</v>
      </c>
      <c r="V21" s="9" t="str">
        <f t="shared" si="11"/>
        <v/>
      </c>
      <c r="W21" s="9" t="str">
        <f t="shared" si="12"/>
        <v/>
      </c>
      <c r="X21" s="9"/>
      <c r="Y21" s="9"/>
      <c r="Z21" s="9"/>
      <c r="AA21" s="9"/>
    </row>
    <row r="22" spans="1:27" ht="13.5" customHeight="1" outlineLevel="1" x14ac:dyDescent="0.25">
      <c r="A22" s="371"/>
      <c r="B22" s="109"/>
      <c r="C22" s="110">
        <v>0.03</v>
      </c>
      <c r="D22" s="55">
        <v>0.14499999999999999</v>
      </c>
      <c r="E22" s="56">
        <v>4.8</v>
      </c>
      <c r="F22" s="112">
        <f t="shared" si="0"/>
        <v>2.0879999999999999E-2</v>
      </c>
      <c r="G22" s="112">
        <f t="shared" si="1"/>
        <v>0.69599999999999995</v>
      </c>
      <c r="H22" s="113">
        <v>395.96</v>
      </c>
      <c r="I22" s="114">
        <f>ROUND(H22*1.1667,0)</f>
        <v>462</v>
      </c>
      <c r="J22" s="115">
        <f>ROUND((I22*0.992)*1.21,0)*(C22*D22*E22)</f>
        <v>11.5884</v>
      </c>
      <c r="K22" s="116">
        <f t="shared" si="4"/>
        <v>16.650000000000002</v>
      </c>
      <c r="L22" s="117">
        <f t="shared" si="17"/>
        <v>44</v>
      </c>
      <c r="M22" s="118">
        <f t="shared" si="6"/>
        <v>0.91871999999999998</v>
      </c>
      <c r="N22" s="119">
        <f t="shared" si="7"/>
        <v>30.623999999999999</v>
      </c>
      <c r="O22" s="144"/>
      <c r="P22" s="121" t="str">
        <f t="shared" si="8"/>
        <v/>
      </c>
      <c r="Q22" s="122"/>
      <c r="R22" s="123"/>
      <c r="S22" s="56">
        <f t="shared" si="9"/>
        <v>0</v>
      </c>
      <c r="T22" s="124">
        <v>44</v>
      </c>
      <c r="U22" s="125">
        <f t="shared" si="10"/>
        <v>509.88959999999997</v>
      </c>
      <c r="V22" s="9" t="str">
        <f t="shared" si="11"/>
        <v/>
      </c>
      <c r="W22" s="9" t="str">
        <f t="shared" si="12"/>
        <v/>
      </c>
      <c r="X22" s="9"/>
      <c r="Y22" s="9"/>
      <c r="Z22" s="9"/>
      <c r="AA22" s="9"/>
    </row>
    <row r="23" spans="1:27" ht="13.5" customHeight="1" outlineLevel="1" x14ac:dyDescent="0.25">
      <c r="A23" s="371"/>
      <c r="B23" s="330" t="s">
        <v>54</v>
      </c>
      <c r="C23" s="110">
        <v>0.03</v>
      </c>
      <c r="D23" s="55">
        <v>0.14499999999999999</v>
      </c>
      <c r="E23" s="56">
        <v>4.8</v>
      </c>
      <c r="F23" s="112">
        <f t="shared" si="0"/>
        <v>2.0879999999999999E-2</v>
      </c>
      <c r="G23" s="112">
        <f t="shared" si="1"/>
        <v>0.69599999999999995</v>
      </c>
      <c r="H23" s="113">
        <v>395.96</v>
      </c>
      <c r="I23" s="114">
        <f>ROUND(H23*1.025,0)</f>
        <v>406</v>
      </c>
      <c r="J23" s="115">
        <f>ROUND((I23*0.83)*1.21,0)*(C23*D23*E23)</f>
        <v>8.5190400000000004</v>
      </c>
      <c r="K23" s="116">
        <f t="shared" si="4"/>
        <v>12.240000000000002</v>
      </c>
      <c r="L23" s="117">
        <f t="shared" si="17"/>
        <v>221</v>
      </c>
      <c r="M23" s="118">
        <f t="shared" si="6"/>
        <v>4.6144799999999995</v>
      </c>
      <c r="N23" s="119">
        <f t="shared" si="7"/>
        <v>153.816</v>
      </c>
      <c r="O23" s="144"/>
      <c r="P23" s="121" t="str">
        <f t="shared" si="8"/>
        <v/>
      </c>
      <c r="Q23" s="122"/>
      <c r="R23" s="123"/>
      <c r="S23" s="56">
        <f t="shared" si="9"/>
        <v>0</v>
      </c>
      <c r="T23" s="124">
        <v>221</v>
      </c>
      <c r="U23" s="125">
        <f t="shared" si="10"/>
        <v>1882.70784</v>
      </c>
      <c r="V23" s="9" t="str">
        <f t="shared" si="11"/>
        <v/>
      </c>
      <c r="W23" s="9" t="str">
        <f t="shared" si="12"/>
        <v/>
      </c>
      <c r="X23" s="9"/>
      <c r="Y23" s="9"/>
      <c r="Z23" s="9"/>
      <c r="AA23" s="9"/>
    </row>
    <row r="24" spans="1:27" ht="13.5" customHeight="1" outlineLevel="1" x14ac:dyDescent="0.25">
      <c r="A24" s="371"/>
      <c r="B24" s="109"/>
      <c r="C24" s="110">
        <v>0.03</v>
      </c>
      <c r="D24" s="55">
        <v>0.14499999999999999</v>
      </c>
      <c r="E24" s="56">
        <v>5.0999999999999996</v>
      </c>
      <c r="F24" s="112">
        <f t="shared" si="0"/>
        <v>2.2184999999999996E-2</v>
      </c>
      <c r="G24" s="112">
        <f t="shared" si="1"/>
        <v>0.73949999999999994</v>
      </c>
      <c r="H24" s="113">
        <v>395.96</v>
      </c>
      <c r="I24" s="114">
        <f>ROUND(H24*1.1667,0)</f>
        <v>462</v>
      </c>
      <c r="J24" s="115">
        <f>ROUND((I24*0.992)*1.21,0)*(C24*D24*E24)</f>
        <v>12.312674999999999</v>
      </c>
      <c r="K24" s="116">
        <f t="shared" si="4"/>
        <v>16.649999999999999</v>
      </c>
      <c r="L24" s="117">
        <f t="shared" si="17"/>
        <v>224</v>
      </c>
      <c r="M24" s="118">
        <f t="shared" si="6"/>
        <v>4.9694399999999987</v>
      </c>
      <c r="N24" s="119">
        <f t="shared" si="7"/>
        <v>165.648</v>
      </c>
      <c r="O24" s="126"/>
      <c r="P24" s="121" t="str">
        <f t="shared" si="8"/>
        <v/>
      </c>
      <c r="Q24" s="122"/>
      <c r="R24" s="123"/>
      <c r="S24" s="56">
        <f t="shared" si="9"/>
        <v>0</v>
      </c>
      <c r="T24" s="124">
        <v>224</v>
      </c>
      <c r="U24" s="125">
        <f t="shared" si="10"/>
        <v>2758.0391999999997</v>
      </c>
      <c r="V24" s="9" t="str">
        <f t="shared" si="11"/>
        <v/>
      </c>
      <c r="W24" s="9" t="str">
        <f t="shared" si="12"/>
        <v/>
      </c>
      <c r="X24" s="9"/>
      <c r="Y24" s="9"/>
      <c r="Z24" s="9"/>
      <c r="AA24" s="9"/>
    </row>
    <row r="25" spans="1:27" ht="13.5" customHeight="1" outlineLevel="1" x14ac:dyDescent="0.25">
      <c r="A25" s="371"/>
      <c r="B25" s="329" t="s">
        <v>55</v>
      </c>
      <c r="C25" s="110">
        <v>4.4999999999999998E-2</v>
      </c>
      <c r="D25" s="139">
        <v>0.12</v>
      </c>
      <c r="E25" s="140">
        <v>3</v>
      </c>
      <c r="F25" s="112">
        <f t="shared" si="0"/>
        <v>1.6199999999999999E-2</v>
      </c>
      <c r="G25" s="112">
        <f t="shared" si="1"/>
        <v>0.36</v>
      </c>
      <c r="H25" s="113">
        <v>382.56</v>
      </c>
      <c r="I25" s="114">
        <f>ROUND(H25*1.09,0)</f>
        <v>417</v>
      </c>
      <c r="J25" s="115">
        <f>ROUND((I25*0.91)*1.21,0)*(C25*D25*E25)</f>
        <v>7.4357999999999995</v>
      </c>
      <c r="K25" s="116">
        <f t="shared" si="4"/>
        <v>20.655000000000001</v>
      </c>
      <c r="L25" s="117">
        <f t="shared" si="17"/>
        <v>805</v>
      </c>
      <c r="M25" s="118">
        <f t="shared" si="6"/>
        <v>13.040999999999999</v>
      </c>
      <c r="N25" s="119">
        <f t="shared" si="7"/>
        <v>289.8</v>
      </c>
      <c r="O25" s="147"/>
      <c r="P25" s="121" t="str">
        <f t="shared" si="8"/>
        <v/>
      </c>
      <c r="Q25" s="122"/>
      <c r="R25" s="142"/>
      <c r="S25" s="56">
        <f t="shared" si="9"/>
        <v>0</v>
      </c>
      <c r="T25" s="124">
        <v>805</v>
      </c>
      <c r="U25" s="125">
        <f t="shared" si="10"/>
        <v>5985.8189999999995</v>
      </c>
      <c r="V25" s="9" t="str">
        <f t="shared" si="11"/>
        <v/>
      </c>
      <c r="W25" s="9" t="str">
        <f t="shared" si="12"/>
        <v/>
      </c>
      <c r="X25" s="9"/>
      <c r="Y25" s="9"/>
      <c r="Z25" s="9"/>
      <c r="AA25" s="9"/>
    </row>
    <row r="26" spans="1:27" ht="13.5" customHeight="1" outlineLevel="1" x14ac:dyDescent="0.25">
      <c r="A26" s="371"/>
      <c r="B26" s="109"/>
      <c r="C26" s="110">
        <v>4.4999999999999998E-2</v>
      </c>
      <c r="D26" s="55">
        <v>0.14499999999999999</v>
      </c>
      <c r="E26" s="56">
        <v>6</v>
      </c>
      <c r="F26" s="112">
        <f t="shared" si="0"/>
        <v>3.9149999999999997E-2</v>
      </c>
      <c r="G26" s="112">
        <f t="shared" si="1"/>
        <v>0.86999999999999988</v>
      </c>
      <c r="H26" s="113">
        <v>380.44</v>
      </c>
      <c r="I26" s="114">
        <f>ROUND(H26*1.1667,0)</f>
        <v>444</v>
      </c>
      <c r="J26" s="115">
        <f>ROUND((I26*0.992)*1.21,0)*(C26*D26*E26)</f>
        <v>20.866949999999999</v>
      </c>
      <c r="K26" s="116">
        <f t="shared" si="4"/>
        <v>23.985000000000003</v>
      </c>
      <c r="L26" s="117">
        <f t="shared" si="17"/>
        <v>23</v>
      </c>
      <c r="M26" s="118">
        <f t="shared" si="6"/>
        <v>0.90044999999999997</v>
      </c>
      <c r="N26" s="119">
        <f t="shared" si="7"/>
        <v>20.009999999999998</v>
      </c>
      <c r="O26" s="126"/>
      <c r="P26" s="121" t="str">
        <f t="shared" si="8"/>
        <v/>
      </c>
      <c r="Q26" s="122"/>
      <c r="R26" s="123"/>
      <c r="S26" s="56">
        <f t="shared" si="9"/>
        <v>0</v>
      </c>
      <c r="T26" s="124">
        <v>23</v>
      </c>
      <c r="U26" s="125">
        <f t="shared" si="10"/>
        <v>479.93984999999998</v>
      </c>
      <c r="V26" s="9" t="str">
        <f t="shared" si="11"/>
        <v/>
      </c>
      <c r="W26" s="9" t="str">
        <f t="shared" si="12"/>
        <v/>
      </c>
      <c r="X26" s="9"/>
      <c r="Y26" s="9"/>
      <c r="Z26" s="9"/>
      <c r="AA26" s="9"/>
    </row>
    <row r="27" spans="1:27" ht="13.5" customHeight="1" outlineLevel="1" x14ac:dyDescent="0.25">
      <c r="A27" s="371"/>
      <c r="B27" s="330" t="s">
        <v>54</v>
      </c>
      <c r="C27" s="110">
        <v>4.4999999999999998E-2</v>
      </c>
      <c r="D27" s="55">
        <v>0.14499999999999999</v>
      </c>
      <c r="E27" s="56">
        <v>6</v>
      </c>
      <c r="F27" s="112">
        <f t="shared" si="0"/>
        <v>3.9149999999999997E-2</v>
      </c>
      <c r="G27" s="112">
        <f t="shared" si="1"/>
        <v>0.86999999999999988</v>
      </c>
      <c r="H27" s="113">
        <v>380.44</v>
      </c>
      <c r="I27" s="114">
        <f t="shared" ref="I27:I28" si="18">ROUND(H27*1.025,0)</f>
        <v>390</v>
      </c>
      <c r="J27" s="115">
        <f t="shared" ref="J27:J28" si="19">ROUND((I27*0.83)*1.21,0)*(C27*D27*E27)</f>
        <v>15.346799999999998</v>
      </c>
      <c r="K27" s="116">
        <f t="shared" si="4"/>
        <v>17.64</v>
      </c>
      <c r="L27" s="117">
        <f t="shared" si="17"/>
        <v>138</v>
      </c>
      <c r="M27" s="118">
        <f t="shared" si="6"/>
        <v>5.4026999999999994</v>
      </c>
      <c r="N27" s="119">
        <f t="shared" si="7"/>
        <v>120.05999999999999</v>
      </c>
      <c r="O27" s="144"/>
      <c r="P27" s="121" t="str">
        <f t="shared" si="8"/>
        <v/>
      </c>
      <c r="Q27" s="122"/>
      <c r="R27" s="123"/>
      <c r="S27" s="56">
        <f t="shared" si="9"/>
        <v>0</v>
      </c>
      <c r="T27" s="124">
        <v>138</v>
      </c>
      <c r="U27" s="125">
        <f t="shared" si="10"/>
        <v>2117.8583999999996</v>
      </c>
      <c r="V27" s="9" t="str">
        <f t="shared" si="11"/>
        <v/>
      </c>
      <c r="W27" s="9" t="str">
        <f t="shared" si="12"/>
        <v/>
      </c>
      <c r="X27" s="9"/>
      <c r="Y27" s="9"/>
      <c r="Z27" s="9"/>
      <c r="AA27" s="9"/>
    </row>
    <row r="28" spans="1:27" ht="13.5" customHeight="1" outlineLevel="1" x14ac:dyDescent="0.25">
      <c r="A28" s="371"/>
      <c r="B28" s="330" t="s">
        <v>54</v>
      </c>
      <c r="C28" s="110">
        <v>4.4999999999999998E-2</v>
      </c>
      <c r="D28" s="55">
        <v>0.19500000000000001</v>
      </c>
      <c r="E28" s="56">
        <v>6</v>
      </c>
      <c r="F28" s="112">
        <f t="shared" si="0"/>
        <v>5.2650000000000002E-2</v>
      </c>
      <c r="G28" s="112">
        <f t="shared" si="1"/>
        <v>1.17</v>
      </c>
      <c r="H28" s="113">
        <v>377.82</v>
      </c>
      <c r="I28" s="114">
        <f t="shared" si="18"/>
        <v>387</v>
      </c>
      <c r="J28" s="115">
        <f t="shared" si="19"/>
        <v>20.48085</v>
      </c>
      <c r="K28" s="116">
        <f t="shared" si="4"/>
        <v>17.505000000000003</v>
      </c>
      <c r="L28" s="117">
        <f t="shared" si="17"/>
        <v>11</v>
      </c>
      <c r="M28" s="118">
        <f t="shared" si="6"/>
        <v>0.57915000000000005</v>
      </c>
      <c r="N28" s="119">
        <f t="shared" si="7"/>
        <v>12.87</v>
      </c>
      <c r="O28" s="144"/>
      <c r="P28" s="121" t="str">
        <f t="shared" si="8"/>
        <v/>
      </c>
      <c r="Q28" s="122"/>
      <c r="R28" s="123"/>
      <c r="S28" s="56">
        <f t="shared" si="9"/>
        <v>0</v>
      </c>
      <c r="T28" s="124">
        <v>11</v>
      </c>
      <c r="U28" s="125">
        <f t="shared" si="10"/>
        <v>225.28935000000001</v>
      </c>
      <c r="V28" s="9" t="str">
        <f t="shared" si="11"/>
        <v/>
      </c>
      <c r="W28" s="9" t="str">
        <f t="shared" si="12"/>
        <v/>
      </c>
      <c r="X28" s="9"/>
      <c r="Y28" s="9"/>
      <c r="Z28" s="9"/>
      <c r="AA28" s="9"/>
    </row>
    <row r="29" spans="1:27" ht="13.5" customHeight="1" x14ac:dyDescent="0.25">
      <c r="A29" s="371"/>
      <c r="B29" s="148" t="s">
        <v>56</v>
      </c>
      <c r="C29" s="149"/>
      <c r="D29" s="150"/>
      <c r="E29" s="149"/>
      <c r="F29" s="151"/>
      <c r="G29" s="151"/>
      <c r="H29" s="152">
        <f t="shared" ref="H29:I29" si="20">AVERAGE(H3:H28)</f>
        <v>423.70295674483498</v>
      </c>
      <c r="I29" s="153">
        <f t="shared" si="20"/>
        <v>458.69230769230768</v>
      </c>
      <c r="J29" s="154"/>
      <c r="K29" s="152">
        <f>AVERAGE(K3:K28)</f>
        <v>15.813499999999998</v>
      </c>
      <c r="L29" s="155"/>
      <c r="M29" s="156">
        <f>SUM(M3:M28)</f>
        <v>80.374560000000002</v>
      </c>
      <c r="N29" s="152"/>
      <c r="O29" s="157"/>
      <c r="P29" s="158">
        <f t="shared" ref="P29:Q29" si="21">SUM(P3:P28)</f>
        <v>0</v>
      </c>
      <c r="Q29" s="159">
        <f t="shared" si="21"/>
        <v>0</v>
      </c>
      <c r="R29" s="160"/>
      <c r="S29" s="161">
        <f>SUM(S3:S28)</f>
        <v>0</v>
      </c>
      <c r="T29" s="162"/>
      <c r="U29" s="163">
        <f>SUM(U3:U28)</f>
        <v>47799.711108000003</v>
      </c>
      <c r="V29" s="9" t="str">
        <f t="shared" si="11"/>
        <v/>
      </c>
      <c r="W29" s="9" t="str">
        <f t="shared" si="12"/>
        <v/>
      </c>
      <c r="X29" s="9"/>
      <c r="Y29" s="9"/>
      <c r="Z29" s="9"/>
      <c r="AA29" s="9"/>
    </row>
    <row r="30" spans="1:27" ht="13.5" customHeight="1" x14ac:dyDescent="0.25">
      <c r="A30" s="371"/>
      <c r="B30" s="164" t="s">
        <v>57</v>
      </c>
      <c r="C30" s="165"/>
      <c r="D30" s="165"/>
      <c r="E30" s="164"/>
      <c r="F30" s="166"/>
      <c r="G30" s="166"/>
      <c r="H30" s="167"/>
      <c r="I30" s="167"/>
      <c r="J30" s="168"/>
      <c r="K30" s="164"/>
      <c r="L30" s="164"/>
      <c r="M30" s="164"/>
      <c r="N30" s="169"/>
      <c r="O30" s="170"/>
      <c r="P30" s="171"/>
      <c r="Q30" s="172"/>
      <c r="R30" s="173"/>
      <c r="S30" s="164"/>
      <c r="T30" s="164"/>
      <c r="U30" s="174"/>
      <c r="V30" s="9" t="str">
        <f t="shared" si="11"/>
        <v/>
      </c>
      <c r="W30" s="9" t="str">
        <f t="shared" si="12"/>
        <v/>
      </c>
      <c r="X30" s="9"/>
      <c r="Y30" s="9"/>
      <c r="Z30" s="9"/>
      <c r="AA30" s="9"/>
    </row>
    <row r="31" spans="1:27" ht="13.5" customHeight="1" outlineLevel="1" x14ac:dyDescent="0.25">
      <c r="A31" s="371"/>
      <c r="B31" s="53"/>
      <c r="C31" s="175">
        <v>0.01</v>
      </c>
      <c r="D31" s="176">
        <v>0.15</v>
      </c>
      <c r="E31" s="121">
        <v>4.8</v>
      </c>
      <c r="F31" s="112">
        <f t="shared" ref="F31:F57" si="22">C31*D31*E31</f>
        <v>7.1999999999999998E-3</v>
      </c>
      <c r="G31" s="112">
        <f t="shared" ref="G31:G57" si="23">D31*E31</f>
        <v>0.72</v>
      </c>
      <c r="H31" s="177">
        <v>488.69</v>
      </c>
      <c r="I31" s="114">
        <f>ROUND(H31*1.104,0)</f>
        <v>540</v>
      </c>
      <c r="J31" s="115">
        <f t="shared" ref="J31:J57" si="24">ROUND((I31*0.992)*1.21,0)*(C31*D31*E31)</f>
        <v>4.6655999999999995</v>
      </c>
      <c r="K31" s="116">
        <f t="shared" ref="K31:K57" si="25">J31/(D31*E31)</f>
        <v>6.4799999999999995</v>
      </c>
      <c r="L31" s="117">
        <f t="shared" ref="L31:L57" si="26">T31+R31-O31</f>
        <v>151</v>
      </c>
      <c r="M31" s="178">
        <f t="shared" ref="M31:M57" si="27">L31*F31</f>
        <v>1.0871999999999999</v>
      </c>
      <c r="N31" s="119">
        <f t="shared" ref="N31:N57" si="28">L31*G31</f>
        <v>108.72</v>
      </c>
      <c r="O31" s="179"/>
      <c r="P31" s="121" t="str">
        <f t="shared" ref="P31:P35" si="29">IF(O31="","",(O31*F31))</f>
        <v/>
      </c>
      <c r="Q31" s="122"/>
      <c r="R31" s="180"/>
      <c r="S31" s="121">
        <f t="shared" ref="S31:S57" si="30">R31*F31</f>
        <v>0</v>
      </c>
      <c r="T31" s="181">
        <v>151</v>
      </c>
      <c r="U31" s="125">
        <f t="shared" ref="U31:U57" si="31">J31*L31</f>
        <v>704.50559999999996</v>
      </c>
      <c r="V31" s="9" t="str">
        <f t="shared" si="11"/>
        <v/>
      </c>
      <c r="W31" s="9" t="str">
        <f t="shared" si="12"/>
        <v/>
      </c>
      <c r="X31" s="9"/>
      <c r="Y31" s="9"/>
      <c r="Z31" s="9"/>
      <c r="AA31" s="9"/>
    </row>
    <row r="32" spans="1:27" ht="13.5" customHeight="1" outlineLevel="1" x14ac:dyDescent="0.25">
      <c r="A32" s="371"/>
      <c r="B32" s="53"/>
      <c r="C32" s="175">
        <v>0.01</v>
      </c>
      <c r="D32" s="176">
        <v>0.15</v>
      </c>
      <c r="E32" s="121">
        <v>5.0999999999999996</v>
      </c>
      <c r="F32" s="112">
        <f t="shared" si="22"/>
        <v>7.6499999999999997E-3</v>
      </c>
      <c r="G32" s="112">
        <f t="shared" si="23"/>
        <v>0.7649999999999999</v>
      </c>
      <c r="H32" s="177">
        <v>488.69</v>
      </c>
      <c r="I32" s="114">
        <f>ROUND(H32*1.089,0)</f>
        <v>532</v>
      </c>
      <c r="J32" s="115">
        <f t="shared" si="24"/>
        <v>4.88835</v>
      </c>
      <c r="K32" s="116">
        <f t="shared" si="25"/>
        <v>6.3900000000000006</v>
      </c>
      <c r="L32" s="117">
        <f t="shared" si="26"/>
        <v>22</v>
      </c>
      <c r="M32" s="178">
        <f t="shared" si="27"/>
        <v>0.16830000000000001</v>
      </c>
      <c r="N32" s="119">
        <f t="shared" si="28"/>
        <v>16.829999999999998</v>
      </c>
      <c r="O32" s="182"/>
      <c r="P32" s="121" t="str">
        <f t="shared" si="29"/>
        <v/>
      </c>
      <c r="Q32" s="122"/>
      <c r="R32" s="180"/>
      <c r="S32" s="121">
        <f t="shared" si="30"/>
        <v>0</v>
      </c>
      <c r="T32" s="181">
        <v>22</v>
      </c>
      <c r="U32" s="125">
        <f t="shared" si="31"/>
        <v>107.5437</v>
      </c>
      <c r="V32" s="9" t="str">
        <f t="shared" si="11"/>
        <v/>
      </c>
      <c r="W32" s="9" t="str">
        <f t="shared" si="12"/>
        <v/>
      </c>
      <c r="X32" s="9"/>
      <c r="Y32" s="9"/>
      <c r="Z32" s="9"/>
      <c r="AA32" s="9"/>
    </row>
    <row r="33" spans="1:27" ht="13.5" customHeight="1" outlineLevel="1" x14ac:dyDescent="0.25">
      <c r="A33" s="371"/>
      <c r="B33" s="53"/>
      <c r="C33" s="54">
        <v>1.2E-2</v>
      </c>
      <c r="D33" s="55">
        <v>0.12</v>
      </c>
      <c r="E33" s="183">
        <v>4.5</v>
      </c>
      <c r="F33" s="112">
        <f t="shared" si="22"/>
        <v>6.4799999999999996E-3</v>
      </c>
      <c r="G33" s="112">
        <f t="shared" si="23"/>
        <v>0.54</v>
      </c>
      <c r="H33" s="177">
        <v>615</v>
      </c>
      <c r="I33" s="114">
        <f t="shared" ref="I33:I39" si="32">ROUND(H33*1.1667,0)</f>
        <v>718</v>
      </c>
      <c r="J33" s="115">
        <f t="shared" si="24"/>
        <v>5.5857599999999996</v>
      </c>
      <c r="K33" s="116">
        <f t="shared" si="25"/>
        <v>10.343999999999999</v>
      </c>
      <c r="L33" s="117">
        <f t="shared" si="26"/>
        <v>616</v>
      </c>
      <c r="M33" s="178">
        <f t="shared" si="27"/>
        <v>3.9916799999999997</v>
      </c>
      <c r="N33" s="119">
        <f t="shared" si="28"/>
        <v>332.64000000000004</v>
      </c>
      <c r="O33" s="179"/>
      <c r="P33" s="121" t="str">
        <f t="shared" si="29"/>
        <v/>
      </c>
      <c r="Q33" s="122"/>
      <c r="R33" s="180"/>
      <c r="S33" s="121">
        <f t="shared" si="30"/>
        <v>0</v>
      </c>
      <c r="T33" s="181">
        <v>616</v>
      </c>
      <c r="U33" s="125">
        <f t="shared" si="31"/>
        <v>3440.8281599999996</v>
      </c>
      <c r="V33" s="9" t="str">
        <f t="shared" si="11"/>
        <v/>
      </c>
      <c r="W33" s="9" t="str">
        <f t="shared" si="12"/>
        <v/>
      </c>
      <c r="X33" s="9"/>
      <c r="Y33" s="9"/>
      <c r="Z33" s="9"/>
      <c r="AA33" s="9"/>
    </row>
    <row r="34" spans="1:27" ht="13.5" customHeight="1" outlineLevel="1" x14ac:dyDescent="0.25">
      <c r="A34" s="371"/>
      <c r="B34" s="53"/>
      <c r="C34" s="54">
        <v>1.4E-2</v>
      </c>
      <c r="D34" s="55">
        <v>0.09</v>
      </c>
      <c r="E34" s="56">
        <v>2.4</v>
      </c>
      <c r="F34" s="112">
        <f t="shared" si="22"/>
        <v>3.0240000000000002E-3</v>
      </c>
      <c r="G34" s="112">
        <f t="shared" si="23"/>
        <v>0.216</v>
      </c>
      <c r="H34" s="177">
        <v>456.57</v>
      </c>
      <c r="I34" s="114">
        <f t="shared" si="32"/>
        <v>533</v>
      </c>
      <c r="J34" s="115">
        <f t="shared" si="24"/>
        <v>1.9353600000000002</v>
      </c>
      <c r="K34" s="116">
        <f t="shared" si="25"/>
        <v>8.9600000000000009</v>
      </c>
      <c r="L34" s="117">
        <f t="shared" si="26"/>
        <v>99</v>
      </c>
      <c r="M34" s="178">
        <f t="shared" si="27"/>
        <v>0.29937600000000003</v>
      </c>
      <c r="N34" s="119">
        <f t="shared" si="28"/>
        <v>21.384</v>
      </c>
      <c r="O34" s="179"/>
      <c r="P34" s="121" t="str">
        <f t="shared" si="29"/>
        <v/>
      </c>
      <c r="Q34" s="122"/>
      <c r="R34" s="180"/>
      <c r="S34" s="121">
        <f t="shared" si="30"/>
        <v>0</v>
      </c>
      <c r="T34" s="181">
        <v>99</v>
      </c>
      <c r="U34" s="125">
        <f t="shared" si="31"/>
        <v>191.60064000000003</v>
      </c>
      <c r="V34" s="9" t="str">
        <f t="shared" si="11"/>
        <v/>
      </c>
      <c r="W34" s="9" t="str">
        <f t="shared" si="12"/>
        <v/>
      </c>
      <c r="X34" s="9"/>
      <c r="Y34" s="9"/>
      <c r="Z34" s="9"/>
      <c r="AA34" s="9"/>
    </row>
    <row r="35" spans="1:27" ht="13.5" customHeight="1" outlineLevel="1" x14ac:dyDescent="0.25">
      <c r="A35" s="371"/>
      <c r="B35" s="53" t="s">
        <v>58</v>
      </c>
      <c r="C35" s="54">
        <v>1.4E-2</v>
      </c>
      <c r="D35" s="55">
        <v>0.121</v>
      </c>
      <c r="E35" s="56">
        <v>4.8</v>
      </c>
      <c r="F35" s="112">
        <f t="shared" si="22"/>
        <v>8.1311999999999999E-3</v>
      </c>
      <c r="G35" s="112">
        <f t="shared" si="23"/>
        <v>0.58079999999999998</v>
      </c>
      <c r="H35" s="177">
        <v>445</v>
      </c>
      <c r="I35" s="114">
        <f t="shared" si="32"/>
        <v>519</v>
      </c>
      <c r="J35" s="115">
        <f t="shared" si="24"/>
        <v>5.0657376000000003</v>
      </c>
      <c r="K35" s="116">
        <f t="shared" si="25"/>
        <v>8.7220000000000013</v>
      </c>
      <c r="L35" s="117">
        <f t="shared" si="26"/>
        <v>58</v>
      </c>
      <c r="M35" s="178">
        <f t="shared" si="27"/>
        <v>0.47160960000000002</v>
      </c>
      <c r="N35" s="119">
        <f t="shared" si="28"/>
        <v>33.686399999999999</v>
      </c>
      <c r="O35" s="179"/>
      <c r="P35" s="121" t="str">
        <f t="shared" si="29"/>
        <v/>
      </c>
      <c r="Q35" s="122"/>
      <c r="R35" s="180"/>
      <c r="S35" s="121">
        <f t="shared" si="30"/>
        <v>0</v>
      </c>
      <c r="T35" s="181">
        <v>58</v>
      </c>
      <c r="U35" s="125">
        <f t="shared" si="31"/>
        <v>293.81278080000004</v>
      </c>
      <c r="V35" s="9" t="str">
        <f t="shared" si="11"/>
        <v/>
      </c>
      <c r="W35" s="9" t="str">
        <f t="shared" si="12"/>
        <v/>
      </c>
      <c r="X35" s="9"/>
      <c r="Y35" s="9"/>
      <c r="Z35" s="9"/>
      <c r="AA35" s="9"/>
    </row>
    <row r="36" spans="1:27" ht="13.5" customHeight="1" outlineLevel="1" x14ac:dyDescent="0.25">
      <c r="A36" s="371"/>
      <c r="B36" s="53" t="s">
        <v>59</v>
      </c>
      <c r="C36" s="54">
        <v>1.4E-2</v>
      </c>
      <c r="D36" s="55">
        <v>0.121</v>
      </c>
      <c r="E36" s="56">
        <v>4.8</v>
      </c>
      <c r="F36" s="112">
        <f t="shared" si="22"/>
        <v>8.1311999999999999E-3</v>
      </c>
      <c r="G36" s="112">
        <f t="shared" si="23"/>
        <v>0.58079999999999998</v>
      </c>
      <c r="H36" s="177">
        <v>445</v>
      </c>
      <c r="I36" s="114">
        <f t="shared" si="32"/>
        <v>519</v>
      </c>
      <c r="J36" s="115">
        <f t="shared" si="24"/>
        <v>5.0657376000000003</v>
      </c>
      <c r="K36" s="116">
        <f t="shared" si="25"/>
        <v>8.7220000000000013</v>
      </c>
      <c r="L36" s="117">
        <f t="shared" si="26"/>
        <v>257</v>
      </c>
      <c r="M36" s="178">
        <f t="shared" si="27"/>
        <v>2.0897183999999998</v>
      </c>
      <c r="N36" s="119">
        <f t="shared" si="28"/>
        <v>149.26560000000001</v>
      </c>
      <c r="O36" s="179"/>
      <c r="P36" s="121"/>
      <c r="Q36" s="122"/>
      <c r="R36" s="180"/>
      <c r="S36" s="121">
        <f t="shared" si="30"/>
        <v>0</v>
      </c>
      <c r="T36" s="181">
        <v>257</v>
      </c>
      <c r="U36" s="125">
        <f t="shared" si="31"/>
        <v>1301.8945632</v>
      </c>
      <c r="V36" s="9" t="str">
        <f t="shared" si="11"/>
        <v/>
      </c>
      <c r="W36" s="9" t="str">
        <f t="shared" si="12"/>
        <v/>
      </c>
      <c r="X36" s="9"/>
      <c r="Y36" s="9"/>
      <c r="Z36" s="9"/>
      <c r="AA36" s="9"/>
    </row>
    <row r="37" spans="1:27" ht="13.5" customHeight="1" outlineLevel="1" x14ac:dyDescent="0.25">
      <c r="A37" s="371"/>
      <c r="B37" s="53"/>
      <c r="C37" s="184">
        <v>1.7999999999999999E-2</v>
      </c>
      <c r="D37" s="55">
        <v>0.12</v>
      </c>
      <c r="E37" s="56">
        <v>4.5</v>
      </c>
      <c r="F37" s="112">
        <f t="shared" si="22"/>
        <v>9.7199999999999977E-3</v>
      </c>
      <c r="G37" s="112">
        <f t="shared" si="23"/>
        <v>0.54</v>
      </c>
      <c r="H37" s="177">
        <v>450</v>
      </c>
      <c r="I37" s="114">
        <f t="shared" si="32"/>
        <v>525</v>
      </c>
      <c r="J37" s="115">
        <f t="shared" si="24"/>
        <v>6.1235999999999988</v>
      </c>
      <c r="K37" s="116">
        <f t="shared" si="25"/>
        <v>11.339999999999996</v>
      </c>
      <c r="L37" s="117">
        <f t="shared" si="26"/>
        <v>59</v>
      </c>
      <c r="M37" s="178">
        <f t="shared" si="27"/>
        <v>0.57347999999999988</v>
      </c>
      <c r="N37" s="119">
        <f t="shared" si="28"/>
        <v>31.860000000000003</v>
      </c>
      <c r="O37" s="179"/>
      <c r="P37" s="121" t="str">
        <f t="shared" ref="P37:P57" si="33">IF(O37="","",(O37*F37))</f>
        <v/>
      </c>
      <c r="Q37" s="122"/>
      <c r="R37" s="180"/>
      <c r="S37" s="121">
        <f t="shared" si="30"/>
        <v>0</v>
      </c>
      <c r="T37" s="181">
        <v>59</v>
      </c>
      <c r="U37" s="125">
        <f t="shared" si="31"/>
        <v>361.29239999999993</v>
      </c>
      <c r="V37" s="9" t="str">
        <f t="shared" si="11"/>
        <v/>
      </c>
      <c r="W37" s="9" t="str">
        <f t="shared" si="12"/>
        <v/>
      </c>
      <c r="X37" s="9"/>
      <c r="Y37" s="9"/>
      <c r="Z37" s="9"/>
      <c r="AA37" s="9"/>
    </row>
    <row r="38" spans="1:27" ht="13.5" customHeight="1" outlineLevel="1" x14ac:dyDescent="0.25">
      <c r="A38" s="371"/>
      <c r="B38" s="53"/>
      <c r="C38" s="54">
        <v>1.7999999999999999E-2</v>
      </c>
      <c r="D38" s="55">
        <v>0.121</v>
      </c>
      <c r="E38" s="56">
        <v>3.9</v>
      </c>
      <c r="F38" s="112">
        <f t="shared" si="22"/>
        <v>8.4941999999999986E-3</v>
      </c>
      <c r="G38" s="112">
        <f t="shared" si="23"/>
        <v>0.47189999999999999</v>
      </c>
      <c r="H38" s="177">
        <v>477.5</v>
      </c>
      <c r="I38" s="114">
        <f t="shared" si="32"/>
        <v>557</v>
      </c>
      <c r="J38" s="115">
        <f t="shared" si="24"/>
        <v>5.6826197999999994</v>
      </c>
      <c r="K38" s="116">
        <f t="shared" si="25"/>
        <v>12.042</v>
      </c>
      <c r="L38" s="117">
        <f t="shared" si="26"/>
        <v>148</v>
      </c>
      <c r="M38" s="178">
        <f t="shared" si="27"/>
        <v>1.2571415999999997</v>
      </c>
      <c r="N38" s="119">
        <f t="shared" si="28"/>
        <v>69.841200000000001</v>
      </c>
      <c r="O38" s="182"/>
      <c r="P38" s="121" t="str">
        <f t="shared" si="33"/>
        <v/>
      </c>
      <c r="Q38" s="122"/>
      <c r="R38" s="180"/>
      <c r="S38" s="121">
        <f t="shared" si="30"/>
        <v>0</v>
      </c>
      <c r="T38" s="181">
        <v>148</v>
      </c>
      <c r="U38" s="125">
        <f t="shared" si="31"/>
        <v>841.02773039999988</v>
      </c>
      <c r="V38" s="9" t="str">
        <f t="shared" si="11"/>
        <v/>
      </c>
      <c r="W38" s="9" t="str">
        <f t="shared" si="12"/>
        <v/>
      </c>
      <c r="X38" s="9"/>
      <c r="Y38" s="9"/>
      <c r="Z38" s="9"/>
      <c r="AA38" s="9"/>
    </row>
    <row r="39" spans="1:27" ht="13.5" customHeight="1" outlineLevel="1" x14ac:dyDescent="0.25">
      <c r="A39" s="371"/>
      <c r="B39" s="53"/>
      <c r="C39" s="175">
        <v>1.7999999999999999E-2</v>
      </c>
      <c r="D39" s="176">
        <v>0.14499999999999999</v>
      </c>
      <c r="E39" s="121">
        <v>3</v>
      </c>
      <c r="F39" s="112">
        <f t="shared" si="22"/>
        <v>7.8299999999999984E-3</v>
      </c>
      <c r="G39" s="112">
        <f t="shared" si="23"/>
        <v>0.43499999999999994</v>
      </c>
      <c r="H39" s="177">
        <v>340</v>
      </c>
      <c r="I39" s="114">
        <f t="shared" si="32"/>
        <v>397</v>
      </c>
      <c r="J39" s="115">
        <f t="shared" si="24"/>
        <v>3.7349099999999993</v>
      </c>
      <c r="K39" s="116">
        <f t="shared" si="25"/>
        <v>8.5860000000000003</v>
      </c>
      <c r="L39" s="117">
        <f t="shared" si="26"/>
        <v>0</v>
      </c>
      <c r="M39" s="178">
        <f t="shared" si="27"/>
        <v>0</v>
      </c>
      <c r="N39" s="146">
        <f t="shared" si="28"/>
        <v>0</v>
      </c>
      <c r="O39" s="179"/>
      <c r="P39" s="121" t="str">
        <f t="shared" si="33"/>
        <v/>
      </c>
      <c r="Q39" s="122"/>
      <c r="R39" s="180"/>
      <c r="S39" s="121">
        <f t="shared" si="30"/>
        <v>0</v>
      </c>
      <c r="T39" s="181">
        <v>0</v>
      </c>
      <c r="U39" s="125">
        <f t="shared" si="31"/>
        <v>0</v>
      </c>
      <c r="V39" s="9" t="str">
        <f t="shared" si="11"/>
        <v/>
      </c>
      <c r="W39" s="9" t="str">
        <f t="shared" si="12"/>
        <v/>
      </c>
      <c r="X39" s="185"/>
      <c r="Y39" s="9"/>
      <c r="Z39" s="9"/>
      <c r="AA39" s="9"/>
    </row>
    <row r="40" spans="1:27" ht="13.5" customHeight="1" outlineLevel="1" x14ac:dyDescent="0.25">
      <c r="A40" s="371"/>
      <c r="B40" s="53" t="s">
        <v>60</v>
      </c>
      <c r="C40" s="54">
        <v>1.7999999999999999E-2</v>
      </c>
      <c r="D40" s="55">
        <v>0.14499999999999999</v>
      </c>
      <c r="E40" s="56">
        <v>6</v>
      </c>
      <c r="F40" s="112">
        <f t="shared" si="22"/>
        <v>1.5659999999999997E-2</v>
      </c>
      <c r="G40" s="112">
        <f t="shared" si="23"/>
        <v>0.86999999999999988</v>
      </c>
      <c r="H40" s="177">
        <v>427.02</v>
      </c>
      <c r="I40" s="114">
        <f t="shared" ref="I40:I41" si="34">ROUND(H40*1.063,0)</f>
        <v>454</v>
      </c>
      <c r="J40" s="115">
        <f t="shared" si="24"/>
        <v>8.5346999999999991</v>
      </c>
      <c r="K40" s="116">
        <f t="shared" si="25"/>
        <v>9.81</v>
      </c>
      <c r="L40" s="117">
        <f t="shared" si="26"/>
        <v>618</v>
      </c>
      <c r="M40" s="178">
        <f t="shared" si="27"/>
        <v>9.6778799999999983</v>
      </c>
      <c r="N40" s="119">
        <f t="shared" si="28"/>
        <v>537.66</v>
      </c>
      <c r="O40" s="182"/>
      <c r="P40" s="121" t="str">
        <f t="shared" si="33"/>
        <v/>
      </c>
      <c r="Q40" s="122"/>
      <c r="R40" s="180"/>
      <c r="S40" s="121">
        <f t="shared" si="30"/>
        <v>0</v>
      </c>
      <c r="T40" s="181">
        <v>618</v>
      </c>
      <c r="U40" s="125">
        <f t="shared" si="31"/>
        <v>5274.4445999999998</v>
      </c>
      <c r="V40" s="9" t="str">
        <f t="shared" si="11"/>
        <v/>
      </c>
      <c r="W40" s="9" t="str">
        <f t="shared" si="12"/>
        <v/>
      </c>
      <c r="X40" s="9"/>
      <c r="Y40" s="9"/>
      <c r="Z40" s="9"/>
      <c r="AA40" s="9"/>
    </row>
    <row r="41" spans="1:27" ht="13.5" customHeight="1" outlineLevel="1" x14ac:dyDescent="0.25">
      <c r="A41" s="371"/>
      <c r="B41" s="53" t="s">
        <v>30</v>
      </c>
      <c r="C41" s="54">
        <v>1.7999999999999999E-2</v>
      </c>
      <c r="D41" s="55">
        <v>0.14499999999999999</v>
      </c>
      <c r="E41" s="56">
        <v>6</v>
      </c>
      <c r="F41" s="112">
        <f t="shared" si="22"/>
        <v>1.5659999999999997E-2</v>
      </c>
      <c r="G41" s="112">
        <f t="shared" si="23"/>
        <v>0.86999999999999988</v>
      </c>
      <c r="H41" s="177">
        <v>427.02</v>
      </c>
      <c r="I41" s="114">
        <f t="shared" si="34"/>
        <v>454</v>
      </c>
      <c r="J41" s="115">
        <f t="shared" si="24"/>
        <v>8.5346999999999991</v>
      </c>
      <c r="K41" s="116">
        <f t="shared" si="25"/>
        <v>9.81</v>
      </c>
      <c r="L41" s="117">
        <f t="shared" si="26"/>
        <v>36</v>
      </c>
      <c r="M41" s="178">
        <f t="shared" si="27"/>
        <v>0.56375999999999993</v>
      </c>
      <c r="N41" s="119">
        <f t="shared" si="28"/>
        <v>31.319999999999997</v>
      </c>
      <c r="O41" s="182"/>
      <c r="P41" s="121" t="str">
        <f t="shared" si="33"/>
        <v/>
      </c>
      <c r="Q41" s="122"/>
      <c r="R41" s="180"/>
      <c r="S41" s="121">
        <f t="shared" si="30"/>
        <v>0</v>
      </c>
      <c r="T41" s="181">
        <v>36</v>
      </c>
      <c r="U41" s="125">
        <f t="shared" si="31"/>
        <v>307.24919999999997</v>
      </c>
      <c r="V41" s="9" t="str">
        <f t="shared" si="11"/>
        <v/>
      </c>
      <c r="W41" s="9" t="str">
        <f t="shared" si="12"/>
        <v/>
      </c>
      <c r="X41" s="9"/>
      <c r="Y41" s="9"/>
      <c r="Z41" s="9"/>
      <c r="AA41" s="9"/>
    </row>
    <row r="42" spans="1:27" ht="13.5" customHeight="1" outlineLevel="1" x14ac:dyDescent="0.25">
      <c r="A42" s="371"/>
      <c r="B42" s="53"/>
      <c r="C42" s="175">
        <v>1.9E-2</v>
      </c>
      <c r="D42" s="176">
        <v>0.14599999999999999</v>
      </c>
      <c r="E42" s="121">
        <v>4.8</v>
      </c>
      <c r="F42" s="112">
        <f t="shared" si="22"/>
        <v>1.3315199999999998E-2</v>
      </c>
      <c r="G42" s="112">
        <f t="shared" si="23"/>
        <v>0.70079999999999998</v>
      </c>
      <c r="H42" s="177">
        <v>415</v>
      </c>
      <c r="I42" s="114">
        <f>ROUND(H42*1.1667,0)</f>
        <v>484</v>
      </c>
      <c r="J42" s="115">
        <f t="shared" si="24"/>
        <v>7.7361311999999982</v>
      </c>
      <c r="K42" s="116">
        <f t="shared" si="25"/>
        <v>11.038999999999998</v>
      </c>
      <c r="L42" s="117">
        <f t="shared" si="26"/>
        <v>210</v>
      </c>
      <c r="M42" s="178">
        <f t="shared" si="27"/>
        <v>2.7961919999999996</v>
      </c>
      <c r="N42" s="119">
        <f t="shared" si="28"/>
        <v>147.16800000000001</v>
      </c>
      <c r="O42" s="179"/>
      <c r="P42" s="121" t="str">
        <f t="shared" si="33"/>
        <v/>
      </c>
      <c r="Q42" s="122"/>
      <c r="R42" s="180"/>
      <c r="S42" s="121">
        <f t="shared" si="30"/>
        <v>0</v>
      </c>
      <c r="T42" s="181">
        <v>210</v>
      </c>
      <c r="U42" s="125">
        <f t="shared" si="31"/>
        <v>1624.5875519999997</v>
      </c>
      <c r="V42" s="9" t="str">
        <f t="shared" si="11"/>
        <v/>
      </c>
      <c r="W42" s="9" t="str">
        <f t="shared" si="12"/>
        <v/>
      </c>
      <c r="X42" s="9"/>
      <c r="Y42" s="9"/>
      <c r="Z42" s="9"/>
      <c r="AA42" s="9"/>
    </row>
    <row r="43" spans="1:27" ht="13.5" customHeight="1" outlineLevel="1" x14ac:dyDescent="0.25">
      <c r="A43" s="371"/>
      <c r="B43" s="53"/>
      <c r="C43" s="54">
        <v>0.02</v>
      </c>
      <c r="D43" s="55">
        <v>9.5000000000000001E-2</v>
      </c>
      <c r="E43" s="56">
        <v>4.8</v>
      </c>
      <c r="F43" s="112">
        <f t="shared" si="22"/>
        <v>9.1199999999999996E-3</v>
      </c>
      <c r="G43" s="112">
        <f t="shared" si="23"/>
        <v>0.45599999999999996</v>
      </c>
      <c r="H43" s="177">
        <v>425.18</v>
      </c>
      <c r="I43" s="114">
        <f>ROUND(H43*1.05,0)</f>
        <v>446</v>
      </c>
      <c r="J43" s="115">
        <f t="shared" si="24"/>
        <v>4.8792</v>
      </c>
      <c r="K43" s="116">
        <f t="shared" si="25"/>
        <v>10.700000000000001</v>
      </c>
      <c r="L43" s="117">
        <f t="shared" si="26"/>
        <v>120</v>
      </c>
      <c r="M43" s="178">
        <f t="shared" si="27"/>
        <v>1.0944</v>
      </c>
      <c r="N43" s="119">
        <f t="shared" si="28"/>
        <v>54.72</v>
      </c>
      <c r="O43" s="182"/>
      <c r="P43" s="121" t="str">
        <f t="shared" si="33"/>
        <v/>
      </c>
      <c r="Q43" s="122"/>
      <c r="R43" s="180"/>
      <c r="S43" s="121">
        <f t="shared" si="30"/>
        <v>0</v>
      </c>
      <c r="T43" s="181">
        <v>120</v>
      </c>
      <c r="U43" s="125">
        <f t="shared" si="31"/>
        <v>585.50400000000002</v>
      </c>
      <c r="V43" s="9" t="str">
        <f t="shared" si="11"/>
        <v/>
      </c>
      <c r="W43" s="9" t="str">
        <f t="shared" si="12"/>
        <v/>
      </c>
      <c r="X43" s="9"/>
      <c r="Y43" s="9"/>
      <c r="Z43" s="9"/>
      <c r="AA43" s="9"/>
    </row>
    <row r="44" spans="1:27" ht="13.5" customHeight="1" outlineLevel="1" x14ac:dyDescent="0.25">
      <c r="A44" s="371"/>
      <c r="B44" s="53"/>
      <c r="C44" s="54">
        <v>0.02</v>
      </c>
      <c r="D44" s="55">
        <v>9.5000000000000001E-2</v>
      </c>
      <c r="E44" s="56">
        <v>6</v>
      </c>
      <c r="F44" s="112">
        <f t="shared" si="22"/>
        <v>1.14E-2</v>
      </c>
      <c r="G44" s="112">
        <f t="shared" si="23"/>
        <v>0.57000000000000006</v>
      </c>
      <c r="H44" s="177">
        <v>425.18</v>
      </c>
      <c r="I44" s="114">
        <f>ROUND(H44*1.07,0)</f>
        <v>455</v>
      </c>
      <c r="J44" s="115">
        <f t="shared" si="24"/>
        <v>6.2244000000000002</v>
      </c>
      <c r="K44" s="116">
        <f t="shared" si="25"/>
        <v>10.92</v>
      </c>
      <c r="L44" s="117">
        <f t="shared" si="26"/>
        <v>26</v>
      </c>
      <c r="M44" s="178">
        <f t="shared" si="27"/>
        <v>0.2964</v>
      </c>
      <c r="N44" s="146">
        <f t="shared" si="28"/>
        <v>14.820000000000002</v>
      </c>
      <c r="O44" s="179"/>
      <c r="P44" s="121" t="str">
        <f t="shared" si="33"/>
        <v/>
      </c>
      <c r="Q44" s="122"/>
      <c r="R44" s="180"/>
      <c r="S44" s="121">
        <f t="shared" si="30"/>
        <v>0</v>
      </c>
      <c r="T44" s="181">
        <v>26</v>
      </c>
      <c r="U44" s="125">
        <f t="shared" si="31"/>
        <v>161.83440000000002</v>
      </c>
      <c r="V44" s="9" t="str">
        <f t="shared" si="11"/>
        <v/>
      </c>
      <c r="W44" s="9" t="str">
        <f t="shared" si="12"/>
        <v/>
      </c>
      <c r="X44" s="9"/>
      <c r="Y44" s="9"/>
      <c r="Z44" s="9"/>
      <c r="AA44" s="9"/>
    </row>
    <row r="45" spans="1:27" ht="13.5" customHeight="1" outlineLevel="1" x14ac:dyDescent="0.25">
      <c r="A45" s="371"/>
      <c r="B45" s="53"/>
      <c r="C45" s="54">
        <v>0.02</v>
      </c>
      <c r="D45" s="55">
        <v>0.1</v>
      </c>
      <c r="E45" s="56">
        <v>4</v>
      </c>
      <c r="F45" s="112">
        <f t="shared" si="22"/>
        <v>8.0000000000000002E-3</v>
      </c>
      <c r="G45" s="112">
        <f t="shared" si="23"/>
        <v>0.4</v>
      </c>
      <c r="H45" s="177">
        <v>424.32</v>
      </c>
      <c r="I45" s="114">
        <f>ROUND(H45*1.1667,0)</f>
        <v>495</v>
      </c>
      <c r="J45" s="115">
        <f t="shared" si="24"/>
        <v>4.7519999999999998</v>
      </c>
      <c r="K45" s="116">
        <f t="shared" si="25"/>
        <v>11.879999999999999</v>
      </c>
      <c r="L45" s="117">
        <f t="shared" si="26"/>
        <v>162</v>
      </c>
      <c r="M45" s="178">
        <f t="shared" si="27"/>
        <v>1.296</v>
      </c>
      <c r="N45" s="119">
        <f t="shared" si="28"/>
        <v>64.8</v>
      </c>
      <c r="O45" s="182"/>
      <c r="P45" s="121" t="str">
        <f t="shared" si="33"/>
        <v/>
      </c>
      <c r="Q45" s="122"/>
      <c r="R45" s="180"/>
      <c r="S45" s="121">
        <f t="shared" si="30"/>
        <v>0</v>
      </c>
      <c r="T45" s="181">
        <v>162</v>
      </c>
      <c r="U45" s="125">
        <f t="shared" si="31"/>
        <v>769.82399999999996</v>
      </c>
      <c r="V45" s="9" t="str">
        <f t="shared" si="11"/>
        <v/>
      </c>
      <c r="W45" s="9" t="str">
        <f t="shared" si="12"/>
        <v/>
      </c>
      <c r="X45" s="9"/>
      <c r="Y45" s="9"/>
      <c r="Z45" s="9"/>
      <c r="AA45" s="9"/>
    </row>
    <row r="46" spans="1:27" ht="13.5" customHeight="1" outlineLevel="1" x14ac:dyDescent="0.25">
      <c r="A46" s="371"/>
      <c r="B46" s="53"/>
      <c r="C46" s="54">
        <v>0.02</v>
      </c>
      <c r="D46" s="55">
        <v>0.115</v>
      </c>
      <c r="E46" s="56">
        <v>3</v>
      </c>
      <c r="F46" s="112">
        <f t="shared" si="22"/>
        <v>6.8999999999999999E-3</v>
      </c>
      <c r="G46" s="112">
        <f t="shared" si="23"/>
        <v>0.34500000000000003</v>
      </c>
      <c r="H46" s="177">
        <v>422.19</v>
      </c>
      <c r="I46" s="114">
        <f>ROUND(H46*1.1,0)</f>
        <v>464</v>
      </c>
      <c r="J46" s="115">
        <f t="shared" si="24"/>
        <v>3.8432999999999997</v>
      </c>
      <c r="K46" s="116">
        <f t="shared" si="25"/>
        <v>11.139999999999999</v>
      </c>
      <c r="L46" s="117">
        <f t="shared" si="26"/>
        <v>249</v>
      </c>
      <c r="M46" s="178">
        <f t="shared" si="27"/>
        <v>1.7181</v>
      </c>
      <c r="N46" s="119">
        <f t="shared" si="28"/>
        <v>85.905000000000001</v>
      </c>
      <c r="O46" s="182"/>
      <c r="P46" s="121" t="str">
        <f t="shared" si="33"/>
        <v/>
      </c>
      <c r="Q46" s="122"/>
      <c r="R46" s="180"/>
      <c r="S46" s="121">
        <f t="shared" si="30"/>
        <v>0</v>
      </c>
      <c r="T46" s="181">
        <v>249</v>
      </c>
      <c r="U46" s="125">
        <f t="shared" si="31"/>
        <v>956.98169999999993</v>
      </c>
      <c r="V46" s="9" t="str">
        <f t="shared" si="11"/>
        <v/>
      </c>
      <c r="W46" s="9" t="str">
        <f t="shared" si="12"/>
        <v/>
      </c>
      <c r="X46" s="9"/>
      <c r="Y46" s="9"/>
      <c r="Z46" s="9"/>
      <c r="AA46" s="9"/>
    </row>
    <row r="47" spans="1:27" ht="13.5" customHeight="1" outlineLevel="1" x14ac:dyDescent="0.25">
      <c r="A47" s="371"/>
      <c r="B47" s="53"/>
      <c r="C47" s="175">
        <v>0.02</v>
      </c>
      <c r="D47" s="176">
        <v>0.14499999999999999</v>
      </c>
      <c r="E47" s="121">
        <v>4.8</v>
      </c>
      <c r="F47" s="112">
        <f t="shared" si="22"/>
        <v>1.3919999999999998E-2</v>
      </c>
      <c r="G47" s="112">
        <f t="shared" si="23"/>
        <v>0.69599999999999995</v>
      </c>
      <c r="H47" s="177">
        <v>419.26</v>
      </c>
      <c r="I47" s="114">
        <f>ROUND(H47*1.08,0)</f>
        <v>453</v>
      </c>
      <c r="J47" s="115">
        <f t="shared" si="24"/>
        <v>7.5724799999999988</v>
      </c>
      <c r="K47" s="116">
        <f t="shared" si="25"/>
        <v>10.879999999999999</v>
      </c>
      <c r="L47" s="117">
        <f t="shared" si="26"/>
        <v>15</v>
      </c>
      <c r="M47" s="178">
        <f t="shared" si="27"/>
        <v>0.20879999999999999</v>
      </c>
      <c r="N47" s="146">
        <f t="shared" si="28"/>
        <v>10.44</v>
      </c>
      <c r="O47" s="179"/>
      <c r="P47" s="121" t="str">
        <f t="shared" si="33"/>
        <v/>
      </c>
      <c r="Q47" s="122"/>
      <c r="R47" s="180"/>
      <c r="S47" s="121">
        <f t="shared" si="30"/>
        <v>0</v>
      </c>
      <c r="T47" s="181">
        <v>15</v>
      </c>
      <c r="U47" s="125">
        <f t="shared" si="31"/>
        <v>113.58719999999998</v>
      </c>
      <c r="V47" s="9" t="str">
        <f t="shared" si="11"/>
        <v/>
      </c>
      <c r="W47" s="9" t="str">
        <f t="shared" si="12"/>
        <v/>
      </c>
      <c r="X47" s="9"/>
      <c r="Y47" s="9"/>
      <c r="Z47" s="9"/>
      <c r="AA47" s="9"/>
    </row>
    <row r="48" spans="1:27" ht="13.5" customHeight="1" outlineLevel="1" x14ac:dyDescent="0.25">
      <c r="A48" s="371"/>
      <c r="B48" s="53"/>
      <c r="C48" s="54">
        <v>0.02</v>
      </c>
      <c r="D48" s="55">
        <v>0.17499999999999999</v>
      </c>
      <c r="E48" s="56">
        <v>3</v>
      </c>
      <c r="F48" s="112">
        <f t="shared" si="22"/>
        <v>1.0499999999999999E-2</v>
      </c>
      <c r="G48" s="112">
        <f t="shared" si="23"/>
        <v>0.52499999999999991</v>
      </c>
      <c r="H48" s="177">
        <v>417.33</v>
      </c>
      <c r="I48" s="114">
        <f>ROUND(H48*1.07,0)</f>
        <v>447</v>
      </c>
      <c r="J48" s="115">
        <f t="shared" si="24"/>
        <v>5.6384999999999996</v>
      </c>
      <c r="K48" s="116">
        <f t="shared" si="25"/>
        <v>10.74</v>
      </c>
      <c r="L48" s="117">
        <f t="shared" si="26"/>
        <v>198</v>
      </c>
      <c r="M48" s="178">
        <f t="shared" si="27"/>
        <v>2.0789999999999997</v>
      </c>
      <c r="N48" s="119">
        <f t="shared" si="28"/>
        <v>103.94999999999999</v>
      </c>
      <c r="O48" s="182"/>
      <c r="P48" s="121" t="str">
        <f t="shared" si="33"/>
        <v/>
      </c>
      <c r="Q48" s="122"/>
      <c r="R48" s="180"/>
      <c r="S48" s="121">
        <f t="shared" si="30"/>
        <v>0</v>
      </c>
      <c r="T48" s="181">
        <v>198</v>
      </c>
      <c r="U48" s="125">
        <f t="shared" si="31"/>
        <v>1116.423</v>
      </c>
      <c r="V48" s="9" t="str">
        <f t="shared" si="11"/>
        <v/>
      </c>
      <c r="W48" s="9" t="str">
        <f t="shared" si="12"/>
        <v/>
      </c>
      <c r="X48" s="9"/>
      <c r="Y48" s="9"/>
      <c r="Z48" s="9"/>
      <c r="AA48" s="9"/>
    </row>
    <row r="49" spans="1:27" ht="13.5" customHeight="1" outlineLevel="1" x14ac:dyDescent="0.25">
      <c r="A49" s="371"/>
      <c r="B49" s="53" t="s">
        <v>61</v>
      </c>
      <c r="C49" s="54">
        <v>2.1000000000000001E-2</v>
      </c>
      <c r="D49" s="55">
        <v>0.12</v>
      </c>
      <c r="E49" s="56">
        <v>4.2</v>
      </c>
      <c r="F49" s="112">
        <f t="shared" si="22"/>
        <v>1.0584000000000001E-2</v>
      </c>
      <c r="G49" s="112">
        <f t="shared" si="23"/>
        <v>0.504</v>
      </c>
      <c r="H49" s="177">
        <v>385</v>
      </c>
      <c r="I49" s="114">
        <f t="shared" ref="I49:I51" si="35">ROUND(H49*1.1667,0)</f>
        <v>449</v>
      </c>
      <c r="J49" s="115">
        <f t="shared" si="24"/>
        <v>5.7047760000000007</v>
      </c>
      <c r="K49" s="116">
        <f t="shared" si="25"/>
        <v>11.319000000000001</v>
      </c>
      <c r="L49" s="117">
        <f t="shared" si="26"/>
        <v>296</v>
      </c>
      <c r="M49" s="178">
        <f t="shared" si="27"/>
        <v>3.1328640000000005</v>
      </c>
      <c r="N49" s="119">
        <f t="shared" si="28"/>
        <v>149.184</v>
      </c>
      <c r="O49" s="179"/>
      <c r="P49" s="121" t="str">
        <f t="shared" si="33"/>
        <v/>
      </c>
      <c r="Q49" s="122"/>
      <c r="R49" s="180"/>
      <c r="S49" s="121">
        <f t="shared" si="30"/>
        <v>0</v>
      </c>
      <c r="T49" s="181">
        <v>296</v>
      </c>
      <c r="U49" s="125">
        <f t="shared" si="31"/>
        <v>1688.6136960000001</v>
      </c>
      <c r="V49" s="9" t="str">
        <f t="shared" si="11"/>
        <v/>
      </c>
      <c r="W49" s="9" t="str">
        <f t="shared" si="12"/>
        <v/>
      </c>
      <c r="X49" s="9"/>
      <c r="Y49" s="9"/>
      <c r="Z49" s="9"/>
      <c r="AA49" s="9"/>
    </row>
    <row r="50" spans="1:27" ht="13.5" customHeight="1" outlineLevel="1" x14ac:dyDescent="0.25">
      <c r="A50" s="371"/>
      <c r="B50" s="53" t="s">
        <v>62</v>
      </c>
      <c r="C50" s="184">
        <v>2.1000000000000001E-2</v>
      </c>
      <c r="D50" s="55">
        <v>0.12</v>
      </c>
      <c r="E50" s="56">
        <v>4.2</v>
      </c>
      <c r="F50" s="112">
        <f t="shared" si="22"/>
        <v>1.0584000000000001E-2</v>
      </c>
      <c r="G50" s="112">
        <f t="shared" si="23"/>
        <v>0.504</v>
      </c>
      <c r="H50" s="177">
        <v>385</v>
      </c>
      <c r="I50" s="114">
        <f t="shared" si="35"/>
        <v>449</v>
      </c>
      <c r="J50" s="115">
        <f t="shared" si="24"/>
        <v>5.7047760000000007</v>
      </c>
      <c r="K50" s="116">
        <f t="shared" si="25"/>
        <v>11.319000000000001</v>
      </c>
      <c r="L50" s="117">
        <f t="shared" si="26"/>
        <v>376</v>
      </c>
      <c r="M50" s="178">
        <f t="shared" si="27"/>
        <v>3.9795840000000005</v>
      </c>
      <c r="N50" s="119">
        <f t="shared" si="28"/>
        <v>189.50399999999999</v>
      </c>
      <c r="O50" s="179"/>
      <c r="P50" s="121" t="str">
        <f t="shared" si="33"/>
        <v/>
      </c>
      <c r="Q50" s="122"/>
      <c r="R50" s="180"/>
      <c r="S50" s="121">
        <f t="shared" si="30"/>
        <v>0</v>
      </c>
      <c r="T50" s="181">
        <v>376</v>
      </c>
      <c r="U50" s="125">
        <f t="shared" si="31"/>
        <v>2144.9957760000002</v>
      </c>
      <c r="V50" s="9" t="str">
        <f t="shared" si="11"/>
        <v/>
      </c>
      <c r="W50" s="9" t="str">
        <f t="shared" si="12"/>
        <v/>
      </c>
      <c r="X50" s="9"/>
      <c r="Y50" s="9"/>
      <c r="Z50" s="9"/>
      <c r="AA50" s="9"/>
    </row>
    <row r="51" spans="1:27" ht="13.5" customHeight="1" outlineLevel="1" x14ac:dyDescent="0.25">
      <c r="A51" s="371"/>
      <c r="B51" s="53"/>
      <c r="C51" s="54">
        <v>2.1000000000000001E-2</v>
      </c>
      <c r="D51" s="55">
        <v>0.12</v>
      </c>
      <c r="E51" s="56">
        <v>4.8</v>
      </c>
      <c r="F51" s="112">
        <f t="shared" si="22"/>
        <v>1.2096000000000001E-2</v>
      </c>
      <c r="G51" s="112">
        <f t="shared" si="23"/>
        <v>0.57599999999999996</v>
      </c>
      <c r="H51" s="177">
        <v>385</v>
      </c>
      <c r="I51" s="114">
        <f t="shared" si="35"/>
        <v>449</v>
      </c>
      <c r="J51" s="115">
        <f t="shared" si="24"/>
        <v>6.5197440000000002</v>
      </c>
      <c r="K51" s="116">
        <f t="shared" si="25"/>
        <v>11.319000000000001</v>
      </c>
      <c r="L51" s="117">
        <f t="shared" si="26"/>
        <v>17</v>
      </c>
      <c r="M51" s="178">
        <f t="shared" si="27"/>
        <v>0.20563200000000001</v>
      </c>
      <c r="N51" s="146">
        <f t="shared" si="28"/>
        <v>9.7919999999999998</v>
      </c>
      <c r="O51" s="179"/>
      <c r="P51" s="121" t="str">
        <f t="shared" si="33"/>
        <v/>
      </c>
      <c r="Q51" s="122"/>
      <c r="R51" s="180"/>
      <c r="S51" s="121">
        <f t="shared" si="30"/>
        <v>0</v>
      </c>
      <c r="T51" s="181">
        <v>17</v>
      </c>
      <c r="U51" s="125">
        <f t="shared" si="31"/>
        <v>110.83564800000001</v>
      </c>
      <c r="V51" s="9" t="str">
        <f t="shared" si="11"/>
        <v/>
      </c>
      <c r="W51" s="9" t="str">
        <f t="shared" si="12"/>
        <v/>
      </c>
      <c r="X51" s="9"/>
      <c r="Y51" s="9"/>
      <c r="Z51" s="9"/>
      <c r="AA51" s="9"/>
    </row>
    <row r="52" spans="1:27" ht="13.5" customHeight="1" outlineLevel="1" x14ac:dyDescent="0.25">
      <c r="A52" s="371"/>
      <c r="B52" s="53"/>
      <c r="C52" s="54">
        <v>2.1000000000000001E-2</v>
      </c>
      <c r="D52" s="55">
        <v>0.12</v>
      </c>
      <c r="E52" s="56">
        <v>5.4</v>
      </c>
      <c r="F52" s="112">
        <f t="shared" si="22"/>
        <v>1.3608000000000002E-2</v>
      </c>
      <c r="G52" s="112">
        <f t="shared" si="23"/>
        <v>0.64800000000000002</v>
      </c>
      <c r="H52" s="177">
        <v>418.25</v>
      </c>
      <c r="I52" s="114">
        <f>ROUND(H52*1.1,0)</f>
        <v>460</v>
      </c>
      <c r="J52" s="115">
        <f t="shared" si="24"/>
        <v>7.511616000000001</v>
      </c>
      <c r="K52" s="116">
        <f t="shared" si="25"/>
        <v>11.592000000000001</v>
      </c>
      <c r="L52" s="117">
        <f t="shared" si="26"/>
        <v>68</v>
      </c>
      <c r="M52" s="178">
        <f t="shared" si="27"/>
        <v>0.92534400000000017</v>
      </c>
      <c r="N52" s="119">
        <f t="shared" si="28"/>
        <v>44.064</v>
      </c>
      <c r="O52" s="182"/>
      <c r="P52" s="121" t="str">
        <f t="shared" si="33"/>
        <v/>
      </c>
      <c r="Q52" s="122"/>
      <c r="R52" s="180"/>
      <c r="S52" s="121">
        <f t="shared" si="30"/>
        <v>0</v>
      </c>
      <c r="T52" s="181">
        <v>68</v>
      </c>
      <c r="U52" s="125">
        <f t="shared" si="31"/>
        <v>510.78988800000008</v>
      </c>
      <c r="V52" s="9" t="str">
        <f t="shared" si="11"/>
        <v/>
      </c>
      <c r="W52" s="9" t="str">
        <f t="shared" si="12"/>
        <v/>
      </c>
      <c r="X52" s="9"/>
      <c r="Y52" s="9"/>
      <c r="Z52" s="9"/>
      <c r="AA52" s="9"/>
    </row>
    <row r="53" spans="1:27" ht="13.5" customHeight="1" outlineLevel="1" x14ac:dyDescent="0.25">
      <c r="A53" s="371"/>
      <c r="B53" s="186"/>
      <c r="C53" s="54">
        <v>2.1000000000000001E-2</v>
      </c>
      <c r="D53" s="55">
        <v>0.14499999999999999</v>
      </c>
      <c r="E53" s="56">
        <v>5.0999999999999996</v>
      </c>
      <c r="F53" s="112">
        <f t="shared" si="22"/>
        <v>1.5529499999999998E-2</v>
      </c>
      <c r="G53" s="112">
        <f t="shared" si="23"/>
        <v>0.73949999999999994</v>
      </c>
      <c r="H53" s="177">
        <v>380</v>
      </c>
      <c r="I53" s="114">
        <f>ROUND(H53*1.1667,0)</f>
        <v>443</v>
      </c>
      <c r="J53" s="115">
        <f t="shared" si="24"/>
        <v>8.2616939999999985</v>
      </c>
      <c r="K53" s="116">
        <f t="shared" si="25"/>
        <v>11.171999999999999</v>
      </c>
      <c r="L53" s="117">
        <f t="shared" si="26"/>
        <v>52</v>
      </c>
      <c r="M53" s="178">
        <f t="shared" si="27"/>
        <v>0.80753399999999986</v>
      </c>
      <c r="N53" s="119">
        <f t="shared" si="28"/>
        <v>38.453999999999994</v>
      </c>
      <c r="O53" s="182"/>
      <c r="P53" s="121" t="str">
        <f t="shared" si="33"/>
        <v/>
      </c>
      <c r="Q53" s="122"/>
      <c r="R53" s="180"/>
      <c r="S53" s="121">
        <f t="shared" si="30"/>
        <v>0</v>
      </c>
      <c r="T53" s="181">
        <v>52</v>
      </c>
      <c r="U53" s="125">
        <f t="shared" si="31"/>
        <v>429.60808799999995</v>
      </c>
      <c r="V53" s="9" t="str">
        <f t="shared" si="11"/>
        <v/>
      </c>
      <c r="W53" s="9" t="str">
        <f t="shared" si="12"/>
        <v/>
      </c>
      <c r="X53" s="9"/>
      <c r="Y53" s="9"/>
      <c r="Z53" s="9"/>
      <c r="AA53" s="9"/>
    </row>
    <row r="54" spans="1:27" ht="13.5" customHeight="1" outlineLevel="1" x14ac:dyDescent="0.25">
      <c r="A54" s="371"/>
      <c r="B54" s="53"/>
      <c r="C54" s="54">
        <v>2.1000000000000001E-2</v>
      </c>
      <c r="D54" s="55">
        <v>0.14599999999999999</v>
      </c>
      <c r="E54" s="56">
        <v>4.5</v>
      </c>
      <c r="F54" s="112">
        <f t="shared" si="22"/>
        <v>1.3797E-2</v>
      </c>
      <c r="G54" s="112">
        <f t="shared" si="23"/>
        <v>0.65699999999999992</v>
      </c>
      <c r="H54" s="187">
        <v>415.85</v>
      </c>
      <c r="I54" s="114">
        <f>ROUND(H54*1.1,0)</f>
        <v>457</v>
      </c>
      <c r="J54" s="115">
        <f t="shared" si="24"/>
        <v>7.5745529999999999</v>
      </c>
      <c r="K54" s="116">
        <f t="shared" si="25"/>
        <v>11.529000000000002</v>
      </c>
      <c r="L54" s="117">
        <f t="shared" si="26"/>
        <v>31</v>
      </c>
      <c r="M54" s="178">
        <f t="shared" si="27"/>
        <v>0.427707</v>
      </c>
      <c r="N54" s="119">
        <f t="shared" si="28"/>
        <v>20.366999999999997</v>
      </c>
      <c r="O54" s="182"/>
      <c r="P54" s="121" t="str">
        <f t="shared" si="33"/>
        <v/>
      </c>
      <c r="Q54" s="122"/>
      <c r="R54" s="180"/>
      <c r="S54" s="121">
        <f t="shared" si="30"/>
        <v>0</v>
      </c>
      <c r="T54" s="181">
        <v>31</v>
      </c>
      <c r="U54" s="125">
        <f t="shared" si="31"/>
        <v>234.81114299999999</v>
      </c>
      <c r="V54" s="9" t="str">
        <f t="shared" si="11"/>
        <v/>
      </c>
      <c r="W54" s="9" t="str">
        <f t="shared" si="12"/>
        <v/>
      </c>
      <c r="X54" s="9"/>
      <c r="Y54" s="9"/>
      <c r="Z54" s="9"/>
      <c r="AA54" s="9"/>
    </row>
    <row r="55" spans="1:27" ht="13.5" customHeight="1" outlineLevel="1" x14ac:dyDescent="0.25">
      <c r="A55" s="371"/>
      <c r="B55" s="53"/>
      <c r="C55" s="175">
        <v>2.1000000000000001E-2</v>
      </c>
      <c r="D55" s="176">
        <v>0.17</v>
      </c>
      <c r="E55" s="121">
        <v>6</v>
      </c>
      <c r="F55" s="112">
        <f t="shared" si="22"/>
        <v>2.1420000000000005E-2</v>
      </c>
      <c r="G55" s="112">
        <f t="shared" si="23"/>
        <v>1.02</v>
      </c>
      <c r="H55" s="113">
        <v>380</v>
      </c>
      <c r="I55" s="114">
        <f>ROUND(H55*1.1667,0)</f>
        <v>443</v>
      </c>
      <c r="J55" s="115">
        <f t="shared" si="24"/>
        <v>11.395440000000002</v>
      </c>
      <c r="K55" s="116">
        <f t="shared" si="25"/>
        <v>11.172000000000002</v>
      </c>
      <c r="L55" s="117">
        <f t="shared" si="26"/>
        <v>144</v>
      </c>
      <c r="M55" s="178">
        <f t="shared" si="27"/>
        <v>3.0844800000000006</v>
      </c>
      <c r="N55" s="119">
        <f t="shared" si="28"/>
        <v>146.88</v>
      </c>
      <c r="O55" s="179"/>
      <c r="P55" s="121" t="str">
        <f t="shared" si="33"/>
        <v/>
      </c>
      <c r="Q55" s="122"/>
      <c r="R55" s="180"/>
      <c r="S55" s="121">
        <f t="shared" si="30"/>
        <v>0</v>
      </c>
      <c r="T55" s="181">
        <v>144</v>
      </c>
      <c r="U55" s="125">
        <f t="shared" si="31"/>
        <v>1640.9433600000004</v>
      </c>
      <c r="V55" s="9" t="str">
        <f t="shared" si="11"/>
        <v/>
      </c>
      <c r="W55" s="9" t="str">
        <f t="shared" si="12"/>
        <v/>
      </c>
      <c r="X55" s="9"/>
      <c r="Y55" s="9"/>
      <c r="Z55" s="9"/>
      <c r="AA55" s="9"/>
    </row>
    <row r="56" spans="1:27" ht="13.5" customHeight="1" outlineLevel="1" x14ac:dyDescent="0.25">
      <c r="A56" s="371"/>
      <c r="B56" s="53"/>
      <c r="C56" s="175">
        <v>2.5000000000000001E-2</v>
      </c>
      <c r="D56" s="176">
        <v>9.5000000000000001E-2</v>
      </c>
      <c r="E56" s="121">
        <v>3</v>
      </c>
      <c r="F56" s="112">
        <f t="shared" si="22"/>
        <v>7.1250000000000011E-3</v>
      </c>
      <c r="G56" s="112">
        <f t="shared" si="23"/>
        <v>0.28500000000000003</v>
      </c>
      <c r="H56" s="177">
        <v>411.01</v>
      </c>
      <c r="I56" s="114">
        <f>ROUND(H56*1.08,0)</f>
        <v>444</v>
      </c>
      <c r="J56" s="115">
        <f t="shared" si="24"/>
        <v>3.7976250000000005</v>
      </c>
      <c r="K56" s="116">
        <f t="shared" si="25"/>
        <v>13.325000000000001</v>
      </c>
      <c r="L56" s="117">
        <f t="shared" si="26"/>
        <v>77</v>
      </c>
      <c r="M56" s="178">
        <f t="shared" si="27"/>
        <v>0.54862500000000014</v>
      </c>
      <c r="N56" s="119">
        <f t="shared" si="28"/>
        <v>21.945000000000004</v>
      </c>
      <c r="O56" s="179"/>
      <c r="P56" s="121" t="str">
        <f t="shared" si="33"/>
        <v/>
      </c>
      <c r="Q56" s="122"/>
      <c r="R56" s="180"/>
      <c r="S56" s="121">
        <f t="shared" si="30"/>
        <v>0</v>
      </c>
      <c r="T56" s="181">
        <v>77</v>
      </c>
      <c r="U56" s="125">
        <f t="shared" si="31"/>
        <v>292.41712500000006</v>
      </c>
      <c r="V56" s="9" t="str">
        <f t="shared" si="11"/>
        <v/>
      </c>
      <c r="W56" s="9" t="str">
        <f t="shared" si="12"/>
        <v/>
      </c>
      <c r="X56" s="9"/>
      <c r="Y56" s="9"/>
      <c r="Z56" s="9"/>
      <c r="AA56" s="9"/>
    </row>
    <row r="57" spans="1:27" ht="13.5" customHeight="1" outlineLevel="1" x14ac:dyDescent="0.25">
      <c r="A57" s="371"/>
      <c r="B57" s="53" t="s">
        <v>63</v>
      </c>
      <c r="C57" s="54">
        <v>2.8000000000000001E-2</v>
      </c>
      <c r="D57" s="55">
        <v>0.14499999999999999</v>
      </c>
      <c r="E57" s="56">
        <v>4.5</v>
      </c>
      <c r="F57" s="112">
        <f t="shared" si="22"/>
        <v>1.8269999999999998E-2</v>
      </c>
      <c r="G57" s="112">
        <f t="shared" si="23"/>
        <v>0.65249999999999997</v>
      </c>
      <c r="H57" s="177">
        <v>428.56</v>
      </c>
      <c r="I57" s="114">
        <f>ROUND(H57*1.1667,0)</f>
        <v>500</v>
      </c>
      <c r="J57" s="115">
        <f t="shared" si="24"/>
        <v>10.961999999999998</v>
      </c>
      <c r="K57" s="116">
        <f t="shared" si="25"/>
        <v>16.799999999999997</v>
      </c>
      <c r="L57" s="117">
        <f t="shared" si="26"/>
        <v>141</v>
      </c>
      <c r="M57" s="178">
        <f t="shared" si="27"/>
        <v>2.5760699999999996</v>
      </c>
      <c r="N57" s="119">
        <f t="shared" si="28"/>
        <v>92.002499999999998</v>
      </c>
      <c r="O57" s="182"/>
      <c r="P57" s="121" t="str">
        <f t="shared" si="33"/>
        <v/>
      </c>
      <c r="Q57" s="122"/>
      <c r="R57" s="180"/>
      <c r="S57" s="121">
        <f t="shared" si="30"/>
        <v>0</v>
      </c>
      <c r="T57" s="181">
        <v>141</v>
      </c>
      <c r="U57" s="125">
        <f t="shared" si="31"/>
        <v>1545.6419999999998</v>
      </c>
      <c r="V57" s="9" t="str">
        <f t="shared" si="11"/>
        <v/>
      </c>
      <c r="W57" s="9" t="str">
        <f t="shared" si="12"/>
        <v/>
      </c>
      <c r="X57" s="9"/>
      <c r="Y57" s="9"/>
      <c r="Z57" s="9"/>
      <c r="AA57" s="9"/>
    </row>
    <row r="58" spans="1:27" ht="13.5" customHeight="1" x14ac:dyDescent="0.25">
      <c r="A58" s="371"/>
      <c r="B58" s="148" t="s">
        <v>56</v>
      </c>
      <c r="C58" s="149"/>
      <c r="D58" s="150"/>
      <c r="E58" s="149"/>
      <c r="F58" s="151"/>
      <c r="G58" s="151"/>
      <c r="H58" s="152">
        <f t="shared" ref="H58:I58" si="36">AVERAGE(H31:H57)</f>
        <v>429.54148148148153</v>
      </c>
      <c r="I58" s="153">
        <f t="shared" si="36"/>
        <v>484.66666666666669</v>
      </c>
      <c r="J58" s="154"/>
      <c r="K58" s="152">
        <f>AVERAGE(K31:K57)</f>
        <v>10.66859259259259</v>
      </c>
      <c r="L58" s="155"/>
      <c r="M58" s="156">
        <f>SUM(M31:M57)</f>
        <v>45.356877599999997</v>
      </c>
      <c r="N58" s="156"/>
      <c r="O58" s="157"/>
      <c r="P58" s="158">
        <f t="shared" ref="P58:Q58" si="37">SUM(P31:P57)</f>
        <v>0</v>
      </c>
      <c r="Q58" s="159">
        <f t="shared" si="37"/>
        <v>0</v>
      </c>
      <c r="R58" s="160"/>
      <c r="S58" s="161">
        <f>SUM(S31:S57)</f>
        <v>0</v>
      </c>
      <c r="T58" s="162"/>
      <c r="U58" s="163">
        <f>SUM(U31:U57)</f>
        <v>26751.597950399999</v>
      </c>
      <c r="V58" s="9" t="str">
        <f t="shared" si="11"/>
        <v/>
      </c>
      <c r="W58" s="9" t="str">
        <f t="shared" si="12"/>
        <v/>
      </c>
      <c r="X58" s="9"/>
      <c r="Y58" s="9"/>
      <c r="Z58" s="9"/>
      <c r="AA58" s="9"/>
    </row>
    <row r="59" spans="1:27" ht="13.5" customHeight="1" x14ac:dyDescent="0.25">
      <c r="A59" s="371"/>
      <c r="B59" s="164" t="s">
        <v>64</v>
      </c>
      <c r="C59" s="164"/>
      <c r="D59" s="164"/>
      <c r="E59" s="164"/>
      <c r="F59" s="164"/>
      <c r="G59" s="164"/>
      <c r="H59" s="164"/>
      <c r="I59" s="167"/>
      <c r="J59" s="168"/>
      <c r="K59" s="164"/>
      <c r="L59" s="164"/>
      <c r="M59" s="164"/>
      <c r="N59" s="169"/>
      <c r="O59" s="188"/>
      <c r="P59" s="164"/>
      <c r="Q59" s="189"/>
      <c r="R59" s="173"/>
      <c r="S59" s="164"/>
      <c r="T59" s="164"/>
      <c r="U59" s="174"/>
      <c r="V59" s="9" t="str">
        <f t="shared" si="11"/>
        <v/>
      </c>
      <c r="W59" s="9" t="str">
        <f t="shared" si="12"/>
        <v/>
      </c>
      <c r="X59" s="9"/>
      <c r="Y59" s="9"/>
      <c r="Z59" s="9"/>
      <c r="AA59" s="9"/>
    </row>
    <row r="60" spans="1:27" ht="13.5" customHeight="1" outlineLevel="1" x14ac:dyDescent="0.25">
      <c r="A60" s="371"/>
      <c r="B60" s="53"/>
      <c r="C60" s="54">
        <v>0.02</v>
      </c>
      <c r="D60" s="55">
        <v>0.09</v>
      </c>
      <c r="E60" s="56">
        <v>3</v>
      </c>
      <c r="F60" s="112">
        <f t="shared" ref="F60:F63" si="38">C60*D60*E60</f>
        <v>5.4000000000000003E-3</v>
      </c>
      <c r="G60" s="112">
        <f t="shared" ref="G60:G63" si="39">D60*E60</f>
        <v>0.27</v>
      </c>
      <c r="H60" s="177">
        <v>426.13</v>
      </c>
      <c r="I60" s="114">
        <f t="shared" ref="I60:I62" si="40">ROUND(H60*1.08,0)</f>
        <v>460</v>
      </c>
      <c r="J60" s="115">
        <f t="shared" ref="J60:J63" si="41">ROUND((I60*0.992)*1.21,0)*(C60*D60*E60)</f>
        <v>2.9808000000000003</v>
      </c>
      <c r="K60" s="116">
        <f t="shared" ref="K60:K63" si="42">J60/(D60*E60)</f>
        <v>11.040000000000001</v>
      </c>
      <c r="L60" s="117">
        <f t="shared" ref="L60:L63" si="43">T60+R60-O60</f>
        <v>48</v>
      </c>
      <c r="M60" s="178">
        <f t="shared" ref="M60:M63" si="44">L60*F60</f>
        <v>0.25919999999999999</v>
      </c>
      <c r="N60" s="119">
        <f t="shared" ref="N60:N63" si="45">L60*G60</f>
        <v>12.96</v>
      </c>
      <c r="O60" s="179"/>
      <c r="P60" s="121" t="str">
        <f t="shared" ref="P60:P63" si="46">IF(O60="","",(O60*F60))</f>
        <v/>
      </c>
      <c r="Q60" s="122"/>
      <c r="R60" s="180"/>
      <c r="S60" s="121">
        <f t="shared" ref="S60:S63" si="47">R60*F60</f>
        <v>0</v>
      </c>
      <c r="T60" s="181">
        <v>48</v>
      </c>
      <c r="U60" s="125">
        <f t="shared" ref="U60:U63" si="48">J60*L60</f>
        <v>143.07840000000002</v>
      </c>
      <c r="V60" s="9" t="str">
        <f t="shared" si="11"/>
        <v/>
      </c>
      <c r="W60" s="9" t="str">
        <f t="shared" si="12"/>
        <v/>
      </c>
      <c r="X60" s="9"/>
      <c r="Y60" s="9"/>
      <c r="Z60" s="9"/>
      <c r="AA60" s="9"/>
    </row>
    <row r="61" spans="1:27" ht="13.5" customHeight="1" outlineLevel="1" x14ac:dyDescent="0.25">
      <c r="A61" s="371"/>
      <c r="B61" s="53"/>
      <c r="C61" s="54">
        <v>0.02</v>
      </c>
      <c r="D61" s="55">
        <v>0.09</v>
      </c>
      <c r="E61" s="56">
        <v>4</v>
      </c>
      <c r="F61" s="112">
        <f t="shared" si="38"/>
        <v>7.1999999999999998E-3</v>
      </c>
      <c r="G61" s="112">
        <f t="shared" si="39"/>
        <v>0.36</v>
      </c>
      <c r="H61" s="177">
        <v>426.13</v>
      </c>
      <c r="I61" s="114">
        <f t="shared" si="40"/>
        <v>460</v>
      </c>
      <c r="J61" s="115">
        <f t="shared" si="41"/>
        <v>3.9743999999999997</v>
      </c>
      <c r="K61" s="116">
        <f t="shared" si="42"/>
        <v>11.04</v>
      </c>
      <c r="L61" s="117">
        <f t="shared" si="43"/>
        <v>15</v>
      </c>
      <c r="M61" s="178">
        <f t="shared" si="44"/>
        <v>0.108</v>
      </c>
      <c r="N61" s="119">
        <f t="shared" si="45"/>
        <v>5.3999999999999995</v>
      </c>
      <c r="O61" s="179"/>
      <c r="P61" s="121" t="str">
        <f t="shared" si="46"/>
        <v/>
      </c>
      <c r="Q61" s="122"/>
      <c r="R61" s="180"/>
      <c r="S61" s="121">
        <f t="shared" si="47"/>
        <v>0</v>
      </c>
      <c r="T61" s="181">
        <v>15</v>
      </c>
      <c r="U61" s="125">
        <f t="shared" si="48"/>
        <v>59.615999999999993</v>
      </c>
      <c r="V61" s="9" t="str">
        <f t="shared" si="11"/>
        <v/>
      </c>
      <c r="W61" s="9" t="str">
        <f t="shared" si="12"/>
        <v/>
      </c>
      <c r="X61" s="9"/>
      <c r="Y61" s="9"/>
      <c r="Z61" s="9"/>
      <c r="AA61" s="9"/>
    </row>
    <row r="62" spans="1:27" ht="13.5" customHeight="1" outlineLevel="1" x14ac:dyDescent="0.25">
      <c r="A62" s="371"/>
      <c r="B62" s="53"/>
      <c r="C62" s="54">
        <v>0.02</v>
      </c>
      <c r="D62" s="55">
        <v>9.5000000000000001E-2</v>
      </c>
      <c r="E62" s="56">
        <v>2.4</v>
      </c>
      <c r="F62" s="112">
        <f t="shared" si="38"/>
        <v>4.5599999999999998E-3</v>
      </c>
      <c r="G62" s="112">
        <f t="shared" si="39"/>
        <v>0.22799999999999998</v>
      </c>
      <c r="H62" s="177">
        <v>426.13</v>
      </c>
      <c r="I62" s="114">
        <f t="shared" si="40"/>
        <v>460</v>
      </c>
      <c r="J62" s="115">
        <f t="shared" si="41"/>
        <v>2.5171199999999998</v>
      </c>
      <c r="K62" s="116">
        <f t="shared" si="42"/>
        <v>11.040000000000001</v>
      </c>
      <c r="L62" s="117">
        <f t="shared" si="43"/>
        <v>48</v>
      </c>
      <c r="M62" s="178">
        <f t="shared" si="44"/>
        <v>0.21887999999999999</v>
      </c>
      <c r="N62" s="119">
        <f t="shared" si="45"/>
        <v>10.943999999999999</v>
      </c>
      <c r="O62" s="179"/>
      <c r="P62" s="121" t="str">
        <f t="shared" si="46"/>
        <v/>
      </c>
      <c r="Q62" s="122"/>
      <c r="R62" s="180"/>
      <c r="S62" s="121">
        <f t="shared" si="47"/>
        <v>0</v>
      </c>
      <c r="T62" s="181">
        <v>48</v>
      </c>
      <c r="U62" s="125">
        <f t="shared" si="48"/>
        <v>120.82175999999998</v>
      </c>
      <c r="V62" s="9" t="str">
        <f t="shared" si="11"/>
        <v/>
      </c>
      <c r="W62" s="9" t="str">
        <f t="shared" si="12"/>
        <v/>
      </c>
      <c r="X62" s="9"/>
      <c r="Y62" s="9"/>
      <c r="Z62" s="9"/>
      <c r="AA62" s="9"/>
    </row>
    <row r="63" spans="1:27" ht="13.5" customHeight="1" outlineLevel="1" x14ac:dyDescent="0.25">
      <c r="A63" s="371"/>
      <c r="B63" s="53"/>
      <c r="C63" s="54">
        <v>2.1000000000000001E-2</v>
      </c>
      <c r="D63" s="55">
        <v>0.12</v>
      </c>
      <c r="E63" s="56">
        <v>4.2</v>
      </c>
      <c r="F63" s="112">
        <f t="shared" si="38"/>
        <v>1.0584000000000001E-2</v>
      </c>
      <c r="G63" s="112">
        <f t="shared" si="39"/>
        <v>0.504</v>
      </c>
      <c r="H63" s="177">
        <v>385</v>
      </c>
      <c r="I63" s="114">
        <f>ROUND(H63*1.1,0)</f>
        <v>424</v>
      </c>
      <c r="J63" s="115">
        <f t="shared" si="41"/>
        <v>5.3872560000000007</v>
      </c>
      <c r="K63" s="116">
        <f t="shared" si="42"/>
        <v>10.689000000000002</v>
      </c>
      <c r="L63" s="117">
        <f t="shared" si="43"/>
        <v>241</v>
      </c>
      <c r="M63" s="178">
        <f t="shared" si="44"/>
        <v>2.5507440000000003</v>
      </c>
      <c r="N63" s="119">
        <f t="shared" si="45"/>
        <v>121.464</v>
      </c>
      <c r="O63" s="179"/>
      <c r="P63" s="121" t="str">
        <f t="shared" si="46"/>
        <v/>
      </c>
      <c r="Q63" s="122"/>
      <c r="R63" s="180"/>
      <c r="S63" s="121">
        <f t="shared" si="47"/>
        <v>0</v>
      </c>
      <c r="T63" s="181">
        <v>241</v>
      </c>
      <c r="U63" s="125">
        <f t="shared" si="48"/>
        <v>1298.3286960000003</v>
      </c>
      <c r="V63" s="9" t="str">
        <f t="shared" si="11"/>
        <v/>
      </c>
      <c r="W63" s="9" t="str">
        <f t="shared" si="12"/>
        <v/>
      </c>
      <c r="X63" s="9"/>
      <c r="Y63" s="9"/>
      <c r="Z63" s="9"/>
      <c r="AA63" s="9"/>
    </row>
    <row r="64" spans="1:27" ht="13.5" customHeight="1" x14ac:dyDescent="0.25">
      <c r="A64" s="371"/>
      <c r="B64" s="148" t="s">
        <v>56</v>
      </c>
      <c r="C64" s="149"/>
      <c r="D64" s="150"/>
      <c r="E64" s="149"/>
      <c r="F64" s="151"/>
      <c r="G64" s="151"/>
      <c r="H64" s="152">
        <f t="shared" ref="H64:I64" si="49">AVERAGE(H60:H63)</f>
        <v>415.84749999999997</v>
      </c>
      <c r="I64" s="153">
        <f t="shared" si="49"/>
        <v>451</v>
      </c>
      <c r="J64" s="154"/>
      <c r="K64" s="152">
        <f>AVERAGE(K60:K63)</f>
        <v>10.952249999999999</v>
      </c>
      <c r="L64" s="155"/>
      <c r="M64" s="156">
        <f>SUM(M60:M63)</f>
        <v>3.1368240000000003</v>
      </c>
      <c r="N64" s="156"/>
      <c r="O64" s="157"/>
      <c r="P64" s="158">
        <f>SUM(P60:P62)</f>
        <v>0</v>
      </c>
      <c r="Q64" s="159">
        <f>SUM(Q60:Q63)</f>
        <v>0</v>
      </c>
      <c r="R64" s="190"/>
      <c r="S64" s="161">
        <f>SUM(S60:S63)</f>
        <v>0</v>
      </c>
      <c r="T64" s="162"/>
      <c r="U64" s="163">
        <f>SUM(U60:U63)</f>
        <v>1621.8448560000002</v>
      </c>
      <c r="V64" s="9" t="str">
        <f t="shared" si="11"/>
        <v/>
      </c>
      <c r="W64" s="9" t="str">
        <f t="shared" si="12"/>
        <v/>
      </c>
      <c r="X64" s="9"/>
      <c r="Y64" s="9"/>
      <c r="Z64" s="9"/>
      <c r="AA64" s="9"/>
    </row>
    <row r="65" spans="1:27" ht="13.5" customHeight="1" x14ac:dyDescent="0.25">
      <c r="A65" s="371"/>
      <c r="B65" s="164" t="s">
        <v>65</v>
      </c>
      <c r="C65" s="164"/>
      <c r="D65" s="164"/>
      <c r="E65" s="164"/>
      <c r="F65" s="164"/>
      <c r="G65" s="164"/>
      <c r="H65" s="164"/>
      <c r="I65" s="167"/>
      <c r="J65" s="168"/>
      <c r="K65" s="164"/>
      <c r="L65" s="164"/>
      <c r="M65" s="164"/>
      <c r="N65" s="169"/>
      <c r="O65" s="188"/>
      <c r="P65" s="164"/>
      <c r="Q65" s="189"/>
      <c r="R65" s="173"/>
      <c r="S65" s="164"/>
      <c r="T65" s="164"/>
      <c r="U65" s="174"/>
      <c r="V65" s="9" t="str">
        <f t="shared" si="11"/>
        <v/>
      </c>
      <c r="W65" s="9" t="str">
        <f t="shared" si="12"/>
        <v/>
      </c>
      <c r="X65" s="9"/>
      <c r="Y65" s="9"/>
      <c r="Z65" s="9"/>
      <c r="AA65" s="9"/>
    </row>
    <row r="66" spans="1:27" ht="13.5" customHeight="1" outlineLevel="1" x14ac:dyDescent="0.25">
      <c r="A66" s="371"/>
      <c r="B66" s="53"/>
      <c r="C66" s="54">
        <v>2.8000000000000001E-2</v>
      </c>
      <c r="D66" s="55">
        <v>9.5000000000000001E-2</v>
      </c>
      <c r="E66" s="183">
        <v>3</v>
      </c>
      <c r="F66" s="112">
        <f t="shared" ref="F66:F67" si="50">C66*D66*E66</f>
        <v>7.980000000000001E-3</v>
      </c>
      <c r="G66" s="112">
        <f t="shared" ref="G66:G67" si="51">D66*E66</f>
        <v>0.28500000000000003</v>
      </c>
      <c r="H66" s="177">
        <v>404.93</v>
      </c>
      <c r="I66" s="114">
        <f>ROUND(H66*1.08,0)</f>
        <v>437</v>
      </c>
      <c r="J66" s="115">
        <f t="shared" ref="J66:J67" si="52">ROUND((I66*0.992)*1.21,0)*(C66*D66*E66)</f>
        <v>4.1895000000000007</v>
      </c>
      <c r="K66" s="116">
        <f t="shared" ref="K66:K67" si="53">J66/(D66*E66)</f>
        <v>14.700000000000001</v>
      </c>
      <c r="L66" s="117">
        <f t="shared" ref="L66:L67" si="54">T66+R66-O66</f>
        <v>708</v>
      </c>
      <c r="M66" s="178">
        <f t="shared" ref="M66:M67" si="55">L66*F66</f>
        <v>5.6498400000000011</v>
      </c>
      <c r="N66" s="119">
        <f t="shared" ref="N66:N67" si="56">L66*G66</f>
        <v>201.78000000000003</v>
      </c>
      <c r="O66" s="182"/>
      <c r="P66" s="121" t="str">
        <f>IF(O66="","",(O66*F66))</f>
        <v/>
      </c>
      <c r="Q66" s="122"/>
      <c r="R66" s="180"/>
      <c r="S66" s="121">
        <f t="shared" ref="S66:S67" si="57">R66*F66</f>
        <v>0</v>
      </c>
      <c r="T66" s="181">
        <v>708</v>
      </c>
      <c r="U66" s="125">
        <f t="shared" ref="U66:U67" si="58">J66*L66</f>
        <v>2966.1660000000006</v>
      </c>
      <c r="V66" s="9" t="str">
        <f t="shared" si="11"/>
        <v/>
      </c>
      <c r="W66" s="9" t="str">
        <f t="shared" si="12"/>
        <v/>
      </c>
      <c r="X66" s="9"/>
      <c r="Y66" s="9"/>
      <c r="Z66" s="9"/>
      <c r="AA66" s="9"/>
    </row>
    <row r="67" spans="1:27" ht="13.5" customHeight="1" outlineLevel="1" x14ac:dyDescent="0.25">
      <c r="A67" s="371"/>
      <c r="B67" s="53"/>
      <c r="C67" s="54">
        <v>2.8000000000000001E-2</v>
      </c>
      <c r="D67" s="55">
        <v>0.12</v>
      </c>
      <c r="E67" s="183">
        <v>5.4</v>
      </c>
      <c r="F67" s="112">
        <f t="shared" si="50"/>
        <v>1.8144E-2</v>
      </c>
      <c r="G67" s="112">
        <f t="shared" si="51"/>
        <v>0.64800000000000002</v>
      </c>
      <c r="H67" s="177">
        <v>401.52</v>
      </c>
      <c r="I67" s="114">
        <f>ROUND(H67*1.1667,0)</f>
        <v>468</v>
      </c>
      <c r="J67" s="115">
        <f t="shared" si="52"/>
        <v>10.196928</v>
      </c>
      <c r="K67" s="116">
        <f t="shared" si="53"/>
        <v>15.735999999999999</v>
      </c>
      <c r="L67" s="117">
        <f t="shared" si="54"/>
        <v>200</v>
      </c>
      <c r="M67" s="178">
        <f t="shared" si="55"/>
        <v>3.6288</v>
      </c>
      <c r="N67" s="119">
        <f t="shared" si="56"/>
        <v>129.6</v>
      </c>
      <c r="O67" s="182"/>
      <c r="P67" s="121"/>
      <c r="Q67" s="122"/>
      <c r="R67" s="180"/>
      <c r="S67" s="121">
        <f t="shared" si="57"/>
        <v>0</v>
      </c>
      <c r="T67" s="181">
        <v>200</v>
      </c>
      <c r="U67" s="125">
        <f t="shared" si="58"/>
        <v>2039.3856000000001</v>
      </c>
      <c r="V67" s="9" t="str">
        <f t="shared" si="11"/>
        <v/>
      </c>
      <c r="W67" s="9" t="str">
        <f t="shared" si="12"/>
        <v/>
      </c>
      <c r="X67" s="9"/>
      <c r="Y67" s="9"/>
      <c r="Z67" s="9"/>
      <c r="AA67" s="9"/>
    </row>
    <row r="68" spans="1:27" ht="13.5" customHeight="1" x14ac:dyDescent="0.25">
      <c r="A68" s="371"/>
      <c r="B68" s="148" t="s">
        <v>56</v>
      </c>
      <c r="C68" s="149"/>
      <c r="D68" s="150"/>
      <c r="E68" s="149"/>
      <c r="F68" s="151"/>
      <c r="G68" s="151"/>
      <c r="H68" s="152">
        <f t="shared" ref="H68:I68" si="59">AVERAGE(H66:H67)</f>
        <v>403.22500000000002</v>
      </c>
      <c r="I68" s="153">
        <f t="shared" si="59"/>
        <v>452.5</v>
      </c>
      <c r="J68" s="154"/>
      <c r="K68" s="152">
        <f>AVERAGE(K66:K67)</f>
        <v>15.218</v>
      </c>
      <c r="L68" s="155"/>
      <c r="M68" s="156">
        <f>SUM(M66:M67)</f>
        <v>9.2786400000000011</v>
      </c>
      <c r="N68" s="156"/>
      <c r="O68" s="157"/>
      <c r="P68" s="158">
        <f t="shared" ref="P68:Q68" si="60">SUM(P66:P67)</f>
        <v>0</v>
      </c>
      <c r="Q68" s="159">
        <f t="shared" si="60"/>
        <v>0</v>
      </c>
      <c r="R68" s="190"/>
      <c r="S68" s="161">
        <f>SUM(S66:S67)</f>
        <v>0</v>
      </c>
      <c r="T68" s="162"/>
      <c r="U68" s="163">
        <f>SUM(U66:U67)</f>
        <v>5005.5516000000007</v>
      </c>
      <c r="V68" s="9" t="str">
        <f t="shared" si="11"/>
        <v/>
      </c>
      <c r="W68" s="9" t="str">
        <f t="shared" si="12"/>
        <v/>
      </c>
      <c r="X68" s="9"/>
      <c r="Y68" s="9"/>
      <c r="Z68" s="9"/>
      <c r="AA68" s="9"/>
    </row>
    <row r="69" spans="1:27" ht="13.5" customHeight="1" x14ac:dyDescent="0.25">
      <c r="A69" s="371"/>
      <c r="B69" s="164" t="s">
        <v>66</v>
      </c>
      <c r="C69" s="164"/>
      <c r="D69" s="164"/>
      <c r="E69" s="164"/>
      <c r="F69" s="164"/>
      <c r="G69" s="164"/>
      <c r="H69" s="164"/>
      <c r="I69" s="167"/>
      <c r="J69" s="168"/>
      <c r="K69" s="164"/>
      <c r="L69" s="164"/>
      <c r="M69" s="164"/>
      <c r="N69" s="169"/>
      <c r="O69" s="188"/>
      <c r="P69" s="164"/>
      <c r="Q69" s="189"/>
      <c r="R69" s="173"/>
      <c r="S69" s="164"/>
      <c r="T69" s="164"/>
      <c r="U69" s="174"/>
      <c r="V69" s="9" t="str">
        <f t="shared" si="11"/>
        <v/>
      </c>
      <c r="W69" s="9" t="str">
        <f t="shared" si="12"/>
        <v/>
      </c>
      <c r="X69" s="9"/>
      <c r="Y69" s="9"/>
      <c r="Z69" s="9"/>
      <c r="AA69" s="9"/>
    </row>
    <row r="70" spans="1:27" ht="13.5" customHeight="1" outlineLevel="1" x14ac:dyDescent="0.25">
      <c r="A70" s="371"/>
      <c r="B70" s="75" t="s">
        <v>67</v>
      </c>
      <c r="C70" s="131">
        <v>1.2E-2</v>
      </c>
      <c r="D70" s="111">
        <v>1.5249999999999999</v>
      </c>
      <c r="E70" s="111">
        <v>1.5249999999999999</v>
      </c>
      <c r="F70" s="133">
        <f t="shared" ref="F70:F72" si="61">C70*D70*E70</f>
        <v>2.7907499999999998E-2</v>
      </c>
      <c r="G70" s="133">
        <f t="shared" ref="G70:G72" si="62">D70*E70</f>
        <v>2.3256249999999996</v>
      </c>
      <c r="H70" s="191">
        <v>550</v>
      </c>
      <c r="I70" s="114">
        <f t="shared" ref="I70:I71" si="63">ROUND(H70*1.1667,0)</f>
        <v>642</v>
      </c>
      <c r="J70" s="115">
        <f t="shared" ref="J70:J71" si="64">ROUND((I70*0.992)*1.21,0)*(C70*D70*E70)</f>
        <v>21.516682499999998</v>
      </c>
      <c r="K70" s="192">
        <f t="shared" ref="K70:K72" si="65">J70/(D70*E70)</f>
        <v>9.2520000000000007</v>
      </c>
      <c r="L70" s="117">
        <v>3</v>
      </c>
      <c r="M70" s="178">
        <f t="shared" ref="M70:M72" si="66">L70*F70</f>
        <v>8.3722499999999991E-2</v>
      </c>
      <c r="N70" s="134">
        <f t="shared" ref="N70:N72" si="67">L70*G70</f>
        <v>6.9768749999999988</v>
      </c>
      <c r="O70" s="193"/>
      <c r="P70" s="121" t="str">
        <f t="shared" ref="P70:P72" si="68">IF(O70="","",(O70*F70))</f>
        <v/>
      </c>
      <c r="Q70" s="136"/>
      <c r="R70" s="194"/>
      <c r="S70" s="78">
        <f t="shared" ref="S70:S72" si="69">R70*F70</f>
        <v>0</v>
      </c>
      <c r="T70" s="181">
        <v>3</v>
      </c>
      <c r="U70" s="125">
        <f t="shared" ref="U70:U72" si="70">J70*L70</f>
        <v>64.550047499999991</v>
      </c>
      <c r="V70" s="9" t="str">
        <f t="shared" si="11"/>
        <v/>
      </c>
      <c r="W70" s="9" t="str">
        <f t="shared" si="12"/>
        <v/>
      </c>
      <c r="X70" s="9"/>
      <c r="Y70" s="9"/>
      <c r="Z70" s="9"/>
      <c r="AA70" s="9"/>
    </row>
    <row r="71" spans="1:27" ht="13.5" customHeight="1" outlineLevel="1" x14ac:dyDescent="0.25">
      <c r="A71" s="371"/>
      <c r="B71" s="53" t="s">
        <v>67</v>
      </c>
      <c r="C71" s="54">
        <v>1.7999999999999999E-2</v>
      </c>
      <c r="D71" s="55">
        <v>1.5249999999999999</v>
      </c>
      <c r="E71" s="55">
        <v>1.5249999999999999</v>
      </c>
      <c r="F71" s="112">
        <f t="shared" si="61"/>
        <v>4.1861249999999989E-2</v>
      </c>
      <c r="G71" s="112">
        <f t="shared" si="62"/>
        <v>2.3256249999999996</v>
      </c>
      <c r="H71" s="177">
        <v>550</v>
      </c>
      <c r="I71" s="114">
        <f t="shared" si="63"/>
        <v>642</v>
      </c>
      <c r="J71" s="115">
        <f t="shared" si="64"/>
        <v>32.275023749999988</v>
      </c>
      <c r="K71" s="116">
        <f t="shared" si="65"/>
        <v>13.877999999999997</v>
      </c>
      <c r="L71" s="117">
        <f t="shared" ref="L71:L72" si="71">T71+R71-O71</f>
        <v>0</v>
      </c>
      <c r="M71" s="178">
        <f t="shared" si="66"/>
        <v>0</v>
      </c>
      <c r="N71" s="119">
        <f t="shared" si="67"/>
        <v>0</v>
      </c>
      <c r="O71" s="179"/>
      <c r="P71" s="121" t="str">
        <f t="shared" si="68"/>
        <v/>
      </c>
      <c r="Q71" s="122"/>
      <c r="R71" s="180"/>
      <c r="S71" s="121">
        <f t="shared" si="69"/>
        <v>0</v>
      </c>
      <c r="T71" s="181">
        <v>0</v>
      </c>
      <c r="U71" s="125">
        <f t="shared" si="70"/>
        <v>0</v>
      </c>
      <c r="V71" s="9" t="str">
        <f t="shared" si="11"/>
        <v/>
      </c>
      <c r="W71" s="9" t="str">
        <f t="shared" si="12"/>
        <v/>
      </c>
      <c r="X71" s="9"/>
      <c r="Y71" s="9"/>
      <c r="Z71" s="9"/>
      <c r="AA71" s="9"/>
    </row>
    <row r="72" spans="1:27" ht="13.5" customHeight="1" outlineLevel="1" x14ac:dyDescent="0.25">
      <c r="A72" s="371"/>
      <c r="B72" s="53"/>
      <c r="C72" s="54">
        <v>4.4999999999999998E-2</v>
      </c>
      <c r="D72" s="55">
        <v>0.22</v>
      </c>
      <c r="E72" s="56">
        <v>4.8</v>
      </c>
      <c r="F72" s="112">
        <f t="shared" si="61"/>
        <v>4.7519999999999993E-2</v>
      </c>
      <c r="G72" s="112">
        <f t="shared" si="62"/>
        <v>1.056</v>
      </c>
      <c r="H72" s="177">
        <v>376.95</v>
      </c>
      <c r="I72" s="114">
        <f>ROUND(H72*1.06,0)</f>
        <v>400</v>
      </c>
      <c r="J72" s="115">
        <f>ROUND((I72*0.88)*1.21,0)*(C72*D72*E72)</f>
        <v>20.243519999999997</v>
      </c>
      <c r="K72" s="116">
        <f t="shared" si="65"/>
        <v>19.169999999999995</v>
      </c>
      <c r="L72" s="117">
        <f t="shared" si="71"/>
        <v>375</v>
      </c>
      <c r="M72" s="178">
        <f t="shared" si="66"/>
        <v>17.819999999999997</v>
      </c>
      <c r="N72" s="119">
        <f t="shared" si="67"/>
        <v>396</v>
      </c>
      <c r="O72" s="182"/>
      <c r="P72" s="121" t="str">
        <f t="shared" si="68"/>
        <v/>
      </c>
      <c r="Q72" s="122"/>
      <c r="R72" s="180"/>
      <c r="S72" s="121">
        <f t="shared" si="69"/>
        <v>0</v>
      </c>
      <c r="T72" s="181">
        <v>375</v>
      </c>
      <c r="U72" s="125">
        <f t="shared" si="70"/>
        <v>7591.3199999999988</v>
      </c>
      <c r="V72" s="9" t="str">
        <f t="shared" si="11"/>
        <v/>
      </c>
      <c r="W72" s="9" t="str">
        <f t="shared" si="12"/>
        <v/>
      </c>
      <c r="X72" s="9"/>
      <c r="Y72" s="9"/>
      <c r="Z72" s="9"/>
      <c r="AA72" s="9"/>
    </row>
    <row r="73" spans="1:27" ht="13.5" customHeight="1" x14ac:dyDescent="0.25">
      <c r="A73" s="371"/>
      <c r="B73" s="148" t="s">
        <v>56</v>
      </c>
      <c r="C73" s="149"/>
      <c r="D73" s="150"/>
      <c r="E73" s="149"/>
      <c r="F73" s="151"/>
      <c r="G73" s="151"/>
      <c r="H73" s="152">
        <f t="shared" ref="H73:I73" si="72">AVERAGE(H70:H72)</f>
        <v>492.31666666666666</v>
      </c>
      <c r="I73" s="153">
        <f t="shared" si="72"/>
        <v>561.33333333333337</v>
      </c>
      <c r="J73" s="154"/>
      <c r="K73" s="152">
        <f>AVERAGE(K70:K72)</f>
        <v>14.099999999999996</v>
      </c>
      <c r="L73" s="155"/>
      <c r="M73" s="156">
        <f>SUM(M70:M72)</f>
        <v>17.903722499999997</v>
      </c>
      <c r="N73" s="156"/>
      <c r="O73" s="157"/>
      <c r="P73" s="158">
        <f t="shared" ref="P73:Q73" si="73">SUM(P70:P72)</f>
        <v>0</v>
      </c>
      <c r="Q73" s="159">
        <f t="shared" si="73"/>
        <v>0</v>
      </c>
      <c r="R73" s="190"/>
      <c r="S73" s="161">
        <f>SUM(S70:S72)</f>
        <v>0</v>
      </c>
      <c r="T73" s="162"/>
      <c r="U73" s="163">
        <f>SUM(U70:U72)</f>
        <v>7655.8700474999987</v>
      </c>
      <c r="V73" s="9" t="str">
        <f t="shared" si="11"/>
        <v/>
      </c>
      <c r="W73" s="9" t="str">
        <f t="shared" si="12"/>
        <v/>
      </c>
      <c r="X73" s="9"/>
      <c r="Y73" s="9"/>
      <c r="Z73" s="9"/>
      <c r="AA73" s="9"/>
    </row>
    <row r="74" spans="1:27" ht="13.5" customHeight="1" x14ac:dyDescent="0.25">
      <c r="A74" s="371"/>
      <c r="B74" s="164" t="s">
        <v>68</v>
      </c>
      <c r="C74" s="164"/>
      <c r="D74" s="164"/>
      <c r="E74" s="164"/>
      <c r="F74" s="164"/>
      <c r="G74" s="164"/>
      <c r="H74" s="164"/>
      <c r="I74" s="167"/>
      <c r="J74" s="168"/>
      <c r="K74" s="164"/>
      <c r="L74" s="164"/>
      <c r="M74" s="164"/>
      <c r="N74" s="169"/>
      <c r="O74" s="188"/>
      <c r="P74" s="164"/>
      <c r="Q74" s="189"/>
      <c r="R74" s="173"/>
      <c r="S74" s="164"/>
      <c r="T74" s="164"/>
      <c r="U74" s="174"/>
      <c r="V74" s="9" t="str">
        <f t="shared" si="11"/>
        <v/>
      </c>
      <c r="W74" s="9" t="str">
        <f t="shared" si="12"/>
        <v/>
      </c>
      <c r="X74" s="9"/>
      <c r="Y74" s="9"/>
      <c r="Z74" s="9"/>
      <c r="AA74" s="9"/>
    </row>
    <row r="75" spans="1:27" ht="13.5" customHeight="1" outlineLevel="1" x14ac:dyDescent="0.25">
      <c r="A75" s="371"/>
      <c r="B75" s="53" t="s">
        <v>69</v>
      </c>
      <c r="C75" s="54">
        <v>1.7999999999999999E-2</v>
      </c>
      <c r="D75" s="55">
        <v>9.2999999999999999E-2</v>
      </c>
      <c r="E75" s="56">
        <v>3.1</v>
      </c>
      <c r="F75" s="112">
        <f t="shared" ref="F75:F81" si="74">C75*D75*E75</f>
        <v>5.1894000000000003E-3</v>
      </c>
      <c r="G75" s="112">
        <f t="shared" ref="G75:G81" si="75">D75*E75</f>
        <v>0.2883</v>
      </c>
      <c r="H75" s="177">
        <v>800</v>
      </c>
      <c r="I75" s="114">
        <f t="shared" ref="I75:I81" si="76">ROUND(H75*1.1667,0)</f>
        <v>933</v>
      </c>
      <c r="J75" s="115">
        <f t="shared" ref="J75:J81" si="77">ROUND((I75*0.992)*1.21,0)*(C75*D75*E75)</f>
        <v>5.8121280000000004</v>
      </c>
      <c r="K75" s="116">
        <f t="shared" ref="K75:K81" si="78">J75/(D75*E75)</f>
        <v>20.16</v>
      </c>
      <c r="L75" s="117">
        <f t="shared" ref="L75:L81" si="79">T75+R75-O75</f>
        <v>297</v>
      </c>
      <c r="M75" s="178">
        <f t="shared" ref="M75:M81" si="80">L75*F75</f>
        <v>1.5412518000000002</v>
      </c>
      <c r="N75" s="119">
        <f t="shared" ref="N75:N81" si="81">L75*G75</f>
        <v>85.625100000000003</v>
      </c>
      <c r="O75" s="182"/>
      <c r="P75" s="121" t="str">
        <f t="shared" ref="P75:P81" si="82">IF(O75="","",(O75*F75))</f>
        <v/>
      </c>
      <c r="Q75" s="122"/>
      <c r="R75" s="180"/>
      <c r="S75" s="121">
        <f t="shared" ref="S75:S81" si="83">R75*F75</f>
        <v>0</v>
      </c>
      <c r="T75" s="181">
        <v>297</v>
      </c>
      <c r="U75" s="125">
        <f t="shared" ref="U75:U81" si="84">J75*L75</f>
        <v>1726.2020160000002</v>
      </c>
      <c r="V75" s="9" t="str">
        <f t="shared" si="11"/>
        <v/>
      </c>
      <c r="W75" s="9" t="str">
        <f t="shared" si="12"/>
        <v/>
      </c>
      <c r="X75" s="9"/>
      <c r="Y75" s="9"/>
      <c r="Z75" s="9"/>
      <c r="AA75" s="9"/>
    </row>
    <row r="76" spans="1:27" ht="13.5" customHeight="1" outlineLevel="1" x14ac:dyDescent="0.25">
      <c r="A76" s="371"/>
      <c r="B76" s="53" t="s">
        <v>70</v>
      </c>
      <c r="C76" s="175">
        <v>0.02</v>
      </c>
      <c r="D76" s="176">
        <v>4.4999999999999998E-2</v>
      </c>
      <c r="E76" s="121">
        <v>3</v>
      </c>
      <c r="F76" s="112">
        <f t="shared" si="74"/>
        <v>2.7000000000000001E-3</v>
      </c>
      <c r="G76" s="112">
        <f t="shared" si="75"/>
        <v>0.13500000000000001</v>
      </c>
      <c r="H76" s="177">
        <v>800</v>
      </c>
      <c r="I76" s="114">
        <f t="shared" si="76"/>
        <v>933</v>
      </c>
      <c r="J76" s="115">
        <f t="shared" si="77"/>
        <v>3.024</v>
      </c>
      <c r="K76" s="116">
        <f t="shared" si="78"/>
        <v>22.4</v>
      </c>
      <c r="L76" s="117">
        <f t="shared" si="79"/>
        <v>18</v>
      </c>
      <c r="M76" s="178">
        <f t="shared" si="80"/>
        <v>4.8600000000000004E-2</v>
      </c>
      <c r="N76" s="119">
        <f t="shared" si="81"/>
        <v>2.4300000000000002</v>
      </c>
      <c r="O76" s="182"/>
      <c r="P76" s="121" t="str">
        <f t="shared" si="82"/>
        <v/>
      </c>
      <c r="Q76" s="122"/>
      <c r="R76" s="180"/>
      <c r="S76" s="121">
        <f t="shared" si="83"/>
        <v>0</v>
      </c>
      <c r="T76" s="181">
        <v>18</v>
      </c>
      <c r="U76" s="125">
        <f t="shared" si="84"/>
        <v>54.432000000000002</v>
      </c>
      <c r="V76" s="9" t="str">
        <f t="shared" si="11"/>
        <v/>
      </c>
      <c r="W76" s="9" t="str">
        <f t="shared" si="12"/>
        <v/>
      </c>
      <c r="X76" s="9"/>
      <c r="Y76" s="9"/>
      <c r="Z76" s="9"/>
      <c r="AA76" s="9"/>
    </row>
    <row r="77" spans="1:27" ht="13.5" customHeight="1" outlineLevel="1" x14ac:dyDescent="0.25">
      <c r="A77" s="371"/>
      <c r="B77" s="53" t="s">
        <v>69</v>
      </c>
      <c r="C77" s="54">
        <v>0.02</v>
      </c>
      <c r="D77" s="55">
        <v>4.4999999999999998E-2</v>
      </c>
      <c r="E77" s="56">
        <v>3.1</v>
      </c>
      <c r="F77" s="112">
        <f t="shared" si="74"/>
        <v>2.7899999999999999E-3</v>
      </c>
      <c r="G77" s="112">
        <f t="shared" si="75"/>
        <v>0.13949999999999999</v>
      </c>
      <c r="H77" s="177">
        <v>800</v>
      </c>
      <c r="I77" s="114">
        <f t="shared" si="76"/>
        <v>933</v>
      </c>
      <c r="J77" s="115">
        <f t="shared" si="77"/>
        <v>3.1248</v>
      </c>
      <c r="K77" s="116">
        <f t="shared" si="78"/>
        <v>22.400000000000002</v>
      </c>
      <c r="L77" s="117">
        <f t="shared" si="79"/>
        <v>142</v>
      </c>
      <c r="M77" s="178">
        <f t="shared" si="80"/>
        <v>0.39617999999999998</v>
      </c>
      <c r="N77" s="119">
        <f t="shared" si="81"/>
        <v>19.808999999999997</v>
      </c>
      <c r="O77" s="182"/>
      <c r="P77" s="121" t="str">
        <f t="shared" si="82"/>
        <v/>
      </c>
      <c r="Q77" s="122"/>
      <c r="R77" s="180"/>
      <c r="S77" s="121">
        <f t="shared" si="83"/>
        <v>0</v>
      </c>
      <c r="T77" s="181">
        <v>142</v>
      </c>
      <c r="U77" s="125">
        <f t="shared" si="84"/>
        <v>443.72160000000002</v>
      </c>
      <c r="V77" s="9" t="str">
        <f t="shared" si="11"/>
        <v/>
      </c>
      <c r="W77" s="9" t="str">
        <f t="shared" si="12"/>
        <v/>
      </c>
      <c r="X77" s="9"/>
      <c r="Y77" s="9"/>
      <c r="Z77" s="9"/>
      <c r="AA77" s="9"/>
    </row>
    <row r="78" spans="1:27" ht="13.5" customHeight="1" outlineLevel="1" x14ac:dyDescent="0.25">
      <c r="A78" s="371"/>
      <c r="B78" s="53" t="s">
        <v>70</v>
      </c>
      <c r="C78" s="54">
        <v>0.04</v>
      </c>
      <c r="D78" s="55">
        <v>9.5000000000000001E-2</v>
      </c>
      <c r="E78" s="56">
        <v>2.4</v>
      </c>
      <c r="F78" s="112">
        <f t="shared" si="74"/>
        <v>9.1199999999999996E-3</v>
      </c>
      <c r="G78" s="112">
        <f t="shared" si="75"/>
        <v>0.22799999999999998</v>
      </c>
      <c r="H78" s="177">
        <v>800</v>
      </c>
      <c r="I78" s="114">
        <f t="shared" si="76"/>
        <v>933</v>
      </c>
      <c r="J78" s="115">
        <f t="shared" si="77"/>
        <v>10.214399999999999</v>
      </c>
      <c r="K78" s="116">
        <f t="shared" si="78"/>
        <v>44.800000000000004</v>
      </c>
      <c r="L78" s="117">
        <f t="shared" si="79"/>
        <v>100</v>
      </c>
      <c r="M78" s="178">
        <f t="shared" si="80"/>
        <v>0.91199999999999992</v>
      </c>
      <c r="N78" s="119">
        <f t="shared" si="81"/>
        <v>22.799999999999997</v>
      </c>
      <c r="O78" s="195"/>
      <c r="P78" s="121" t="str">
        <f t="shared" si="82"/>
        <v/>
      </c>
      <c r="Q78" s="122"/>
      <c r="R78" s="180"/>
      <c r="S78" s="121">
        <f t="shared" si="83"/>
        <v>0</v>
      </c>
      <c r="T78" s="181">
        <v>100</v>
      </c>
      <c r="U78" s="125">
        <f t="shared" si="84"/>
        <v>1021.4399999999999</v>
      </c>
      <c r="V78" s="9" t="str">
        <f t="shared" si="11"/>
        <v/>
      </c>
      <c r="W78" s="9" t="str">
        <f t="shared" si="12"/>
        <v/>
      </c>
      <c r="X78" s="9"/>
      <c r="Y78" s="9"/>
      <c r="Z78" s="9"/>
      <c r="AA78" s="9"/>
    </row>
    <row r="79" spans="1:27" ht="13.5" customHeight="1" outlineLevel="1" x14ac:dyDescent="0.25">
      <c r="A79" s="371"/>
      <c r="B79" s="53" t="s">
        <v>69</v>
      </c>
      <c r="C79" s="54">
        <v>4.4999999999999998E-2</v>
      </c>
      <c r="D79" s="55">
        <v>4.4999999999999998E-2</v>
      </c>
      <c r="E79" s="56">
        <v>3.1</v>
      </c>
      <c r="F79" s="112">
        <f t="shared" si="74"/>
        <v>6.2775000000000001E-3</v>
      </c>
      <c r="G79" s="112">
        <f t="shared" si="75"/>
        <v>0.13949999999999999</v>
      </c>
      <c r="H79" s="177">
        <v>800</v>
      </c>
      <c r="I79" s="114">
        <f t="shared" si="76"/>
        <v>933</v>
      </c>
      <c r="J79" s="115">
        <f t="shared" si="77"/>
        <v>7.0308000000000002</v>
      </c>
      <c r="K79" s="116">
        <f t="shared" si="78"/>
        <v>50.400000000000006</v>
      </c>
      <c r="L79" s="117">
        <f t="shared" si="79"/>
        <v>42</v>
      </c>
      <c r="M79" s="178">
        <f t="shared" si="80"/>
        <v>0.26365500000000003</v>
      </c>
      <c r="N79" s="119">
        <f t="shared" si="81"/>
        <v>5.8589999999999991</v>
      </c>
      <c r="O79" s="195"/>
      <c r="P79" s="121" t="str">
        <f t="shared" si="82"/>
        <v/>
      </c>
      <c r="Q79" s="122"/>
      <c r="R79" s="180"/>
      <c r="S79" s="121">
        <f t="shared" si="83"/>
        <v>0</v>
      </c>
      <c r="T79" s="181">
        <v>42</v>
      </c>
      <c r="U79" s="125">
        <f t="shared" si="84"/>
        <v>295.29360000000003</v>
      </c>
      <c r="V79" s="9" t="str">
        <f t="shared" si="11"/>
        <v/>
      </c>
      <c r="W79" s="9" t="str">
        <f t="shared" si="12"/>
        <v/>
      </c>
      <c r="X79" s="9"/>
      <c r="Y79" s="9"/>
      <c r="Z79" s="9"/>
      <c r="AA79" s="9"/>
    </row>
    <row r="80" spans="1:27" ht="13.5" customHeight="1" outlineLevel="1" x14ac:dyDescent="0.25">
      <c r="A80" s="371"/>
      <c r="B80" s="53" t="s">
        <v>69</v>
      </c>
      <c r="C80" s="54">
        <v>4.4999999999999998E-2</v>
      </c>
      <c r="D80" s="55">
        <v>9.5000000000000001E-2</v>
      </c>
      <c r="E80" s="56">
        <v>3.1</v>
      </c>
      <c r="F80" s="112">
        <f t="shared" si="74"/>
        <v>1.32525E-2</v>
      </c>
      <c r="G80" s="112">
        <f t="shared" si="75"/>
        <v>0.29450000000000004</v>
      </c>
      <c r="H80" s="177">
        <v>800</v>
      </c>
      <c r="I80" s="114">
        <f t="shared" si="76"/>
        <v>933</v>
      </c>
      <c r="J80" s="115">
        <f t="shared" si="77"/>
        <v>14.8428</v>
      </c>
      <c r="K80" s="116">
        <f t="shared" si="78"/>
        <v>50.399999999999991</v>
      </c>
      <c r="L80" s="117">
        <f t="shared" si="79"/>
        <v>113</v>
      </c>
      <c r="M80" s="178">
        <f t="shared" si="80"/>
        <v>1.4975325000000002</v>
      </c>
      <c r="N80" s="119">
        <f t="shared" si="81"/>
        <v>33.278500000000001</v>
      </c>
      <c r="O80" s="195"/>
      <c r="P80" s="121" t="str">
        <f t="shared" si="82"/>
        <v/>
      </c>
      <c r="Q80" s="122"/>
      <c r="R80" s="180"/>
      <c r="S80" s="121">
        <f t="shared" si="83"/>
        <v>0</v>
      </c>
      <c r="T80" s="181">
        <v>113</v>
      </c>
      <c r="U80" s="125">
        <f t="shared" si="84"/>
        <v>1677.2364</v>
      </c>
      <c r="V80" s="9" t="str">
        <f t="shared" si="11"/>
        <v/>
      </c>
      <c r="W80" s="9" t="str">
        <f t="shared" si="12"/>
        <v/>
      </c>
      <c r="X80" s="9"/>
      <c r="Y80" s="9"/>
      <c r="Z80" s="9"/>
      <c r="AA80" s="9"/>
    </row>
    <row r="81" spans="1:27" ht="13.5" customHeight="1" outlineLevel="1" x14ac:dyDescent="0.25">
      <c r="A81" s="371"/>
      <c r="B81" s="53" t="s">
        <v>69</v>
      </c>
      <c r="C81" s="54">
        <v>4.4999999999999998E-2</v>
      </c>
      <c r="D81" s="55">
        <v>0.15</v>
      </c>
      <c r="E81" s="56">
        <v>3.1</v>
      </c>
      <c r="F81" s="112">
        <f t="shared" si="74"/>
        <v>2.0924999999999999E-2</v>
      </c>
      <c r="G81" s="112">
        <f t="shared" si="75"/>
        <v>0.46499999999999997</v>
      </c>
      <c r="H81" s="177">
        <v>800</v>
      </c>
      <c r="I81" s="114">
        <f t="shared" si="76"/>
        <v>933</v>
      </c>
      <c r="J81" s="115">
        <f t="shared" si="77"/>
        <v>23.436</v>
      </c>
      <c r="K81" s="116">
        <f t="shared" si="78"/>
        <v>50.400000000000006</v>
      </c>
      <c r="L81" s="117">
        <f t="shared" si="79"/>
        <v>33</v>
      </c>
      <c r="M81" s="178">
        <f t="shared" si="80"/>
        <v>0.69052499999999994</v>
      </c>
      <c r="N81" s="119">
        <f t="shared" si="81"/>
        <v>15.344999999999999</v>
      </c>
      <c r="O81" s="182"/>
      <c r="P81" s="121" t="str">
        <f t="shared" si="82"/>
        <v/>
      </c>
      <c r="Q81" s="122"/>
      <c r="R81" s="180"/>
      <c r="S81" s="121">
        <f t="shared" si="83"/>
        <v>0</v>
      </c>
      <c r="T81" s="181">
        <v>33</v>
      </c>
      <c r="U81" s="125">
        <f t="shared" si="84"/>
        <v>773.38800000000003</v>
      </c>
      <c r="V81" s="9" t="str">
        <f t="shared" si="11"/>
        <v/>
      </c>
      <c r="W81" s="9" t="str">
        <f t="shared" si="12"/>
        <v/>
      </c>
      <c r="X81" s="9"/>
      <c r="Y81" s="9"/>
      <c r="Z81" s="9"/>
      <c r="AA81" s="9"/>
    </row>
    <row r="82" spans="1:27" ht="13.5" customHeight="1" x14ac:dyDescent="0.25">
      <c r="A82" s="371"/>
      <c r="B82" s="148" t="s">
        <v>56</v>
      </c>
      <c r="C82" s="149"/>
      <c r="D82" s="150"/>
      <c r="E82" s="149" t="s">
        <v>34</v>
      </c>
      <c r="F82" s="151"/>
      <c r="G82" s="151"/>
      <c r="H82" s="152">
        <f t="shared" ref="H82:I82" si="85">AVERAGE(H75:H81)</f>
        <v>800</v>
      </c>
      <c r="I82" s="153">
        <f t="shared" si="85"/>
        <v>933</v>
      </c>
      <c r="J82" s="154"/>
      <c r="K82" s="152">
        <f>AVERAGE(K75:K81)</f>
        <v>37.280000000000008</v>
      </c>
      <c r="L82" s="155"/>
      <c r="M82" s="156">
        <f>SUM(M75:M81)</f>
        <v>5.3497443000000002</v>
      </c>
      <c r="N82" s="156"/>
      <c r="O82" s="157"/>
      <c r="P82" s="158">
        <f t="shared" ref="P82:Q82" si="86">SUM(P75:P81)</f>
        <v>0</v>
      </c>
      <c r="Q82" s="159">
        <f t="shared" si="86"/>
        <v>0</v>
      </c>
      <c r="R82" s="190"/>
      <c r="S82" s="161">
        <f>SUM(S75:S81)</f>
        <v>0</v>
      </c>
      <c r="T82" s="162"/>
      <c r="U82" s="163">
        <f>SUM(U75:U81)</f>
        <v>5991.713616</v>
      </c>
      <c r="V82" s="9" t="str">
        <f t="shared" si="11"/>
        <v/>
      </c>
      <c r="W82" s="9" t="str">
        <f t="shared" si="12"/>
        <v/>
      </c>
      <c r="X82" s="9"/>
      <c r="Y82" s="9"/>
      <c r="Z82" s="9"/>
      <c r="AA82" s="9"/>
    </row>
    <row r="83" spans="1:27" ht="13.5" customHeight="1" x14ac:dyDescent="0.25">
      <c r="A83" s="371"/>
      <c r="B83" s="164" t="s">
        <v>71</v>
      </c>
      <c r="C83" s="164"/>
      <c r="D83" s="164"/>
      <c r="E83" s="164"/>
      <c r="F83" s="164"/>
      <c r="G83" s="164"/>
      <c r="H83" s="164"/>
      <c r="I83" s="167"/>
      <c r="J83" s="168"/>
      <c r="K83" s="164"/>
      <c r="L83" s="164"/>
      <c r="M83" s="164"/>
      <c r="N83" s="169"/>
      <c r="O83" s="188"/>
      <c r="P83" s="164"/>
      <c r="Q83" s="189"/>
      <c r="R83" s="173"/>
      <c r="S83" s="164"/>
      <c r="T83" s="164"/>
      <c r="U83" s="174"/>
      <c r="V83" s="9" t="str">
        <f t="shared" si="11"/>
        <v/>
      </c>
      <c r="W83" s="9" t="str">
        <f t="shared" si="12"/>
        <v/>
      </c>
      <c r="X83" s="9"/>
      <c r="Y83" s="9"/>
      <c r="Z83" s="9"/>
      <c r="AA83" s="9"/>
    </row>
    <row r="84" spans="1:27" ht="13.5" customHeight="1" outlineLevel="1" x14ac:dyDescent="0.25">
      <c r="A84" s="371"/>
      <c r="B84" s="53" t="s">
        <v>72</v>
      </c>
      <c r="C84" s="54">
        <v>4.4999999999999998E-2</v>
      </c>
      <c r="D84" s="55">
        <v>4.4999999999999998E-2</v>
      </c>
      <c r="E84" s="183">
        <v>6</v>
      </c>
      <c r="F84" s="112">
        <f t="shared" ref="F84:F85" si="87">C84*D84*E84</f>
        <v>1.2149999999999999E-2</v>
      </c>
      <c r="G84" s="112">
        <f t="shared" ref="G84:G85" si="88">D84*E84</f>
        <v>0.27</v>
      </c>
      <c r="H84" s="177">
        <v>403.13</v>
      </c>
      <c r="I84" s="114">
        <f>ROUND(H84*1.125,0)</f>
        <v>454</v>
      </c>
      <c r="J84" s="115">
        <f t="shared" ref="J84:J85" si="89">ROUND((I84*0.992)*1.21,0)*(C84*D84*E84)</f>
        <v>6.6217499999999996</v>
      </c>
      <c r="K84" s="116">
        <f t="shared" ref="K84:K85" si="90">J84/(D84*E84)</f>
        <v>24.524999999999999</v>
      </c>
      <c r="L84" s="117">
        <f t="shared" ref="L84:L85" si="91">T84+R84-O84</f>
        <v>272</v>
      </c>
      <c r="M84" s="178">
        <f t="shared" ref="M84:M85" si="92">L84*F84</f>
        <v>3.3047999999999997</v>
      </c>
      <c r="N84" s="119">
        <f t="shared" ref="N84:N85" si="93">L84*G84</f>
        <v>73.44</v>
      </c>
      <c r="O84" s="179"/>
      <c r="P84" s="121" t="str">
        <f t="shared" ref="P84:P85" si="94">IF(O84="","",(O84*F84))</f>
        <v/>
      </c>
      <c r="Q84" s="122"/>
      <c r="R84" s="180"/>
      <c r="S84" s="121">
        <f t="shared" ref="S84:S85" si="95">R84*F84</f>
        <v>0</v>
      </c>
      <c r="T84" s="181">
        <v>272</v>
      </c>
      <c r="U84" s="125">
        <f t="shared" ref="U84:U85" si="96">J84*L84</f>
        <v>1801.116</v>
      </c>
      <c r="V84" s="9" t="str">
        <f t="shared" si="11"/>
        <v/>
      </c>
      <c r="W84" s="9" t="str">
        <f t="shared" si="12"/>
        <v/>
      </c>
      <c r="X84" s="9"/>
      <c r="Y84" s="9"/>
      <c r="Z84" s="9"/>
      <c r="AA84" s="9"/>
    </row>
    <row r="85" spans="1:27" ht="13.5" customHeight="1" outlineLevel="1" x14ac:dyDescent="0.25">
      <c r="A85" s="371"/>
      <c r="B85" s="53" t="s">
        <v>72</v>
      </c>
      <c r="C85" s="54">
        <v>9.5000000000000001E-2</v>
      </c>
      <c r="D85" s="55">
        <v>9.5000000000000001E-2</v>
      </c>
      <c r="E85" s="183">
        <v>2.4</v>
      </c>
      <c r="F85" s="112">
        <f t="shared" si="87"/>
        <v>2.1659999999999999E-2</v>
      </c>
      <c r="G85" s="112">
        <f t="shared" si="88"/>
        <v>0.22799999999999998</v>
      </c>
      <c r="H85" s="177">
        <v>369.23</v>
      </c>
      <c r="I85" s="114">
        <f>ROUND(H85*0.9546,0)</f>
        <v>352</v>
      </c>
      <c r="J85" s="115">
        <f t="shared" si="89"/>
        <v>9.1621799999999993</v>
      </c>
      <c r="K85" s="116">
        <f t="shared" si="90"/>
        <v>40.185000000000002</v>
      </c>
      <c r="L85" s="117">
        <f t="shared" si="91"/>
        <v>69</v>
      </c>
      <c r="M85" s="178">
        <f t="shared" si="92"/>
        <v>1.49454</v>
      </c>
      <c r="N85" s="119">
        <f t="shared" si="93"/>
        <v>15.731999999999999</v>
      </c>
      <c r="O85" s="182"/>
      <c r="P85" s="121" t="str">
        <f t="shared" si="94"/>
        <v/>
      </c>
      <c r="Q85" s="122"/>
      <c r="R85" s="180"/>
      <c r="S85" s="121">
        <f t="shared" si="95"/>
        <v>0</v>
      </c>
      <c r="T85" s="181">
        <v>69</v>
      </c>
      <c r="U85" s="125">
        <f t="shared" si="96"/>
        <v>632.1904199999999</v>
      </c>
      <c r="V85" s="9" t="str">
        <f t="shared" si="11"/>
        <v/>
      </c>
      <c r="W85" s="9" t="str">
        <f t="shared" si="12"/>
        <v/>
      </c>
      <c r="X85" s="9"/>
      <c r="Y85" s="9"/>
      <c r="Z85" s="9"/>
      <c r="AA85" s="9"/>
    </row>
    <row r="86" spans="1:27" ht="13.5" customHeight="1" x14ac:dyDescent="0.25">
      <c r="A86" s="371"/>
      <c r="B86" s="148" t="s">
        <v>56</v>
      </c>
      <c r="C86" s="149"/>
      <c r="D86" s="150"/>
      <c r="E86" s="149"/>
      <c r="F86" s="151"/>
      <c r="G86" s="151"/>
      <c r="H86" s="152">
        <f t="shared" ref="H86:I86" si="97">AVERAGE(H84:H85)</f>
        <v>386.18</v>
      </c>
      <c r="I86" s="153">
        <f t="shared" si="97"/>
        <v>403</v>
      </c>
      <c r="J86" s="154"/>
      <c r="K86" s="152">
        <f>AVERAGE(K84:K85)</f>
        <v>32.355000000000004</v>
      </c>
      <c r="L86" s="155"/>
      <c r="M86" s="196">
        <f>SUM(M84+M85)</f>
        <v>4.7993399999999999</v>
      </c>
      <c r="N86" s="156"/>
      <c r="O86" s="157"/>
      <c r="P86" s="158" t="e">
        <f t="shared" ref="P86:Q86" si="98">SUM(P84+P85)</f>
        <v>#VALUE!</v>
      </c>
      <c r="Q86" s="154">
        <f t="shared" si="98"/>
        <v>0</v>
      </c>
      <c r="R86" s="190"/>
      <c r="S86" s="161">
        <f>SUM(S84+S85)</f>
        <v>0</v>
      </c>
      <c r="T86" s="162"/>
      <c r="U86" s="163">
        <f>SUM(U84:U85)</f>
        <v>2433.3064199999999</v>
      </c>
      <c r="V86" s="9" t="str">
        <f t="shared" si="11"/>
        <v/>
      </c>
      <c r="W86" s="9" t="str">
        <f t="shared" si="12"/>
        <v/>
      </c>
      <c r="X86" s="9"/>
      <c r="Y86" s="9"/>
      <c r="Z86" s="9"/>
      <c r="AA86" s="9"/>
    </row>
    <row r="87" spans="1:27" ht="13.5" customHeight="1" x14ac:dyDescent="0.25">
      <c r="A87" s="371"/>
      <c r="B87" s="164" t="s">
        <v>73</v>
      </c>
      <c r="C87" s="164"/>
      <c r="D87" s="164"/>
      <c r="E87" s="164"/>
      <c r="F87" s="164"/>
      <c r="G87" s="164"/>
      <c r="H87" s="164"/>
      <c r="I87" s="167"/>
      <c r="J87" s="168"/>
      <c r="K87" s="164"/>
      <c r="L87" s="164"/>
      <c r="M87" s="164"/>
      <c r="N87" s="169"/>
      <c r="O87" s="188"/>
      <c r="P87" s="164"/>
      <c r="Q87" s="189"/>
      <c r="R87" s="173"/>
      <c r="S87" s="164"/>
      <c r="T87" s="164"/>
      <c r="U87" s="174"/>
      <c r="V87" s="9" t="str">
        <f t="shared" si="11"/>
        <v/>
      </c>
      <c r="W87" s="9" t="str">
        <f t="shared" si="12"/>
        <v/>
      </c>
      <c r="X87" s="9"/>
      <c r="Y87" s="9"/>
      <c r="Z87" s="9"/>
      <c r="AA87" s="9"/>
    </row>
    <row r="88" spans="1:27" ht="13.5" customHeight="1" outlineLevel="1" x14ac:dyDescent="0.25">
      <c r="A88" s="371"/>
      <c r="B88" s="53" t="s">
        <v>74</v>
      </c>
      <c r="C88" s="175">
        <v>0.01</v>
      </c>
      <c r="D88" s="176">
        <v>0.02</v>
      </c>
      <c r="E88" s="121">
        <v>1.6</v>
      </c>
      <c r="F88" s="112">
        <f>C88*D88*E88</f>
        <v>3.2000000000000003E-4</v>
      </c>
      <c r="G88" s="112">
        <f>D88*E88</f>
        <v>3.2000000000000001E-2</v>
      </c>
      <c r="H88" s="177">
        <v>571.20000000000005</v>
      </c>
      <c r="I88" s="114">
        <f>ROUND(H88*1.35,0)</f>
        <v>771</v>
      </c>
      <c r="J88" s="115">
        <f>ROUND((I88*0.992)*1.21,0)*(C88*D88*E88)</f>
        <v>0.29600000000000004</v>
      </c>
      <c r="K88" s="116">
        <f>J88/(D88*E88)</f>
        <v>9.2500000000000018</v>
      </c>
      <c r="L88" s="117">
        <f>T88+R88-O88</f>
        <v>568</v>
      </c>
      <c r="M88" s="178">
        <f>L88*F88</f>
        <v>0.18176</v>
      </c>
      <c r="N88" s="119">
        <f>L88*G88</f>
        <v>18.176000000000002</v>
      </c>
      <c r="O88" s="182"/>
      <c r="P88" s="121" t="str">
        <f>IF(O88="","",(O88*F88))</f>
        <v/>
      </c>
      <c r="Q88" s="122"/>
      <c r="R88" s="180"/>
      <c r="S88" s="121">
        <f>R88*F88</f>
        <v>0</v>
      </c>
      <c r="T88" s="181">
        <v>568</v>
      </c>
      <c r="U88" s="125">
        <f>J88*L88</f>
        <v>168.12800000000001</v>
      </c>
      <c r="V88" s="9" t="str">
        <f t="shared" si="11"/>
        <v/>
      </c>
      <c r="W88" s="9" t="str">
        <f t="shared" si="12"/>
        <v/>
      </c>
      <c r="X88" s="9"/>
      <c r="Y88" s="9"/>
      <c r="Z88" s="9"/>
      <c r="AA88" s="9"/>
    </row>
    <row r="89" spans="1:27" ht="13.5" customHeight="1" x14ac:dyDescent="0.25">
      <c r="A89" s="371"/>
      <c r="B89" s="148" t="s">
        <v>56</v>
      </c>
      <c r="C89" s="149"/>
      <c r="D89" s="150"/>
      <c r="E89" s="149"/>
      <c r="F89" s="151"/>
      <c r="G89" s="151"/>
      <c r="H89" s="152">
        <f t="shared" ref="H89:I89" si="99">AVERAGE(H88)</f>
        <v>571.20000000000005</v>
      </c>
      <c r="I89" s="153">
        <f t="shared" si="99"/>
        <v>771</v>
      </c>
      <c r="J89" s="154"/>
      <c r="K89" s="152">
        <f>AVERAGE(K88)</f>
        <v>9.2500000000000018</v>
      </c>
      <c r="L89" s="155"/>
      <c r="M89" s="156">
        <f>SUM(M88)</f>
        <v>0.18176</v>
      </c>
      <c r="N89" s="156"/>
      <c r="O89" s="157"/>
      <c r="P89" s="158">
        <f t="shared" ref="P89:Q89" si="100">SUM(P88)</f>
        <v>0</v>
      </c>
      <c r="Q89" s="159">
        <f t="shared" si="100"/>
        <v>0</v>
      </c>
      <c r="R89" s="190"/>
      <c r="S89" s="161">
        <f>SUM(S88)</f>
        <v>0</v>
      </c>
      <c r="T89" s="162"/>
      <c r="U89" s="163">
        <f>SUM(U88)</f>
        <v>168.12800000000001</v>
      </c>
      <c r="V89" s="9" t="str">
        <f t="shared" si="11"/>
        <v/>
      </c>
      <c r="W89" s="9" t="str">
        <f t="shared" si="12"/>
        <v/>
      </c>
      <c r="X89" s="9"/>
      <c r="Y89" s="9"/>
      <c r="Z89" s="9"/>
      <c r="AA89" s="9"/>
    </row>
    <row r="90" spans="1:27" ht="13.5" customHeight="1" x14ac:dyDescent="0.25">
      <c r="A90" s="371"/>
      <c r="B90" s="164" t="s">
        <v>75</v>
      </c>
      <c r="C90" s="164"/>
      <c r="D90" s="164"/>
      <c r="E90" s="164"/>
      <c r="F90" s="164"/>
      <c r="G90" s="164"/>
      <c r="H90" s="164"/>
      <c r="I90" s="167"/>
      <c r="J90" s="168"/>
      <c r="K90" s="164"/>
      <c r="L90" s="164"/>
      <c r="M90" s="164"/>
      <c r="N90" s="169"/>
      <c r="O90" s="188"/>
      <c r="P90" s="164"/>
      <c r="Q90" s="189"/>
      <c r="R90" s="173"/>
      <c r="S90" s="164"/>
      <c r="T90" s="164"/>
      <c r="U90" s="174"/>
      <c r="V90" s="9" t="str">
        <f t="shared" si="11"/>
        <v/>
      </c>
      <c r="W90" s="9" t="str">
        <f t="shared" si="12"/>
        <v/>
      </c>
      <c r="X90" s="9"/>
      <c r="Y90" s="9"/>
      <c r="Z90" s="9"/>
      <c r="AA90" s="9"/>
    </row>
    <row r="91" spans="1:27" ht="13.5" customHeight="1" outlineLevel="1" x14ac:dyDescent="0.25">
      <c r="A91" s="371"/>
      <c r="B91" s="53" t="s">
        <v>76</v>
      </c>
      <c r="C91" s="53">
        <v>0.9</v>
      </c>
      <c r="D91" s="56">
        <v>0.36</v>
      </c>
      <c r="E91" s="183">
        <v>1.04</v>
      </c>
      <c r="F91" s="372"/>
      <c r="G91" s="361"/>
      <c r="H91" s="361"/>
      <c r="I91" s="359"/>
      <c r="J91" s="197">
        <v>66.55</v>
      </c>
      <c r="K91" s="53"/>
      <c r="L91" s="117">
        <f t="shared" ref="L91:L98" si="101">T91+R91-O91</f>
        <v>1</v>
      </c>
      <c r="M91" s="198"/>
      <c r="N91" s="199"/>
      <c r="O91" s="200"/>
      <c r="P91" s="198"/>
      <c r="Q91" s="122"/>
      <c r="R91" s="201"/>
      <c r="S91" s="56"/>
      <c r="T91" s="124">
        <v>1</v>
      </c>
      <c r="U91" s="125">
        <f t="shared" ref="U91:U98" si="102">J91*L91</f>
        <v>66.55</v>
      </c>
      <c r="V91" s="9" t="str">
        <f t="shared" si="11"/>
        <v/>
      </c>
      <c r="W91" s="9" t="str">
        <f t="shared" si="12"/>
        <v/>
      </c>
      <c r="X91" s="9"/>
      <c r="Y91" s="9"/>
      <c r="Z91" s="9"/>
      <c r="AA91" s="9"/>
    </row>
    <row r="92" spans="1:27" ht="13.5" customHeight="1" outlineLevel="1" x14ac:dyDescent="0.25">
      <c r="A92" s="371"/>
      <c r="B92" s="53" t="s">
        <v>77</v>
      </c>
      <c r="C92" s="53">
        <v>0.35</v>
      </c>
      <c r="D92" s="56">
        <v>0.35</v>
      </c>
      <c r="E92" s="183">
        <v>1</v>
      </c>
      <c r="F92" s="372"/>
      <c r="G92" s="361"/>
      <c r="H92" s="361"/>
      <c r="I92" s="359"/>
      <c r="J92" s="197">
        <v>42.35</v>
      </c>
      <c r="K92" s="53"/>
      <c r="L92" s="117">
        <f t="shared" si="101"/>
        <v>1</v>
      </c>
      <c r="M92" s="198"/>
      <c r="N92" s="199"/>
      <c r="O92" s="200"/>
      <c r="P92" s="198"/>
      <c r="Q92" s="122"/>
      <c r="R92" s="201"/>
      <c r="S92" s="56"/>
      <c r="T92" s="124">
        <v>1</v>
      </c>
      <c r="U92" s="125">
        <f t="shared" si="102"/>
        <v>42.35</v>
      </c>
      <c r="V92" s="9" t="str">
        <f t="shared" si="11"/>
        <v/>
      </c>
      <c r="W92" s="9" t="str">
        <f t="shared" si="12"/>
        <v/>
      </c>
      <c r="X92" s="9"/>
      <c r="Y92" s="9"/>
      <c r="Z92" s="9"/>
      <c r="AA92" s="9"/>
    </row>
    <row r="93" spans="1:27" ht="13.5" customHeight="1" outlineLevel="1" x14ac:dyDescent="0.25">
      <c r="A93" s="371"/>
      <c r="B93" s="53" t="s">
        <v>78</v>
      </c>
      <c r="C93" s="53">
        <v>0.38</v>
      </c>
      <c r="D93" s="56">
        <v>0.38</v>
      </c>
      <c r="E93" s="183">
        <v>0.4</v>
      </c>
      <c r="F93" s="372"/>
      <c r="G93" s="361"/>
      <c r="H93" s="361"/>
      <c r="I93" s="359"/>
      <c r="J93" s="197">
        <v>36.299999999999997</v>
      </c>
      <c r="K93" s="53"/>
      <c r="L93" s="117">
        <f t="shared" si="101"/>
        <v>1</v>
      </c>
      <c r="M93" s="198"/>
      <c r="N93" s="199"/>
      <c r="O93" s="200"/>
      <c r="P93" s="198"/>
      <c r="Q93" s="122"/>
      <c r="R93" s="201"/>
      <c r="S93" s="56"/>
      <c r="T93" s="124">
        <v>1</v>
      </c>
      <c r="U93" s="125">
        <f t="shared" si="102"/>
        <v>36.299999999999997</v>
      </c>
      <c r="V93" s="9" t="str">
        <f t="shared" si="11"/>
        <v/>
      </c>
      <c r="W93" s="9" t="str">
        <f t="shared" si="12"/>
        <v/>
      </c>
      <c r="X93" s="9"/>
      <c r="Y93" s="9"/>
      <c r="Z93" s="9"/>
      <c r="AA93" s="9"/>
    </row>
    <row r="94" spans="1:27" ht="13.5" customHeight="1" outlineLevel="1" x14ac:dyDescent="0.25">
      <c r="A94" s="371"/>
      <c r="B94" s="53" t="s">
        <v>79</v>
      </c>
      <c r="C94" s="53">
        <v>0.9</v>
      </c>
      <c r="D94" s="56">
        <v>0.59</v>
      </c>
      <c r="E94" s="183">
        <v>1.2</v>
      </c>
      <c r="F94" s="372"/>
      <c r="G94" s="361"/>
      <c r="H94" s="361"/>
      <c r="I94" s="359"/>
      <c r="J94" s="197">
        <v>72.599999999999994</v>
      </c>
      <c r="K94" s="53"/>
      <c r="L94" s="117">
        <f t="shared" si="101"/>
        <v>1</v>
      </c>
      <c r="M94" s="198"/>
      <c r="N94" s="199"/>
      <c r="O94" s="200"/>
      <c r="P94" s="198"/>
      <c r="Q94" s="122"/>
      <c r="R94" s="201"/>
      <c r="S94" s="56"/>
      <c r="T94" s="124">
        <v>1</v>
      </c>
      <c r="U94" s="125">
        <f t="shared" si="102"/>
        <v>72.599999999999994</v>
      </c>
      <c r="V94" s="9" t="str">
        <f t="shared" si="11"/>
        <v/>
      </c>
      <c r="W94" s="9" t="str">
        <f t="shared" si="12"/>
        <v/>
      </c>
      <c r="X94" s="9"/>
      <c r="Y94" s="9"/>
      <c r="Z94" s="9"/>
      <c r="AA94" s="9"/>
    </row>
    <row r="95" spans="1:27" ht="13.5" customHeight="1" outlineLevel="1" x14ac:dyDescent="0.25">
      <c r="A95" s="371"/>
      <c r="B95" s="53" t="s">
        <v>80</v>
      </c>
      <c r="C95" s="53">
        <v>0.96</v>
      </c>
      <c r="D95" s="56">
        <v>0.8</v>
      </c>
      <c r="E95" s="183">
        <v>1.7</v>
      </c>
      <c r="F95" s="372"/>
      <c r="G95" s="361"/>
      <c r="H95" s="361"/>
      <c r="I95" s="359"/>
      <c r="J95" s="202">
        <v>170</v>
      </c>
      <c r="K95" s="53"/>
      <c r="L95" s="117">
        <f t="shared" si="101"/>
        <v>1</v>
      </c>
      <c r="M95" s="198"/>
      <c r="N95" s="199"/>
      <c r="O95" s="200"/>
      <c r="P95" s="198"/>
      <c r="Q95" s="122"/>
      <c r="R95" s="201"/>
      <c r="S95" s="56"/>
      <c r="T95" s="124">
        <v>1</v>
      </c>
      <c r="U95" s="125">
        <f t="shared" si="102"/>
        <v>170</v>
      </c>
      <c r="V95" s="9" t="str">
        <f t="shared" si="11"/>
        <v/>
      </c>
      <c r="W95" s="9" t="str">
        <f t="shared" si="12"/>
        <v/>
      </c>
      <c r="X95" s="9"/>
      <c r="Y95" s="9"/>
      <c r="Z95" s="9"/>
      <c r="AA95" s="9"/>
    </row>
    <row r="96" spans="1:27" ht="13.5" customHeight="1" outlineLevel="1" x14ac:dyDescent="0.25">
      <c r="A96" s="371"/>
      <c r="B96" s="53" t="s">
        <v>81</v>
      </c>
      <c r="C96" s="53">
        <v>0.96</v>
      </c>
      <c r="D96" s="56">
        <v>0.8</v>
      </c>
      <c r="E96" s="183">
        <v>1.7</v>
      </c>
      <c r="F96" s="372"/>
      <c r="G96" s="361"/>
      <c r="H96" s="361"/>
      <c r="I96" s="359"/>
      <c r="J96" s="202">
        <v>150</v>
      </c>
      <c r="K96" s="53"/>
      <c r="L96" s="117">
        <f t="shared" si="101"/>
        <v>1</v>
      </c>
      <c r="M96" s="198"/>
      <c r="N96" s="199"/>
      <c r="O96" s="200"/>
      <c r="P96" s="198"/>
      <c r="Q96" s="122"/>
      <c r="R96" s="201"/>
      <c r="S96" s="56"/>
      <c r="T96" s="124">
        <v>1</v>
      </c>
      <c r="U96" s="125">
        <f t="shared" si="102"/>
        <v>150</v>
      </c>
      <c r="V96" s="9" t="str">
        <f t="shared" si="11"/>
        <v/>
      </c>
      <c r="W96" s="9" t="str">
        <f t="shared" si="12"/>
        <v/>
      </c>
      <c r="X96" s="9"/>
      <c r="Y96" s="9"/>
      <c r="Z96" s="9"/>
      <c r="AA96" s="9"/>
    </row>
    <row r="97" spans="1:27" ht="13.5" customHeight="1" outlineLevel="1" x14ac:dyDescent="0.25">
      <c r="A97" s="371"/>
      <c r="B97" s="53" t="s">
        <v>82</v>
      </c>
      <c r="C97" s="53">
        <v>0.96</v>
      </c>
      <c r="D97" s="56">
        <v>0.8</v>
      </c>
      <c r="E97" s="183">
        <v>1.7</v>
      </c>
      <c r="F97" s="372"/>
      <c r="G97" s="361"/>
      <c r="H97" s="361"/>
      <c r="I97" s="359"/>
      <c r="J97" s="202">
        <v>150</v>
      </c>
      <c r="K97" s="53"/>
      <c r="L97" s="117">
        <f t="shared" si="101"/>
        <v>1</v>
      </c>
      <c r="M97" s="198"/>
      <c r="N97" s="199"/>
      <c r="O97" s="200"/>
      <c r="P97" s="198"/>
      <c r="Q97" s="122"/>
      <c r="R97" s="201"/>
      <c r="S97" s="56"/>
      <c r="T97" s="124">
        <v>1</v>
      </c>
      <c r="U97" s="125">
        <f t="shared" si="102"/>
        <v>150</v>
      </c>
      <c r="V97" s="9" t="str">
        <f t="shared" si="11"/>
        <v/>
      </c>
      <c r="W97" s="9" t="str">
        <f t="shared" si="12"/>
        <v/>
      </c>
      <c r="X97" s="9"/>
      <c r="Y97" s="9"/>
      <c r="Z97" s="9"/>
      <c r="AA97" s="9"/>
    </row>
    <row r="98" spans="1:27" ht="13.5" customHeight="1" outlineLevel="1" x14ac:dyDescent="0.25">
      <c r="A98" s="371"/>
      <c r="B98" s="186" t="s">
        <v>83</v>
      </c>
      <c r="C98" s="186">
        <v>0.14000000000000001</v>
      </c>
      <c r="D98" s="140">
        <v>0.35</v>
      </c>
      <c r="E98" s="203">
        <v>0.91</v>
      </c>
      <c r="F98" s="373"/>
      <c r="G98" s="374"/>
      <c r="H98" s="374"/>
      <c r="I98" s="375"/>
      <c r="J98" s="204"/>
      <c r="K98" s="186"/>
      <c r="L98" s="117">
        <f t="shared" si="101"/>
        <v>1</v>
      </c>
      <c r="M98" s="205"/>
      <c r="N98" s="206"/>
      <c r="O98" s="207"/>
      <c r="P98" s="205"/>
      <c r="Q98" s="122"/>
      <c r="R98" s="208"/>
      <c r="S98" s="140"/>
      <c r="T98" s="124">
        <v>1</v>
      </c>
      <c r="U98" s="125">
        <f t="shared" si="102"/>
        <v>0</v>
      </c>
      <c r="V98" s="9" t="str">
        <f t="shared" si="11"/>
        <v/>
      </c>
      <c r="W98" s="9" t="str">
        <f t="shared" si="12"/>
        <v/>
      </c>
      <c r="X98" s="9"/>
      <c r="Y98" s="9"/>
      <c r="Z98" s="9"/>
      <c r="AA98" s="9"/>
    </row>
    <row r="99" spans="1:27" ht="15" customHeight="1" x14ac:dyDescent="0.25">
      <c r="A99" s="371"/>
      <c r="B99" s="149" t="s">
        <v>56</v>
      </c>
      <c r="C99" s="209"/>
      <c r="D99" s="209"/>
      <c r="E99" s="209"/>
      <c r="F99" s="209"/>
      <c r="G99" s="209"/>
      <c r="H99" s="209"/>
      <c r="I99" s="210"/>
      <c r="J99" s="211"/>
      <c r="K99" s="149"/>
      <c r="L99" s="155"/>
      <c r="M99" s="156"/>
      <c r="N99" s="212"/>
      <c r="O99" s="211"/>
      <c r="P99" s="158"/>
      <c r="Q99" s="159">
        <f>SUM(Q91:Q98)</f>
        <v>0</v>
      </c>
      <c r="R99" s="190"/>
      <c r="S99" s="161">
        <f>SUM(S91:S98)</f>
        <v>0</v>
      </c>
      <c r="T99" s="162"/>
      <c r="U99" s="163">
        <f>SUM(U91:U98)</f>
        <v>687.8</v>
      </c>
      <c r="V99" s="9" t="str">
        <f t="shared" si="11"/>
        <v/>
      </c>
      <c r="W99" s="9" t="str">
        <f t="shared" si="12"/>
        <v/>
      </c>
      <c r="X99" s="9"/>
      <c r="Y99" s="9"/>
      <c r="Z99" s="9"/>
      <c r="AA99" s="9"/>
    </row>
    <row r="100" spans="1:27" ht="15" customHeight="1" x14ac:dyDescent="0.25">
      <c r="A100" s="332"/>
      <c r="B100" s="213" t="s">
        <v>84</v>
      </c>
      <c r="C100" s="214"/>
      <c r="D100" s="214"/>
      <c r="E100" s="214"/>
      <c r="F100" s="214"/>
      <c r="G100" s="214"/>
      <c r="H100" s="215">
        <f t="shared" ref="H100:I100" si="103">AVERAGE(H29:H58:H64:H68:H73:H82:H86:H89)</f>
        <v>489.07377046098117</v>
      </c>
      <c r="I100" s="216">
        <f t="shared" si="103"/>
        <v>489.07377046098117</v>
      </c>
      <c r="J100" s="217"/>
      <c r="K100" s="215">
        <f>AVERAGE(K29:K58:K64:K68:K73:K82:K86:K89)</f>
        <v>16.39174708504801</v>
      </c>
      <c r="L100" s="218"/>
      <c r="M100" s="214">
        <f>SUM(M29+M58+M64+M68+M73+M82+M86+M89)</f>
        <v>166.38146839999996</v>
      </c>
      <c r="N100" s="219"/>
      <c r="O100" s="220"/>
      <c r="P100" s="215" t="e">
        <f>SUM(P29+P58+P64+P68+P73+P82+P86+P89)</f>
        <v>#VALUE!</v>
      </c>
      <c r="Q100" s="221">
        <f>SUM(Q29+Q58+Q64+Q68+Q73+Q82+Q86+Q89+Q99)</f>
        <v>0</v>
      </c>
      <c r="R100" s="222"/>
      <c r="S100" s="215">
        <f>SUM(S29+S58+S64+S68+S73+S82+S86+S89+S99)</f>
        <v>0</v>
      </c>
      <c r="T100" s="223"/>
      <c r="U100" s="224">
        <f>SUM(U29+U58+U64+U68+U73+U82+U86+U89+U99)</f>
        <v>98115.523597899984</v>
      </c>
      <c r="V100" s="9" t="str">
        <f t="shared" si="11"/>
        <v/>
      </c>
      <c r="W100" s="9" t="str">
        <f t="shared" si="12"/>
        <v/>
      </c>
      <c r="X100" s="9"/>
      <c r="Y100" s="9"/>
      <c r="Z100" s="9"/>
      <c r="AA100" s="9"/>
    </row>
    <row r="101" spans="1:27" ht="13.5" customHeight="1" x14ac:dyDescent="0.25">
      <c r="A101" s="365" t="s">
        <v>85</v>
      </c>
      <c r="B101" s="164" t="s">
        <v>86</v>
      </c>
      <c r="C101" s="164"/>
      <c r="D101" s="164"/>
      <c r="E101" s="164"/>
      <c r="F101" s="164"/>
      <c r="G101" s="164"/>
      <c r="H101" s="164"/>
      <c r="I101" s="167"/>
      <c r="J101" s="168"/>
      <c r="K101" s="164"/>
      <c r="L101" s="164"/>
      <c r="M101" s="164"/>
      <c r="N101" s="169"/>
      <c r="O101" s="188"/>
      <c r="P101" s="164"/>
      <c r="Q101" s="189"/>
      <c r="R101" s="173"/>
      <c r="S101" s="164"/>
      <c r="T101" s="164"/>
      <c r="U101" s="174"/>
      <c r="V101" s="9" t="str">
        <f t="shared" si="11"/>
        <v/>
      </c>
      <c r="W101" s="9" t="str">
        <f t="shared" si="12"/>
        <v/>
      </c>
      <c r="X101" s="9"/>
      <c r="Y101" s="9"/>
      <c r="Z101" s="9"/>
      <c r="AA101" s="9"/>
    </row>
    <row r="102" spans="1:27" ht="13.5" customHeight="1" outlineLevel="1" x14ac:dyDescent="0.25">
      <c r="A102" s="366"/>
      <c r="B102" s="53" t="s">
        <v>87</v>
      </c>
      <c r="C102" s="175">
        <v>4.4999999999999998E-2</v>
      </c>
      <c r="D102" s="176">
        <v>0.12</v>
      </c>
      <c r="E102" s="121">
        <v>3.9</v>
      </c>
      <c r="F102" s="112">
        <f t="shared" ref="F102:F107" si="104">C102*D102*E102</f>
        <v>2.1059999999999999E-2</v>
      </c>
      <c r="G102" s="112">
        <f t="shared" ref="G102:G107" si="105">D102*E102</f>
        <v>0.46799999999999997</v>
      </c>
      <c r="H102" s="177">
        <v>210</v>
      </c>
      <c r="I102" s="114">
        <v>300</v>
      </c>
      <c r="J102" s="115">
        <f t="shared" ref="J102:J106" si="106">I102*F102</f>
        <v>6.3179999999999996</v>
      </c>
      <c r="K102" s="116">
        <f t="shared" ref="K102:K107" si="107">J102/(D102*E102)</f>
        <v>13.5</v>
      </c>
      <c r="L102" s="117">
        <f t="shared" ref="L102:L107" si="108">T102+R102-O102</f>
        <v>160</v>
      </c>
      <c r="M102" s="178">
        <f t="shared" ref="M102:M107" si="109">L102*F102</f>
        <v>3.3695999999999997</v>
      </c>
      <c r="N102" s="119">
        <f t="shared" ref="N102:N107" si="110">L102*G102</f>
        <v>74.88</v>
      </c>
      <c r="O102" s="182"/>
      <c r="P102" s="121" t="str">
        <f t="shared" ref="P102:P107" si="111">IF(O102="","",(O102*F102))</f>
        <v/>
      </c>
      <c r="Q102" s="122"/>
      <c r="R102" s="180"/>
      <c r="S102" s="121">
        <f t="shared" ref="S102:S107" si="112">R102*F102</f>
        <v>0</v>
      </c>
      <c r="T102" s="181">
        <v>160</v>
      </c>
      <c r="U102" s="125">
        <f t="shared" ref="U102:U107" si="113">J102*L102</f>
        <v>1010.8799999999999</v>
      </c>
      <c r="V102" s="9" t="str">
        <f t="shared" si="11"/>
        <v/>
      </c>
      <c r="W102" s="9" t="str">
        <f t="shared" si="12"/>
        <v/>
      </c>
      <c r="X102" s="9"/>
      <c r="Y102" s="9"/>
      <c r="Z102" s="9"/>
      <c r="AA102" s="9"/>
    </row>
    <row r="103" spans="1:27" ht="13.5" customHeight="1" outlineLevel="1" x14ac:dyDescent="0.25">
      <c r="A103" s="366"/>
      <c r="B103" s="53" t="s">
        <v>87</v>
      </c>
      <c r="C103" s="175">
        <v>4.4999999999999998E-2</v>
      </c>
      <c r="D103" s="176">
        <v>0.12</v>
      </c>
      <c r="E103" s="121">
        <v>4.2</v>
      </c>
      <c r="F103" s="112">
        <f t="shared" si="104"/>
        <v>2.2679999999999999E-2</v>
      </c>
      <c r="G103" s="112">
        <f t="shared" si="105"/>
        <v>0.504</v>
      </c>
      <c r="H103" s="177">
        <v>210</v>
      </c>
      <c r="I103" s="114">
        <v>300</v>
      </c>
      <c r="J103" s="115">
        <f t="shared" si="106"/>
        <v>6.8039999999999994</v>
      </c>
      <c r="K103" s="116">
        <f t="shared" si="107"/>
        <v>13.499999999999998</v>
      </c>
      <c r="L103" s="117">
        <f t="shared" si="108"/>
        <v>1280</v>
      </c>
      <c r="M103" s="178">
        <f t="shared" si="109"/>
        <v>29.0304</v>
      </c>
      <c r="N103" s="119">
        <f t="shared" si="110"/>
        <v>645.12</v>
      </c>
      <c r="O103" s="182"/>
      <c r="P103" s="121" t="str">
        <f t="shared" si="111"/>
        <v/>
      </c>
      <c r="Q103" s="122"/>
      <c r="R103" s="180"/>
      <c r="S103" s="121">
        <f t="shared" si="112"/>
        <v>0</v>
      </c>
      <c r="T103" s="181">
        <v>1280</v>
      </c>
      <c r="U103" s="125">
        <f t="shared" si="113"/>
        <v>8709.119999999999</v>
      </c>
      <c r="V103" s="9" t="str">
        <f t="shared" si="11"/>
        <v/>
      </c>
      <c r="W103" s="9" t="str">
        <f t="shared" si="12"/>
        <v/>
      </c>
      <c r="X103" s="9"/>
      <c r="Y103" s="9"/>
      <c r="Z103" s="9"/>
      <c r="AA103" s="9"/>
    </row>
    <row r="104" spans="1:27" ht="13.5" customHeight="1" outlineLevel="1" x14ac:dyDescent="0.25">
      <c r="A104" s="366"/>
      <c r="B104" s="324" t="s">
        <v>88</v>
      </c>
      <c r="C104" s="175">
        <v>4.4999999999999998E-2</v>
      </c>
      <c r="D104" s="176">
        <v>0.14499999999999999</v>
      </c>
      <c r="E104" s="121">
        <v>4.8</v>
      </c>
      <c r="F104" s="112">
        <f t="shared" si="104"/>
        <v>3.1319999999999994E-2</v>
      </c>
      <c r="G104" s="112">
        <f t="shared" si="105"/>
        <v>0.69599999999999995</v>
      </c>
      <c r="H104" s="177">
        <f>345+2.7</f>
        <v>347.7</v>
      </c>
      <c r="I104" s="114">
        <f>H104*1.05838</f>
        <v>367.99872600000003</v>
      </c>
      <c r="J104" s="115">
        <f t="shared" si="106"/>
        <v>11.525720098319999</v>
      </c>
      <c r="K104" s="116">
        <f t="shared" si="107"/>
        <v>16.559942669999998</v>
      </c>
      <c r="L104" s="117">
        <f t="shared" si="108"/>
        <v>336</v>
      </c>
      <c r="M104" s="178">
        <f t="shared" si="109"/>
        <v>10.523519999999998</v>
      </c>
      <c r="N104" s="119">
        <f t="shared" si="110"/>
        <v>233.85599999999999</v>
      </c>
      <c r="O104" s="182"/>
      <c r="P104" s="121" t="str">
        <f t="shared" si="111"/>
        <v/>
      </c>
      <c r="Q104" s="122"/>
      <c r="R104" s="180"/>
      <c r="S104" s="121">
        <f t="shared" si="112"/>
        <v>0</v>
      </c>
      <c r="T104" s="181">
        <v>336</v>
      </c>
      <c r="U104" s="125">
        <f t="shared" si="113"/>
        <v>3872.6419530355197</v>
      </c>
      <c r="V104" s="9" t="str">
        <f t="shared" si="11"/>
        <v/>
      </c>
      <c r="W104" s="9" t="str">
        <f t="shared" si="12"/>
        <v/>
      </c>
      <c r="X104" s="9"/>
      <c r="Y104" s="9"/>
      <c r="Z104" s="9"/>
      <c r="AA104" s="9"/>
    </row>
    <row r="105" spans="1:27" ht="13.5" customHeight="1" outlineLevel="1" x14ac:dyDescent="0.25">
      <c r="A105" s="366"/>
      <c r="B105" s="324" t="s">
        <v>88</v>
      </c>
      <c r="C105" s="175">
        <v>4.4999999999999998E-2</v>
      </c>
      <c r="D105" s="176">
        <v>0.14499999999999999</v>
      </c>
      <c r="E105" s="121">
        <v>6</v>
      </c>
      <c r="F105" s="112">
        <f t="shared" si="104"/>
        <v>3.9149999999999997E-2</v>
      </c>
      <c r="G105" s="112">
        <f t="shared" si="105"/>
        <v>0.86999999999999988</v>
      </c>
      <c r="H105" s="177">
        <f>370+2.9</f>
        <v>372.9</v>
      </c>
      <c r="I105" s="114">
        <f>H105*1.0539</f>
        <v>392.99930999999998</v>
      </c>
      <c r="J105" s="115">
        <f t="shared" si="106"/>
        <v>15.385922986499999</v>
      </c>
      <c r="K105" s="116">
        <f t="shared" si="107"/>
        <v>17.684968950000002</v>
      </c>
      <c r="L105" s="117">
        <f t="shared" si="108"/>
        <v>315</v>
      </c>
      <c r="M105" s="178">
        <f t="shared" si="109"/>
        <v>12.332249999999998</v>
      </c>
      <c r="N105" s="119">
        <f t="shared" si="110"/>
        <v>274.04999999999995</v>
      </c>
      <c r="O105" s="182"/>
      <c r="P105" s="121" t="str">
        <f t="shared" si="111"/>
        <v/>
      </c>
      <c r="Q105" s="122"/>
      <c r="R105" s="180"/>
      <c r="S105" s="121">
        <f t="shared" si="112"/>
        <v>0</v>
      </c>
      <c r="T105" s="181">
        <v>315</v>
      </c>
      <c r="U105" s="125">
        <f t="shared" si="113"/>
        <v>4846.5657407475001</v>
      </c>
      <c r="V105" s="9" t="str">
        <f t="shared" si="11"/>
        <v/>
      </c>
      <c r="W105" s="9" t="str">
        <f t="shared" si="12"/>
        <v/>
      </c>
      <c r="X105" s="9"/>
      <c r="Y105" s="9"/>
      <c r="Z105" s="9"/>
      <c r="AA105" s="9"/>
    </row>
    <row r="106" spans="1:27" ht="13.5" customHeight="1" outlineLevel="1" x14ac:dyDescent="0.25">
      <c r="A106" s="366"/>
      <c r="B106" s="324" t="s">
        <v>88</v>
      </c>
      <c r="C106" s="54">
        <v>4.4999999999999998E-2</v>
      </c>
      <c r="D106" s="55">
        <v>0.19500000000000001</v>
      </c>
      <c r="E106" s="56">
        <v>4.8</v>
      </c>
      <c r="F106" s="112">
        <f t="shared" si="104"/>
        <v>4.2119999999999998E-2</v>
      </c>
      <c r="G106" s="112">
        <f t="shared" si="105"/>
        <v>0.93599999999999994</v>
      </c>
      <c r="H106" s="177">
        <f>345+2.7</f>
        <v>347.7</v>
      </c>
      <c r="I106" s="114">
        <f>H106*1.05838</f>
        <v>367.99872600000003</v>
      </c>
      <c r="J106" s="115">
        <f t="shared" si="106"/>
        <v>15.50010633912</v>
      </c>
      <c r="K106" s="116">
        <f t="shared" si="107"/>
        <v>16.559942670000002</v>
      </c>
      <c r="L106" s="117">
        <f t="shared" si="108"/>
        <v>180</v>
      </c>
      <c r="M106" s="178">
        <f t="shared" si="109"/>
        <v>7.5815999999999999</v>
      </c>
      <c r="N106" s="119">
        <f t="shared" si="110"/>
        <v>168.48</v>
      </c>
      <c r="O106" s="182"/>
      <c r="P106" s="121" t="str">
        <f t="shared" si="111"/>
        <v/>
      </c>
      <c r="Q106" s="122"/>
      <c r="R106" s="180"/>
      <c r="S106" s="121">
        <f t="shared" si="112"/>
        <v>0</v>
      </c>
      <c r="T106" s="181">
        <v>180</v>
      </c>
      <c r="U106" s="125">
        <f t="shared" si="113"/>
        <v>2790.0191410416001</v>
      </c>
      <c r="V106" s="9" t="str">
        <f t="shared" si="11"/>
        <v/>
      </c>
      <c r="W106" s="9" t="str">
        <f t="shared" si="12"/>
        <v/>
      </c>
      <c r="X106" s="9"/>
      <c r="Y106" s="9"/>
      <c r="Z106" s="9"/>
      <c r="AA106" s="9"/>
    </row>
    <row r="107" spans="1:27" ht="13.5" customHeight="1" outlineLevel="1" x14ac:dyDescent="0.25">
      <c r="A107" s="366"/>
      <c r="B107" s="324" t="s">
        <v>89</v>
      </c>
      <c r="C107" s="175">
        <v>4.4999999999999998E-2</v>
      </c>
      <c r="D107" s="176">
        <v>0.19500000000000001</v>
      </c>
      <c r="E107" s="121">
        <v>6</v>
      </c>
      <c r="F107" s="112">
        <f t="shared" si="104"/>
        <v>5.2650000000000002E-2</v>
      </c>
      <c r="G107" s="112">
        <f t="shared" si="105"/>
        <v>1.17</v>
      </c>
      <c r="H107" s="177">
        <f>370+2.9</f>
        <v>372.9</v>
      </c>
      <c r="I107" s="114">
        <f>ROUND(H107*1.1667,0)</f>
        <v>435</v>
      </c>
      <c r="J107" s="115">
        <f>ROUND((I107*0.992)*1.21,0)*(C107*D107*E107)</f>
        <v>27.4833</v>
      </c>
      <c r="K107" s="116">
        <f t="shared" si="107"/>
        <v>23.490000000000002</v>
      </c>
      <c r="L107" s="117">
        <f t="shared" si="108"/>
        <v>83</v>
      </c>
      <c r="M107" s="178">
        <f t="shared" si="109"/>
        <v>4.3699500000000002</v>
      </c>
      <c r="N107" s="119">
        <f t="shared" si="110"/>
        <v>97.11</v>
      </c>
      <c r="O107" s="182"/>
      <c r="P107" s="121" t="str">
        <f t="shared" si="111"/>
        <v/>
      </c>
      <c r="Q107" s="122"/>
      <c r="R107" s="180"/>
      <c r="S107" s="121">
        <f t="shared" si="112"/>
        <v>0</v>
      </c>
      <c r="T107" s="181">
        <v>83</v>
      </c>
      <c r="U107" s="125">
        <f t="shared" si="113"/>
        <v>2281.1138999999998</v>
      </c>
      <c r="V107" s="9" t="str">
        <f t="shared" si="11"/>
        <v/>
      </c>
      <c r="W107" s="9" t="str">
        <f t="shared" si="12"/>
        <v/>
      </c>
      <c r="X107" s="9"/>
      <c r="Y107" s="9"/>
      <c r="Z107" s="9"/>
      <c r="AA107" s="9"/>
    </row>
    <row r="108" spans="1:27" ht="15" customHeight="1" x14ac:dyDescent="0.25">
      <c r="A108" s="366"/>
      <c r="B108" s="225" t="s">
        <v>90</v>
      </c>
      <c r="C108" s="226"/>
      <c r="D108" s="226"/>
      <c r="E108" s="226"/>
      <c r="F108" s="226"/>
      <c r="G108" s="226"/>
      <c r="H108" s="227">
        <f t="shared" ref="H108:I108" si="114">AVERAGE(H102:H107)</f>
        <v>310.2</v>
      </c>
      <c r="I108" s="228">
        <f t="shared" si="114"/>
        <v>360.66612699999996</v>
      </c>
      <c r="J108" s="229"/>
      <c r="K108" s="227">
        <f>AVERAGE(K102:K107)</f>
        <v>16.882475714999998</v>
      </c>
      <c r="L108" s="230"/>
      <c r="M108" s="227">
        <f>SUM(M102:M107)</f>
        <v>67.207319999999996</v>
      </c>
      <c r="N108" s="231"/>
      <c r="O108" s="232"/>
      <c r="P108" s="227">
        <f t="shared" ref="P108:Q108" si="115">SUM(P102:P107)</f>
        <v>0</v>
      </c>
      <c r="Q108" s="233">
        <f t="shared" si="115"/>
        <v>0</v>
      </c>
      <c r="R108" s="234"/>
      <c r="S108" s="235">
        <f>SUM(S104:S107)</f>
        <v>0</v>
      </c>
      <c r="T108" s="236"/>
      <c r="U108" s="237">
        <f>SUM(U102:U107)</f>
        <v>23510.340734824618</v>
      </c>
      <c r="V108" s="9" t="str">
        <f t="shared" si="11"/>
        <v/>
      </c>
      <c r="W108" s="9" t="str">
        <f t="shared" si="12"/>
        <v/>
      </c>
      <c r="X108" s="9"/>
      <c r="Y108" s="9"/>
      <c r="Z108" s="9"/>
      <c r="AA108" s="9"/>
    </row>
    <row r="109" spans="1:27" ht="13.5" customHeight="1" x14ac:dyDescent="0.25">
      <c r="A109" s="367" t="s">
        <v>91</v>
      </c>
      <c r="B109" s="164" t="s">
        <v>92</v>
      </c>
      <c r="C109" s="164"/>
      <c r="D109" s="164"/>
      <c r="E109" s="164"/>
      <c r="F109" s="164"/>
      <c r="G109" s="164"/>
      <c r="H109" s="164"/>
      <c r="I109" s="167"/>
      <c r="J109" s="168"/>
      <c r="K109" s="164"/>
      <c r="L109" s="164"/>
      <c r="M109" s="164"/>
      <c r="N109" s="169"/>
      <c r="O109" s="188"/>
      <c r="P109" s="164"/>
      <c r="Q109" s="189"/>
      <c r="R109" s="173"/>
      <c r="S109" s="164"/>
      <c r="T109" s="164"/>
      <c r="U109" s="174"/>
      <c r="V109" s="9" t="str">
        <f t="shared" si="11"/>
        <v/>
      </c>
      <c r="W109" s="9" t="str">
        <f t="shared" si="12"/>
        <v/>
      </c>
      <c r="X109" s="9"/>
      <c r="Y109" s="9"/>
      <c r="Z109" s="9"/>
      <c r="AA109" s="9"/>
    </row>
    <row r="110" spans="1:27" ht="13.5" customHeight="1" outlineLevel="1" x14ac:dyDescent="0.25">
      <c r="A110" s="366"/>
      <c r="B110" s="248" t="s">
        <v>118</v>
      </c>
      <c r="C110" s="175">
        <v>0.01</v>
      </c>
      <c r="D110" s="176">
        <v>0.02</v>
      </c>
      <c r="E110" s="121">
        <v>1.6</v>
      </c>
      <c r="F110" s="112">
        <f t="shared" ref="F110:F172" si="116">C110*D110*E110</f>
        <v>3.2000000000000003E-4</v>
      </c>
      <c r="G110" s="112">
        <f t="shared" ref="G110:G172" si="117">D110*E110</f>
        <v>3.2000000000000001E-2</v>
      </c>
      <c r="H110" s="177">
        <v>571.20000000000005</v>
      </c>
      <c r="I110" s="114"/>
      <c r="J110" s="115"/>
      <c r="K110" s="116"/>
      <c r="L110" s="117"/>
      <c r="M110" s="178"/>
      <c r="N110" s="119"/>
      <c r="O110" s="182"/>
      <c r="P110" s="121"/>
      <c r="Q110" s="122"/>
      <c r="R110" s="180"/>
      <c r="S110" s="121"/>
      <c r="T110" s="181"/>
      <c r="U110" s="125"/>
      <c r="V110" s="9" t="str">
        <f t="shared" si="11"/>
        <v/>
      </c>
      <c r="W110" s="9" t="str">
        <f t="shared" si="12"/>
        <v/>
      </c>
      <c r="X110" s="9"/>
      <c r="Y110" s="9"/>
      <c r="Z110" s="9"/>
      <c r="AA110" s="9"/>
    </row>
    <row r="111" spans="1:27" ht="13.5" customHeight="1" outlineLevel="1" x14ac:dyDescent="0.25">
      <c r="A111" s="366"/>
      <c r="B111" s="53" t="s">
        <v>94</v>
      </c>
      <c r="C111" s="175">
        <v>0.02</v>
      </c>
      <c r="D111" s="176">
        <v>4.4999999999999998E-2</v>
      </c>
      <c r="E111" s="121">
        <v>2.5</v>
      </c>
      <c r="F111" s="112">
        <f t="shared" si="116"/>
        <v>2.2499999999999998E-3</v>
      </c>
      <c r="G111" s="112">
        <f t="shared" si="117"/>
        <v>0.11249999999999999</v>
      </c>
      <c r="H111" s="177">
        <f>600/1.1667</f>
        <v>514.27102082797626</v>
      </c>
      <c r="I111" s="114">
        <f t="shared" ref="I111:I112" si="118">ROUND(H111*1.1667,0)</f>
        <v>600</v>
      </c>
      <c r="J111" s="115">
        <f t="shared" ref="J111:J124" si="119">ROUND((I111*0.992)*1.21,0)*(C111*D111*E111)</f>
        <v>1.6199999999999999</v>
      </c>
      <c r="K111" s="116">
        <f t="shared" ref="K111:K172" si="120">J111/(D111*E111)</f>
        <v>14.4</v>
      </c>
      <c r="L111" s="117">
        <f t="shared" ref="L111:L116" si="121">T111+R111-O111</f>
        <v>249</v>
      </c>
      <c r="M111" s="178">
        <f t="shared" ref="M111:M172" si="122">L111*F111</f>
        <v>0.56024999999999991</v>
      </c>
      <c r="N111" s="119">
        <f t="shared" ref="N111:N172" si="123">L111*G111</f>
        <v>28.012499999999996</v>
      </c>
      <c r="O111" s="182"/>
      <c r="P111" s="121" t="str">
        <f t="shared" ref="P111:P172" si="124">IF(O111="","",(O111*F111))</f>
        <v/>
      </c>
      <c r="Q111" s="122"/>
      <c r="R111" s="180"/>
      <c r="S111" s="121">
        <f t="shared" ref="S111:S172" si="125">R111*F111</f>
        <v>0</v>
      </c>
      <c r="T111" s="181">
        <v>249</v>
      </c>
      <c r="U111" s="125">
        <f t="shared" ref="U111:U172" si="126">J111*L111</f>
        <v>403.38</v>
      </c>
      <c r="V111" s="9" t="str">
        <f t="shared" si="11"/>
        <v/>
      </c>
      <c r="W111" s="9" t="str">
        <f t="shared" si="12"/>
        <v/>
      </c>
      <c r="X111" s="9"/>
      <c r="Y111" s="9"/>
      <c r="Z111" s="9"/>
      <c r="AA111" s="9"/>
    </row>
    <row r="112" spans="1:27" ht="13.5" customHeight="1" outlineLevel="1" x14ac:dyDescent="0.25">
      <c r="A112" s="366"/>
      <c r="B112" s="53" t="s">
        <v>94</v>
      </c>
      <c r="C112" s="175">
        <v>0.02</v>
      </c>
      <c r="D112" s="176">
        <v>4.4999999999999998E-2</v>
      </c>
      <c r="E112" s="121">
        <v>3</v>
      </c>
      <c r="F112" s="112">
        <f t="shared" si="116"/>
        <v>2.7000000000000001E-3</v>
      </c>
      <c r="G112" s="112">
        <f t="shared" si="117"/>
        <v>0.13500000000000001</v>
      </c>
      <c r="H112" s="177">
        <v>514.27</v>
      </c>
      <c r="I112" s="114">
        <f t="shared" si="118"/>
        <v>600</v>
      </c>
      <c r="J112" s="115">
        <f t="shared" si="119"/>
        <v>1.9440000000000002</v>
      </c>
      <c r="K112" s="116">
        <f t="shared" si="120"/>
        <v>14.4</v>
      </c>
      <c r="L112" s="117">
        <f t="shared" si="121"/>
        <v>2280</v>
      </c>
      <c r="M112" s="178">
        <f t="shared" si="122"/>
        <v>6.1560000000000006</v>
      </c>
      <c r="N112" s="119">
        <f t="shared" si="123"/>
        <v>307.8</v>
      </c>
      <c r="O112" s="182"/>
      <c r="P112" s="121" t="str">
        <f t="shared" si="124"/>
        <v/>
      </c>
      <c r="Q112" s="122"/>
      <c r="R112" s="180"/>
      <c r="S112" s="121">
        <f t="shared" si="125"/>
        <v>0</v>
      </c>
      <c r="T112" s="181">
        <v>2280</v>
      </c>
      <c r="U112" s="125">
        <f t="shared" si="126"/>
        <v>4432.3200000000006</v>
      </c>
      <c r="V112" s="9" t="str">
        <f t="shared" si="11"/>
        <v/>
      </c>
      <c r="W112" s="9" t="str">
        <f t="shared" si="12"/>
        <v/>
      </c>
      <c r="X112" s="9"/>
      <c r="Y112" s="9"/>
      <c r="Z112" s="9"/>
      <c r="AA112" s="9"/>
    </row>
    <row r="113" spans="1:27" ht="13.5" customHeight="1" outlineLevel="1" x14ac:dyDescent="0.25">
      <c r="A113" s="366"/>
      <c r="B113" s="75" t="s">
        <v>95</v>
      </c>
      <c r="C113" s="76">
        <v>2.3E-2</v>
      </c>
      <c r="D113" s="77">
        <v>0.1</v>
      </c>
      <c r="E113" s="78">
        <v>4.8</v>
      </c>
      <c r="F113" s="133">
        <f t="shared" si="116"/>
        <v>1.1039999999999999E-2</v>
      </c>
      <c r="G113" s="133">
        <f t="shared" si="117"/>
        <v>0.48</v>
      </c>
      <c r="H113" s="191">
        <v>228.8</v>
      </c>
      <c r="I113" s="114">
        <f>ROUND(H113*1.225,0)</f>
        <v>280</v>
      </c>
      <c r="J113" s="115">
        <f t="shared" si="119"/>
        <v>3.7094399999999998</v>
      </c>
      <c r="K113" s="192">
        <f t="shared" si="120"/>
        <v>7.7279999999999998</v>
      </c>
      <c r="L113" s="117">
        <f t="shared" si="121"/>
        <v>1558</v>
      </c>
      <c r="M113" s="178">
        <f t="shared" si="122"/>
        <v>17.200319999999998</v>
      </c>
      <c r="N113" s="134">
        <f t="shared" si="123"/>
        <v>747.83999999999992</v>
      </c>
      <c r="O113" s="240"/>
      <c r="P113" s="121" t="str">
        <f t="shared" si="124"/>
        <v/>
      </c>
      <c r="Q113" s="241"/>
      <c r="R113" s="194"/>
      <c r="S113" s="78">
        <f t="shared" si="125"/>
        <v>0</v>
      </c>
      <c r="T113" s="181">
        <v>1558</v>
      </c>
      <c r="U113" s="242">
        <f t="shared" si="126"/>
        <v>5779.3075199999994</v>
      </c>
      <c r="V113" s="9" t="str">
        <f t="shared" si="11"/>
        <v/>
      </c>
      <c r="W113" s="9" t="str">
        <f t="shared" si="12"/>
        <v/>
      </c>
      <c r="X113" s="9"/>
      <c r="Y113" s="9"/>
      <c r="Z113" s="9"/>
      <c r="AA113" s="9"/>
    </row>
    <row r="114" spans="1:27" ht="13.5" customHeight="1" outlineLevel="1" x14ac:dyDescent="0.25">
      <c r="A114" s="366"/>
      <c r="B114" s="53" t="s">
        <v>74</v>
      </c>
      <c r="C114" s="175">
        <v>2.5000000000000001E-2</v>
      </c>
      <c r="D114" s="176">
        <v>2.5000000000000001E-2</v>
      </c>
      <c r="E114" s="121">
        <v>1.2</v>
      </c>
      <c r="F114" s="112">
        <f t="shared" si="116"/>
        <v>7.5000000000000012E-4</v>
      </c>
      <c r="G114" s="112">
        <f t="shared" si="117"/>
        <v>0.03</v>
      </c>
      <c r="H114" s="177">
        <v>240</v>
      </c>
      <c r="I114" s="114">
        <f t="shared" ref="I114:I124" si="127">ROUND(H114*1.1667,0)</f>
        <v>280</v>
      </c>
      <c r="J114" s="115">
        <f t="shared" si="119"/>
        <v>0.25200000000000006</v>
      </c>
      <c r="K114" s="116">
        <f t="shared" si="120"/>
        <v>8.4000000000000021</v>
      </c>
      <c r="L114" s="117">
        <f t="shared" si="121"/>
        <v>700</v>
      </c>
      <c r="M114" s="178">
        <f t="shared" si="122"/>
        <v>0.52500000000000013</v>
      </c>
      <c r="N114" s="119">
        <f t="shared" si="123"/>
        <v>21</v>
      </c>
      <c r="O114" s="182"/>
      <c r="P114" s="121" t="str">
        <f t="shared" si="124"/>
        <v/>
      </c>
      <c r="Q114" s="122"/>
      <c r="R114" s="180"/>
      <c r="S114" s="121">
        <f t="shared" si="125"/>
        <v>0</v>
      </c>
      <c r="T114" s="181">
        <v>700</v>
      </c>
      <c r="U114" s="125">
        <f t="shared" si="126"/>
        <v>176.40000000000003</v>
      </c>
      <c r="V114" s="9" t="str">
        <f t="shared" si="11"/>
        <v/>
      </c>
      <c r="W114" s="9" t="str">
        <f t="shared" si="12"/>
        <v/>
      </c>
      <c r="X114" s="9"/>
      <c r="Y114" s="9"/>
      <c r="Z114" s="9"/>
      <c r="AA114" s="9"/>
    </row>
    <row r="115" spans="1:27" ht="13.5" customHeight="1" outlineLevel="1" x14ac:dyDescent="0.25">
      <c r="A115" s="366"/>
      <c r="B115" s="53" t="s">
        <v>95</v>
      </c>
      <c r="C115" s="175">
        <v>2.5000000000000001E-2</v>
      </c>
      <c r="D115" s="176">
        <v>3.7999999999999999E-2</v>
      </c>
      <c r="E115" s="121">
        <v>3.6</v>
      </c>
      <c r="F115" s="112">
        <f t="shared" si="116"/>
        <v>3.4199999999999999E-3</v>
      </c>
      <c r="G115" s="112">
        <f t="shared" si="117"/>
        <v>0.1368</v>
      </c>
      <c r="H115" s="177">
        <v>210</v>
      </c>
      <c r="I115" s="114">
        <f t="shared" si="127"/>
        <v>245</v>
      </c>
      <c r="J115" s="115">
        <f t="shared" si="119"/>
        <v>1.0054799999999999</v>
      </c>
      <c r="K115" s="116">
        <f t="shared" si="120"/>
        <v>7.35</v>
      </c>
      <c r="L115" s="117">
        <f t="shared" si="121"/>
        <v>1520</v>
      </c>
      <c r="M115" s="178">
        <f t="shared" si="122"/>
        <v>5.1983999999999995</v>
      </c>
      <c r="N115" s="119">
        <f t="shared" si="123"/>
        <v>207.93600000000001</v>
      </c>
      <c r="O115" s="182"/>
      <c r="P115" s="121" t="str">
        <f t="shared" si="124"/>
        <v/>
      </c>
      <c r="Q115" s="122"/>
      <c r="R115" s="180"/>
      <c r="S115" s="121">
        <f t="shared" si="125"/>
        <v>0</v>
      </c>
      <c r="T115" s="181">
        <v>1520</v>
      </c>
      <c r="U115" s="125">
        <f t="shared" si="126"/>
        <v>1528.3295999999998</v>
      </c>
      <c r="V115" s="9" t="str">
        <f t="shared" si="11"/>
        <v/>
      </c>
      <c r="W115" s="9" t="str">
        <f t="shared" si="12"/>
        <v/>
      </c>
      <c r="X115" s="9"/>
      <c r="Y115" s="9"/>
      <c r="Z115" s="9"/>
      <c r="AA115" s="9"/>
    </row>
    <row r="116" spans="1:27" ht="13.5" customHeight="1" outlineLevel="1" x14ac:dyDescent="0.25">
      <c r="A116" s="366"/>
      <c r="B116" s="53"/>
      <c r="C116" s="175">
        <v>2.5000000000000001E-2</v>
      </c>
      <c r="D116" s="176">
        <v>0.05</v>
      </c>
      <c r="E116" s="121">
        <v>2.5</v>
      </c>
      <c r="F116" s="112">
        <f t="shared" si="116"/>
        <v>3.1250000000000006E-3</v>
      </c>
      <c r="G116" s="112">
        <f t="shared" si="117"/>
        <v>0.125</v>
      </c>
      <c r="H116" s="177">
        <v>240</v>
      </c>
      <c r="I116" s="114">
        <f t="shared" si="127"/>
        <v>280</v>
      </c>
      <c r="J116" s="115">
        <f t="shared" si="119"/>
        <v>1.0500000000000003</v>
      </c>
      <c r="K116" s="116">
        <f t="shared" si="120"/>
        <v>8.4000000000000021</v>
      </c>
      <c r="L116" s="117">
        <f t="shared" si="121"/>
        <v>507</v>
      </c>
      <c r="M116" s="178">
        <f t="shared" si="122"/>
        <v>1.5843750000000003</v>
      </c>
      <c r="N116" s="119">
        <f t="shared" si="123"/>
        <v>63.375</v>
      </c>
      <c r="O116" s="182"/>
      <c r="P116" s="121" t="str">
        <f t="shared" si="124"/>
        <v/>
      </c>
      <c r="Q116" s="122"/>
      <c r="R116" s="180"/>
      <c r="S116" s="121">
        <f t="shared" si="125"/>
        <v>0</v>
      </c>
      <c r="T116" s="181">
        <v>507</v>
      </c>
      <c r="U116" s="125">
        <f t="shared" si="126"/>
        <v>532.35000000000014</v>
      </c>
      <c r="V116" s="9" t="str">
        <f t="shared" si="11"/>
        <v/>
      </c>
      <c r="W116" s="9" t="str">
        <f t="shared" si="12"/>
        <v/>
      </c>
      <c r="X116" s="9"/>
      <c r="Y116" s="9"/>
      <c r="Z116" s="9"/>
      <c r="AA116" s="9"/>
    </row>
    <row r="117" spans="1:27" ht="13.5" customHeight="1" outlineLevel="1" x14ac:dyDescent="0.25">
      <c r="A117" s="366"/>
      <c r="B117" s="53"/>
      <c r="C117" s="175">
        <v>2.5000000000000001E-2</v>
      </c>
      <c r="D117" s="176">
        <v>0.05</v>
      </c>
      <c r="E117" s="121">
        <v>3</v>
      </c>
      <c r="F117" s="112">
        <f t="shared" si="116"/>
        <v>3.7500000000000007E-3</v>
      </c>
      <c r="G117" s="112">
        <f t="shared" si="117"/>
        <v>0.15000000000000002</v>
      </c>
      <c r="H117" s="177">
        <v>240</v>
      </c>
      <c r="I117" s="114">
        <f t="shared" si="127"/>
        <v>280</v>
      </c>
      <c r="J117" s="115">
        <f t="shared" si="119"/>
        <v>1.2600000000000002</v>
      </c>
      <c r="K117" s="116">
        <f t="shared" si="120"/>
        <v>8.4</v>
      </c>
      <c r="L117" s="117">
        <f>T117+R117-O117-38</f>
        <v>739</v>
      </c>
      <c r="M117" s="178">
        <f t="shared" si="122"/>
        <v>2.7712500000000007</v>
      </c>
      <c r="N117" s="119">
        <f t="shared" si="123"/>
        <v>110.85000000000002</v>
      </c>
      <c r="O117" s="182"/>
      <c r="P117" s="121" t="str">
        <f t="shared" si="124"/>
        <v/>
      </c>
      <c r="Q117" s="122"/>
      <c r="R117" s="180"/>
      <c r="S117" s="121">
        <f t="shared" si="125"/>
        <v>0</v>
      </c>
      <c r="T117" s="181">
        <v>777</v>
      </c>
      <c r="U117" s="125">
        <f t="shared" si="126"/>
        <v>931.14000000000021</v>
      </c>
      <c r="V117" s="9" t="str">
        <f t="shared" si="11"/>
        <v/>
      </c>
      <c r="W117" s="9" t="str">
        <f t="shared" si="12"/>
        <v/>
      </c>
      <c r="X117" s="9"/>
      <c r="Y117" s="9"/>
      <c r="Z117" s="9"/>
      <c r="AA117" s="9"/>
    </row>
    <row r="118" spans="1:27" ht="13.5" customHeight="1" outlineLevel="1" x14ac:dyDescent="0.25">
      <c r="A118" s="366"/>
      <c r="B118" s="53"/>
      <c r="C118" s="175">
        <v>2.5000000000000001E-2</v>
      </c>
      <c r="D118" s="176">
        <v>0.05</v>
      </c>
      <c r="E118" s="121">
        <v>4.9000000000000004</v>
      </c>
      <c r="F118" s="112">
        <f t="shared" si="116"/>
        <v>6.125000000000002E-3</v>
      </c>
      <c r="G118" s="112">
        <f t="shared" si="117"/>
        <v>0.24500000000000002</v>
      </c>
      <c r="H118" s="177">
        <v>240</v>
      </c>
      <c r="I118" s="114">
        <f t="shared" si="127"/>
        <v>280</v>
      </c>
      <c r="J118" s="115">
        <f t="shared" si="119"/>
        <v>2.0580000000000007</v>
      </c>
      <c r="K118" s="116">
        <f t="shared" si="120"/>
        <v>8.4000000000000021</v>
      </c>
      <c r="L118" s="117">
        <f t="shared" ref="L118:L125" si="128">T118+R118-O118</f>
        <v>53</v>
      </c>
      <c r="M118" s="178">
        <f t="shared" si="122"/>
        <v>0.32462500000000011</v>
      </c>
      <c r="N118" s="119">
        <f t="shared" si="123"/>
        <v>12.985000000000001</v>
      </c>
      <c r="O118" s="182"/>
      <c r="P118" s="121" t="str">
        <f t="shared" si="124"/>
        <v/>
      </c>
      <c r="Q118" s="122"/>
      <c r="R118" s="180"/>
      <c r="S118" s="121">
        <f t="shared" si="125"/>
        <v>0</v>
      </c>
      <c r="T118" s="181">
        <v>53</v>
      </c>
      <c r="U118" s="125">
        <f t="shared" si="126"/>
        <v>109.07400000000004</v>
      </c>
      <c r="V118" s="9" t="str">
        <f t="shared" si="11"/>
        <v/>
      </c>
      <c r="W118" s="9" t="str">
        <f t="shared" si="12"/>
        <v/>
      </c>
      <c r="X118" s="9"/>
      <c r="Y118" s="9"/>
      <c r="Z118" s="9"/>
      <c r="AA118" s="9"/>
    </row>
    <row r="119" spans="1:27" ht="13.5" customHeight="1" outlineLevel="1" x14ac:dyDescent="0.25">
      <c r="A119" s="366"/>
      <c r="B119" s="53"/>
      <c r="C119" s="175">
        <v>2.5000000000000001E-2</v>
      </c>
      <c r="D119" s="176">
        <v>0.05</v>
      </c>
      <c r="E119" s="121">
        <v>6</v>
      </c>
      <c r="F119" s="112">
        <f t="shared" si="116"/>
        <v>7.5000000000000015E-3</v>
      </c>
      <c r="G119" s="112">
        <f t="shared" si="117"/>
        <v>0.30000000000000004</v>
      </c>
      <c r="H119" s="177">
        <v>240</v>
      </c>
      <c r="I119" s="114">
        <f t="shared" si="127"/>
        <v>280</v>
      </c>
      <c r="J119" s="115">
        <f t="shared" si="119"/>
        <v>2.5200000000000005</v>
      </c>
      <c r="K119" s="116">
        <f t="shared" si="120"/>
        <v>8.4</v>
      </c>
      <c r="L119" s="117">
        <f t="shared" si="128"/>
        <v>23</v>
      </c>
      <c r="M119" s="178">
        <f t="shared" si="122"/>
        <v>0.17250000000000004</v>
      </c>
      <c r="N119" s="119">
        <f t="shared" si="123"/>
        <v>6.9000000000000012</v>
      </c>
      <c r="O119" s="182"/>
      <c r="P119" s="121" t="str">
        <f t="shared" si="124"/>
        <v/>
      </c>
      <c r="Q119" s="122"/>
      <c r="R119" s="180"/>
      <c r="S119" s="121">
        <f t="shared" si="125"/>
        <v>0</v>
      </c>
      <c r="T119" s="181">
        <v>23</v>
      </c>
      <c r="U119" s="125">
        <f t="shared" si="126"/>
        <v>57.960000000000008</v>
      </c>
      <c r="V119" s="9" t="str">
        <f t="shared" si="11"/>
        <v/>
      </c>
      <c r="W119" s="9" t="str">
        <f t="shared" si="12"/>
        <v/>
      </c>
      <c r="X119" s="9"/>
      <c r="Y119" s="9"/>
      <c r="Z119" s="9"/>
      <c r="AA119" s="9"/>
    </row>
    <row r="120" spans="1:27" ht="13.5" customHeight="1" outlineLevel="1" x14ac:dyDescent="0.25">
      <c r="A120" s="366"/>
      <c r="B120" s="53" t="s">
        <v>96</v>
      </c>
      <c r="C120" s="175">
        <v>2.5000000000000001E-2</v>
      </c>
      <c r="D120" s="176">
        <v>0.1</v>
      </c>
      <c r="E120" s="121">
        <v>2.5</v>
      </c>
      <c r="F120" s="112">
        <f t="shared" si="116"/>
        <v>6.2500000000000012E-3</v>
      </c>
      <c r="G120" s="112">
        <f t="shared" si="117"/>
        <v>0.25</v>
      </c>
      <c r="H120" s="177">
        <v>205.71</v>
      </c>
      <c r="I120" s="114">
        <f t="shared" si="127"/>
        <v>240</v>
      </c>
      <c r="J120" s="115">
        <f t="shared" si="119"/>
        <v>1.8000000000000003</v>
      </c>
      <c r="K120" s="116">
        <f t="shared" si="120"/>
        <v>7.2000000000000011</v>
      </c>
      <c r="L120" s="117">
        <f t="shared" si="128"/>
        <v>6738</v>
      </c>
      <c r="M120" s="178">
        <f t="shared" si="122"/>
        <v>42.112500000000011</v>
      </c>
      <c r="N120" s="119">
        <f t="shared" si="123"/>
        <v>1684.5</v>
      </c>
      <c r="O120" s="182"/>
      <c r="P120" s="121" t="str">
        <f t="shared" si="124"/>
        <v/>
      </c>
      <c r="Q120" s="122"/>
      <c r="R120" s="180"/>
      <c r="S120" s="121">
        <f t="shared" si="125"/>
        <v>0</v>
      </c>
      <c r="T120" s="181">
        <v>6738</v>
      </c>
      <c r="U120" s="125">
        <f t="shared" si="126"/>
        <v>12128.400000000001</v>
      </c>
      <c r="V120" s="9" t="str">
        <f t="shared" si="11"/>
        <v/>
      </c>
      <c r="W120" s="9" t="str">
        <f t="shared" si="12"/>
        <v/>
      </c>
      <c r="X120" s="9"/>
      <c r="Y120" s="9"/>
      <c r="Z120" s="9"/>
      <c r="AA120" s="9"/>
    </row>
    <row r="121" spans="1:27" ht="13.5" customHeight="1" outlineLevel="1" x14ac:dyDescent="0.25">
      <c r="A121" s="366"/>
      <c r="B121" s="53"/>
      <c r="C121" s="175">
        <v>2.5000000000000001E-2</v>
      </c>
      <c r="D121" s="176">
        <v>0.1</v>
      </c>
      <c r="E121" s="121">
        <v>3</v>
      </c>
      <c r="F121" s="112">
        <f t="shared" si="116"/>
        <v>7.5000000000000015E-3</v>
      </c>
      <c r="G121" s="112">
        <f t="shared" si="117"/>
        <v>0.30000000000000004</v>
      </c>
      <c r="H121" s="177">
        <v>240</v>
      </c>
      <c r="I121" s="114">
        <f t="shared" si="127"/>
        <v>280</v>
      </c>
      <c r="J121" s="115">
        <f t="shared" si="119"/>
        <v>2.5200000000000005</v>
      </c>
      <c r="K121" s="116">
        <f t="shared" si="120"/>
        <v>8.4</v>
      </c>
      <c r="L121" s="117">
        <f t="shared" si="128"/>
        <v>271</v>
      </c>
      <c r="M121" s="178">
        <f t="shared" si="122"/>
        <v>2.0325000000000002</v>
      </c>
      <c r="N121" s="119">
        <f t="shared" si="123"/>
        <v>81.300000000000011</v>
      </c>
      <c r="O121" s="182"/>
      <c r="P121" s="121" t="str">
        <f t="shared" si="124"/>
        <v/>
      </c>
      <c r="Q121" s="122"/>
      <c r="R121" s="180"/>
      <c r="S121" s="121">
        <f t="shared" si="125"/>
        <v>0</v>
      </c>
      <c r="T121" s="181">
        <v>271</v>
      </c>
      <c r="U121" s="125">
        <f t="shared" si="126"/>
        <v>682.92000000000007</v>
      </c>
      <c r="V121" s="9" t="str">
        <f t="shared" si="11"/>
        <v/>
      </c>
      <c r="W121" s="9" t="str">
        <f t="shared" si="12"/>
        <v/>
      </c>
      <c r="X121" s="9"/>
      <c r="Y121" s="9"/>
      <c r="Z121" s="9"/>
      <c r="AA121" s="9"/>
    </row>
    <row r="122" spans="1:27" ht="13.5" customHeight="1" outlineLevel="1" x14ac:dyDescent="0.25">
      <c r="A122" s="366"/>
      <c r="B122" s="53"/>
      <c r="C122" s="175">
        <v>2.5000000000000001E-2</v>
      </c>
      <c r="D122" s="176">
        <v>0.1</v>
      </c>
      <c r="E122" s="121">
        <v>3.6</v>
      </c>
      <c r="F122" s="112">
        <f t="shared" si="116"/>
        <v>9.0000000000000028E-3</v>
      </c>
      <c r="G122" s="112">
        <f t="shared" si="117"/>
        <v>0.36000000000000004</v>
      </c>
      <c r="H122" s="177">
        <v>240</v>
      </c>
      <c r="I122" s="114">
        <f t="shared" si="127"/>
        <v>280</v>
      </c>
      <c r="J122" s="115">
        <f t="shared" si="119"/>
        <v>3.0240000000000009</v>
      </c>
      <c r="K122" s="116">
        <f t="shared" si="120"/>
        <v>8.4000000000000021</v>
      </c>
      <c r="L122" s="117">
        <f t="shared" si="128"/>
        <v>163</v>
      </c>
      <c r="M122" s="178">
        <f t="shared" si="122"/>
        <v>1.4670000000000005</v>
      </c>
      <c r="N122" s="119">
        <f t="shared" si="123"/>
        <v>58.680000000000007</v>
      </c>
      <c r="O122" s="182"/>
      <c r="P122" s="121" t="str">
        <f t="shared" si="124"/>
        <v/>
      </c>
      <c r="Q122" s="122"/>
      <c r="R122" s="180"/>
      <c r="S122" s="121">
        <f t="shared" si="125"/>
        <v>0</v>
      </c>
      <c r="T122" s="181">
        <v>163</v>
      </c>
      <c r="U122" s="125">
        <f t="shared" si="126"/>
        <v>492.91200000000015</v>
      </c>
      <c r="V122" s="9" t="str">
        <f t="shared" si="11"/>
        <v/>
      </c>
      <c r="W122" s="9" t="str">
        <f t="shared" si="12"/>
        <v/>
      </c>
      <c r="X122" s="9"/>
      <c r="Y122" s="9"/>
      <c r="Z122" s="9"/>
      <c r="AA122" s="9"/>
    </row>
    <row r="123" spans="1:27" ht="13.5" customHeight="1" outlineLevel="1" x14ac:dyDescent="0.25">
      <c r="A123" s="366"/>
      <c r="B123" s="53" t="s">
        <v>95</v>
      </c>
      <c r="C123" s="175">
        <v>2.5000000000000001E-2</v>
      </c>
      <c r="D123" s="176">
        <v>0.1</v>
      </c>
      <c r="E123" s="121">
        <v>4.8</v>
      </c>
      <c r="F123" s="112">
        <f t="shared" si="116"/>
        <v>1.2000000000000002E-2</v>
      </c>
      <c r="G123" s="112">
        <f t="shared" si="117"/>
        <v>0.48</v>
      </c>
      <c r="H123" s="177">
        <v>240</v>
      </c>
      <c r="I123" s="114">
        <f t="shared" si="127"/>
        <v>280</v>
      </c>
      <c r="J123" s="115">
        <f t="shared" si="119"/>
        <v>4.0320000000000009</v>
      </c>
      <c r="K123" s="116">
        <f t="shared" si="120"/>
        <v>8.4000000000000021</v>
      </c>
      <c r="L123" s="117">
        <f t="shared" si="128"/>
        <v>87</v>
      </c>
      <c r="M123" s="178">
        <f t="shared" si="122"/>
        <v>1.0440000000000003</v>
      </c>
      <c r="N123" s="119">
        <f t="shared" si="123"/>
        <v>41.76</v>
      </c>
      <c r="O123" s="182"/>
      <c r="P123" s="121" t="str">
        <f t="shared" si="124"/>
        <v/>
      </c>
      <c r="Q123" s="122"/>
      <c r="R123" s="180"/>
      <c r="S123" s="121">
        <f t="shared" si="125"/>
        <v>0</v>
      </c>
      <c r="T123" s="181">
        <v>87</v>
      </c>
      <c r="U123" s="125">
        <f t="shared" si="126"/>
        <v>350.78400000000011</v>
      </c>
      <c r="V123" s="9" t="str">
        <f t="shared" si="11"/>
        <v/>
      </c>
      <c r="W123" s="9" t="str">
        <f t="shared" si="12"/>
        <v/>
      </c>
      <c r="X123" s="9"/>
      <c r="Y123" s="9"/>
      <c r="Z123" s="9"/>
      <c r="AA123" s="9"/>
    </row>
    <row r="124" spans="1:27" ht="13.5" customHeight="1" outlineLevel="1" x14ac:dyDescent="0.25">
      <c r="A124" s="366"/>
      <c r="B124" s="53"/>
      <c r="C124" s="175">
        <v>2.5000000000000001E-2</v>
      </c>
      <c r="D124" s="176">
        <v>0.1</v>
      </c>
      <c r="E124" s="121">
        <v>6</v>
      </c>
      <c r="F124" s="112">
        <f t="shared" si="116"/>
        <v>1.5000000000000003E-2</v>
      </c>
      <c r="G124" s="112">
        <f t="shared" si="117"/>
        <v>0.60000000000000009</v>
      </c>
      <c r="H124" s="177">
        <v>240</v>
      </c>
      <c r="I124" s="114">
        <f t="shared" si="127"/>
        <v>280</v>
      </c>
      <c r="J124" s="115">
        <f t="shared" si="119"/>
        <v>5.0400000000000009</v>
      </c>
      <c r="K124" s="116">
        <f t="shared" si="120"/>
        <v>8.4</v>
      </c>
      <c r="L124" s="325">
        <f t="shared" si="128"/>
        <v>0</v>
      </c>
      <c r="M124" s="178">
        <f t="shared" si="122"/>
        <v>0</v>
      </c>
      <c r="N124" s="119">
        <f t="shared" si="123"/>
        <v>0</v>
      </c>
      <c r="O124" s="182"/>
      <c r="P124" s="121" t="str">
        <f t="shared" si="124"/>
        <v/>
      </c>
      <c r="Q124" s="122"/>
      <c r="R124" s="180"/>
      <c r="S124" s="121">
        <f t="shared" si="125"/>
        <v>0</v>
      </c>
      <c r="T124" s="181">
        <v>0</v>
      </c>
      <c r="U124" s="125">
        <f t="shared" si="126"/>
        <v>0</v>
      </c>
      <c r="V124" s="9" t="str">
        <f t="shared" si="11"/>
        <v/>
      </c>
      <c r="W124" s="9" t="str">
        <f t="shared" si="12"/>
        <v/>
      </c>
      <c r="X124" s="9"/>
      <c r="Y124" s="9"/>
      <c r="Z124" s="9"/>
      <c r="AA124" s="9"/>
    </row>
    <row r="125" spans="1:27" ht="13.5" customHeight="1" outlineLevel="1" x14ac:dyDescent="0.25">
      <c r="A125" s="366"/>
      <c r="B125" s="53" t="s">
        <v>97</v>
      </c>
      <c r="C125" s="175">
        <v>2.5000000000000001E-2</v>
      </c>
      <c r="D125" s="176">
        <v>0.15</v>
      </c>
      <c r="E125" s="121">
        <v>3.6</v>
      </c>
      <c r="F125" s="112">
        <f t="shared" si="116"/>
        <v>1.35E-2</v>
      </c>
      <c r="G125" s="112">
        <f t="shared" si="117"/>
        <v>0.54</v>
      </c>
      <c r="H125" s="177">
        <v>240</v>
      </c>
      <c r="I125" s="114">
        <f>ROUND(H125*1.1667,0)*0.9</f>
        <v>252</v>
      </c>
      <c r="J125" s="115">
        <f>ROUND((I125*0.873)*1.21,0)*(C125*D125*E125)</f>
        <v>3.5909999999999997</v>
      </c>
      <c r="K125" s="116">
        <f t="shared" si="120"/>
        <v>6.6499999999999995</v>
      </c>
      <c r="L125" s="117">
        <f t="shared" si="128"/>
        <v>44</v>
      </c>
      <c r="M125" s="178">
        <f t="shared" si="122"/>
        <v>0.59399999999999997</v>
      </c>
      <c r="N125" s="119">
        <f t="shared" si="123"/>
        <v>23.76</v>
      </c>
      <c r="O125" s="182"/>
      <c r="P125" s="121" t="str">
        <f t="shared" si="124"/>
        <v/>
      </c>
      <c r="Q125" s="122"/>
      <c r="R125" s="180"/>
      <c r="S125" s="121">
        <f t="shared" si="125"/>
        <v>0</v>
      </c>
      <c r="T125" s="181">
        <v>44</v>
      </c>
      <c r="U125" s="125">
        <f t="shared" si="126"/>
        <v>158.00399999999999</v>
      </c>
      <c r="V125" s="9" t="str">
        <f t="shared" si="11"/>
        <v/>
      </c>
      <c r="W125" s="9" t="str">
        <f t="shared" si="12"/>
        <v/>
      </c>
      <c r="X125" s="9"/>
      <c r="Y125" s="9"/>
      <c r="Z125" s="9"/>
      <c r="AA125" s="9"/>
    </row>
    <row r="126" spans="1:27" ht="13.5" customHeight="1" outlineLevel="1" x14ac:dyDescent="0.25">
      <c r="A126" s="366"/>
      <c r="B126" s="53"/>
      <c r="C126" s="175">
        <v>2.5000000000000001E-2</v>
      </c>
      <c r="D126" s="176">
        <v>0.15</v>
      </c>
      <c r="E126" s="121">
        <v>4.8</v>
      </c>
      <c r="F126" s="112">
        <f t="shared" si="116"/>
        <v>1.7999999999999999E-2</v>
      </c>
      <c r="G126" s="112">
        <f t="shared" si="117"/>
        <v>0.72</v>
      </c>
      <c r="H126" s="177">
        <v>240</v>
      </c>
      <c r="I126" s="114">
        <f t="shared" ref="I126:I127" si="129">ROUND(H126*1.1667,0)</f>
        <v>280</v>
      </c>
      <c r="J126" s="115">
        <f t="shared" ref="J126:J127" si="130">ROUND((I126*0.992)*1.21,0)*(C126*D126*E126)</f>
        <v>6.0479999999999992</v>
      </c>
      <c r="K126" s="116">
        <f t="shared" si="120"/>
        <v>8.3999999999999986</v>
      </c>
      <c r="L126" s="117">
        <v>109</v>
      </c>
      <c r="M126" s="178">
        <f t="shared" si="122"/>
        <v>1.9619999999999997</v>
      </c>
      <c r="N126" s="119">
        <f t="shared" si="123"/>
        <v>78.48</v>
      </c>
      <c r="O126" s="182"/>
      <c r="P126" s="121" t="str">
        <f t="shared" si="124"/>
        <v/>
      </c>
      <c r="Q126" s="122"/>
      <c r="R126" s="180"/>
      <c r="S126" s="121">
        <f t="shared" si="125"/>
        <v>0</v>
      </c>
      <c r="T126" s="181">
        <v>109</v>
      </c>
      <c r="U126" s="125">
        <f t="shared" si="126"/>
        <v>659.23199999999986</v>
      </c>
      <c r="V126" s="9" t="str">
        <f t="shared" si="11"/>
        <v/>
      </c>
      <c r="W126" s="9" t="str">
        <f t="shared" si="12"/>
        <v/>
      </c>
      <c r="X126" s="9"/>
      <c r="Y126" s="9"/>
      <c r="Z126" s="9"/>
      <c r="AA126" s="9"/>
    </row>
    <row r="127" spans="1:27" ht="13.5" customHeight="1" outlineLevel="1" x14ac:dyDescent="0.25">
      <c r="A127" s="366"/>
      <c r="B127" s="53"/>
      <c r="C127" s="175">
        <v>2.5000000000000001E-2</v>
      </c>
      <c r="D127" s="176">
        <v>0.15</v>
      </c>
      <c r="E127" s="121">
        <v>6</v>
      </c>
      <c r="F127" s="112">
        <f t="shared" si="116"/>
        <v>2.2499999999999999E-2</v>
      </c>
      <c r="G127" s="112">
        <f t="shared" si="117"/>
        <v>0.89999999999999991</v>
      </c>
      <c r="H127" s="177">
        <v>240</v>
      </c>
      <c r="I127" s="114">
        <f t="shared" si="129"/>
        <v>280</v>
      </c>
      <c r="J127" s="115">
        <f t="shared" si="130"/>
        <v>7.56</v>
      </c>
      <c r="K127" s="116">
        <f t="shared" si="120"/>
        <v>8.4</v>
      </c>
      <c r="L127" s="117">
        <f t="shared" ref="L127:L172" si="131">T127+R127-O127</f>
        <v>140</v>
      </c>
      <c r="M127" s="178">
        <f t="shared" si="122"/>
        <v>3.15</v>
      </c>
      <c r="N127" s="119">
        <f t="shared" si="123"/>
        <v>125.99999999999999</v>
      </c>
      <c r="O127" s="182"/>
      <c r="P127" s="121" t="str">
        <f t="shared" si="124"/>
        <v/>
      </c>
      <c r="Q127" s="122"/>
      <c r="R127" s="180"/>
      <c r="S127" s="121">
        <f t="shared" si="125"/>
        <v>0</v>
      </c>
      <c r="T127" s="181">
        <v>140</v>
      </c>
      <c r="U127" s="125">
        <f t="shared" si="126"/>
        <v>1058.3999999999999</v>
      </c>
      <c r="V127" s="9"/>
      <c r="W127" s="9" t="str">
        <f t="shared" si="12"/>
        <v/>
      </c>
      <c r="X127" s="9"/>
      <c r="Y127" s="9"/>
      <c r="Z127" s="9"/>
      <c r="AA127" s="9"/>
    </row>
    <row r="128" spans="1:27" ht="13.5" customHeight="1" outlineLevel="1" x14ac:dyDescent="0.25">
      <c r="A128" s="366"/>
      <c r="B128" s="53" t="s">
        <v>95</v>
      </c>
      <c r="C128" s="175">
        <v>2.5000000000000001E-2</v>
      </c>
      <c r="D128" s="176">
        <v>0.15</v>
      </c>
      <c r="E128" s="121">
        <v>6</v>
      </c>
      <c r="F128" s="112">
        <f t="shared" si="116"/>
        <v>2.2499999999999999E-2</v>
      </c>
      <c r="G128" s="112">
        <f t="shared" si="117"/>
        <v>0.89999999999999991</v>
      </c>
      <c r="H128" s="177">
        <v>257.2</v>
      </c>
      <c r="I128" s="114">
        <f>ROUND(H128*1.1667,0)*0.88</f>
        <v>264</v>
      </c>
      <c r="J128" s="115">
        <f>ROUND((I128*0.88)*1.21,0)*(C128*D128*E128)</f>
        <v>6.3224999999999998</v>
      </c>
      <c r="K128" s="116">
        <f t="shared" si="120"/>
        <v>7.0250000000000004</v>
      </c>
      <c r="L128" s="117">
        <f t="shared" si="131"/>
        <v>37</v>
      </c>
      <c r="M128" s="178">
        <f t="shared" si="122"/>
        <v>0.83250000000000002</v>
      </c>
      <c r="N128" s="119">
        <f t="shared" si="123"/>
        <v>33.299999999999997</v>
      </c>
      <c r="O128" s="182"/>
      <c r="P128" s="121" t="str">
        <f t="shared" si="124"/>
        <v/>
      </c>
      <c r="Q128" s="122"/>
      <c r="R128" s="180"/>
      <c r="S128" s="121">
        <f t="shared" si="125"/>
        <v>0</v>
      </c>
      <c r="T128" s="181">
        <v>37</v>
      </c>
      <c r="U128" s="125">
        <f t="shared" si="126"/>
        <v>233.9325</v>
      </c>
      <c r="V128" s="9" t="str">
        <f t="shared" ref="V128:V129" si="132">IF(O128="","",Q128-(O128*(H128*F128)))</f>
        <v/>
      </c>
      <c r="W128" s="9" t="str">
        <f t="shared" si="12"/>
        <v/>
      </c>
      <c r="X128" s="9"/>
      <c r="Y128" s="9"/>
      <c r="Z128" s="9"/>
      <c r="AA128" s="9"/>
    </row>
    <row r="129" spans="1:27" ht="13.5" customHeight="1" outlineLevel="1" x14ac:dyDescent="0.25">
      <c r="A129" s="366"/>
      <c r="B129" s="53" t="s">
        <v>98</v>
      </c>
      <c r="C129" s="175">
        <v>0.05</v>
      </c>
      <c r="D129" s="176">
        <v>0.05</v>
      </c>
      <c r="E129" s="121">
        <v>1</v>
      </c>
      <c r="F129" s="112">
        <f t="shared" si="116"/>
        <v>2.5000000000000005E-3</v>
      </c>
      <c r="G129" s="112">
        <f t="shared" si="117"/>
        <v>0.05</v>
      </c>
      <c r="H129" s="177">
        <v>240</v>
      </c>
      <c r="I129" s="114">
        <f>ROUND(H129*1.1667,0)*0.9</f>
        <v>252</v>
      </c>
      <c r="J129" s="115">
        <f>ROUND((I129*0.873)*1.21,0)*(C129*D129*E129)</f>
        <v>0.66500000000000015</v>
      </c>
      <c r="K129" s="116">
        <f t="shared" si="120"/>
        <v>13.300000000000002</v>
      </c>
      <c r="L129" s="117">
        <f t="shared" si="131"/>
        <v>55</v>
      </c>
      <c r="M129" s="178">
        <f t="shared" si="122"/>
        <v>0.13750000000000004</v>
      </c>
      <c r="N129" s="119">
        <f t="shared" si="123"/>
        <v>2.75</v>
      </c>
      <c r="O129" s="179"/>
      <c r="P129" s="121" t="str">
        <f t="shared" si="124"/>
        <v/>
      </c>
      <c r="Q129" s="122"/>
      <c r="R129" s="180"/>
      <c r="S129" s="121">
        <f t="shared" si="125"/>
        <v>0</v>
      </c>
      <c r="T129" s="181">
        <v>55</v>
      </c>
      <c r="U129" s="125">
        <f t="shared" si="126"/>
        <v>36.57500000000001</v>
      </c>
      <c r="V129" s="9" t="str">
        <f t="shared" si="132"/>
        <v/>
      </c>
      <c r="W129" s="9" t="str">
        <f t="shared" si="12"/>
        <v/>
      </c>
      <c r="X129" s="9"/>
      <c r="Y129" s="9"/>
      <c r="Z129" s="9"/>
      <c r="AA129" s="9"/>
    </row>
    <row r="130" spans="1:27" ht="13.5" customHeight="1" outlineLevel="1" x14ac:dyDescent="0.25">
      <c r="A130" s="366"/>
      <c r="B130" s="53"/>
      <c r="C130" s="175">
        <v>0.05</v>
      </c>
      <c r="D130" s="176">
        <v>0.05</v>
      </c>
      <c r="E130" s="121">
        <v>3</v>
      </c>
      <c r="F130" s="112">
        <f t="shared" si="116"/>
        <v>7.5000000000000015E-3</v>
      </c>
      <c r="G130" s="112">
        <f t="shared" si="117"/>
        <v>0.15000000000000002</v>
      </c>
      <c r="H130" s="177">
        <v>283</v>
      </c>
      <c r="I130" s="114">
        <f t="shared" ref="I130:I135" si="133">ROUND(H130*1.1667,0)</f>
        <v>330</v>
      </c>
      <c r="J130" s="115">
        <f t="shared" ref="J130:J136" si="134">ROUND((I130*0.992)*1.21,0)*(C130*D130*E130)</f>
        <v>2.9700000000000006</v>
      </c>
      <c r="K130" s="116">
        <f t="shared" si="120"/>
        <v>19.8</v>
      </c>
      <c r="L130" s="325">
        <f t="shared" si="131"/>
        <v>2</v>
      </c>
      <c r="M130" s="178">
        <f t="shared" si="122"/>
        <v>1.5000000000000003E-2</v>
      </c>
      <c r="N130" s="119">
        <f t="shared" si="123"/>
        <v>0.30000000000000004</v>
      </c>
      <c r="O130" s="182"/>
      <c r="P130" s="121" t="str">
        <f t="shared" si="124"/>
        <v/>
      </c>
      <c r="Q130" s="122"/>
      <c r="R130" s="180"/>
      <c r="S130" s="121">
        <f t="shared" si="125"/>
        <v>0</v>
      </c>
      <c r="T130" s="181">
        <v>2</v>
      </c>
      <c r="U130" s="125">
        <f t="shared" si="126"/>
        <v>5.9400000000000013</v>
      </c>
      <c r="V130" s="9"/>
      <c r="W130" s="9"/>
      <c r="X130" s="9"/>
      <c r="Y130" s="9"/>
      <c r="Z130" s="9"/>
      <c r="AA130" s="9"/>
    </row>
    <row r="131" spans="1:27" ht="13.5" customHeight="1" outlineLevel="1" x14ac:dyDescent="0.25">
      <c r="A131" s="366"/>
      <c r="B131" s="53"/>
      <c r="C131" s="175">
        <v>0.05</v>
      </c>
      <c r="D131" s="176">
        <v>0.05</v>
      </c>
      <c r="E131" s="121">
        <v>3.7</v>
      </c>
      <c r="F131" s="112">
        <f t="shared" si="116"/>
        <v>9.250000000000003E-3</v>
      </c>
      <c r="G131" s="112">
        <f t="shared" si="117"/>
        <v>0.18500000000000003</v>
      </c>
      <c r="H131" s="177">
        <v>283</v>
      </c>
      <c r="I131" s="114">
        <f t="shared" si="133"/>
        <v>330</v>
      </c>
      <c r="J131" s="115">
        <f t="shared" si="134"/>
        <v>3.6630000000000011</v>
      </c>
      <c r="K131" s="116">
        <f t="shared" si="120"/>
        <v>19.800000000000004</v>
      </c>
      <c r="L131" s="117">
        <f t="shared" si="131"/>
        <v>9</v>
      </c>
      <c r="M131" s="178">
        <f t="shared" si="122"/>
        <v>8.3250000000000032E-2</v>
      </c>
      <c r="N131" s="119">
        <f t="shared" si="123"/>
        <v>1.6650000000000003</v>
      </c>
      <c r="O131" s="182"/>
      <c r="P131" s="121" t="str">
        <f t="shared" si="124"/>
        <v/>
      </c>
      <c r="Q131" s="122"/>
      <c r="R131" s="180"/>
      <c r="S131" s="121">
        <f t="shared" si="125"/>
        <v>0</v>
      </c>
      <c r="T131" s="181">
        <v>9</v>
      </c>
      <c r="U131" s="125">
        <f t="shared" si="126"/>
        <v>32.967000000000013</v>
      </c>
      <c r="V131" s="9"/>
      <c r="W131" s="9"/>
      <c r="X131" s="9"/>
      <c r="Y131" s="9"/>
      <c r="Z131" s="9"/>
      <c r="AA131" s="9"/>
    </row>
    <row r="132" spans="1:27" ht="13.5" customHeight="1" outlineLevel="1" x14ac:dyDescent="0.25">
      <c r="A132" s="366"/>
      <c r="B132" s="53"/>
      <c r="C132" s="175">
        <v>0.05</v>
      </c>
      <c r="D132" s="176">
        <v>0.05</v>
      </c>
      <c r="E132" s="121">
        <v>6</v>
      </c>
      <c r="F132" s="112">
        <f t="shared" si="116"/>
        <v>1.5000000000000003E-2</v>
      </c>
      <c r="G132" s="112">
        <f t="shared" si="117"/>
        <v>0.30000000000000004</v>
      </c>
      <c r="H132" s="177">
        <v>283</v>
      </c>
      <c r="I132" s="114">
        <f t="shared" si="133"/>
        <v>330</v>
      </c>
      <c r="J132" s="115">
        <f t="shared" si="134"/>
        <v>5.9400000000000013</v>
      </c>
      <c r="K132" s="116">
        <f t="shared" si="120"/>
        <v>19.8</v>
      </c>
      <c r="L132" s="117">
        <f t="shared" si="131"/>
        <v>84</v>
      </c>
      <c r="M132" s="178">
        <f t="shared" si="122"/>
        <v>1.2600000000000002</v>
      </c>
      <c r="N132" s="119">
        <f t="shared" si="123"/>
        <v>25.200000000000003</v>
      </c>
      <c r="O132" s="182"/>
      <c r="P132" s="121" t="str">
        <f t="shared" si="124"/>
        <v/>
      </c>
      <c r="Q132" s="122"/>
      <c r="R132" s="180"/>
      <c r="S132" s="121">
        <f t="shared" si="125"/>
        <v>0</v>
      </c>
      <c r="T132" s="181">
        <v>84</v>
      </c>
      <c r="U132" s="125">
        <f t="shared" si="126"/>
        <v>498.96000000000009</v>
      </c>
      <c r="V132" s="9" t="str">
        <f t="shared" ref="V132:V134" si="135">IF(O132="","",Q132-(O132*(H132*F132)))</f>
        <v/>
      </c>
      <c r="W132" s="9" t="str">
        <f t="shared" ref="W132:W134" si="136">IF(O132="","",(P132*H132))</f>
        <v/>
      </c>
      <c r="X132" s="9"/>
      <c r="Y132" s="9"/>
      <c r="Z132" s="9"/>
      <c r="AA132" s="9"/>
    </row>
    <row r="133" spans="1:27" ht="13.5" customHeight="1" outlineLevel="1" x14ac:dyDescent="0.25">
      <c r="A133" s="366"/>
      <c r="B133" s="53"/>
      <c r="C133" s="175">
        <v>0.05</v>
      </c>
      <c r="D133" s="176">
        <v>0.1</v>
      </c>
      <c r="E133" s="121">
        <v>3.6</v>
      </c>
      <c r="F133" s="112">
        <f t="shared" si="116"/>
        <v>1.8000000000000006E-2</v>
      </c>
      <c r="G133" s="112">
        <f t="shared" si="117"/>
        <v>0.36000000000000004</v>
      </c>
      <c r="H133" s="177">
        <v>240</v>
      </c>
      <c r="I133" s="114">
        <f t="shared" si="133"/>
        <v>280</v>
      </c>
      <c r="J133" s="115">
        <f t="shared" si="134"/>
        <v>6.0480000000000018</v>
      </c>
      <c r="K133" s="116">
        <f t="shared" si="120"/>
        <v>16.800000000000004</v>
      </c>
      <c r="L133" s="117">
        <f t="shared" si="131"/>
        <v>88</v>
      </c>
      <c r="M133" s="178">
        <f t="shared" si="122"/>
        <v>1.5840000000000005</v>
      </c>
      <c r="N133" s="119">
        <f t="shared" si="123"/>
        <v>31.680000000000003</v>
      </c>
      <c r="O133" s="182"/>
      <c r="P133" s="121" t="str">
        <f t="shared" si="124"/>
        <v/>
      </c>
      <c r="Q133" s="122"/>
      <c r="R133" s="180"/>
      <c r="S133" s="121">
        <f t="shared" si="125"/>
        <v>0</v>
      </c>
      <c r="T133" s="181">
        <v>88</v>
      </c>
      <c r="U133" s="125">
        <f t="shared" si="126"/>
        <v>532.22400000000016</v>
      </c>
      <c r="V133" s="9" t="str">
        <f t="shared" si="135"/>
        <v/>
      </c>
      <c r="W133" s="9" t="str">
        <f t="shared" si="136"/>
        <v/>
      </c>
      <c r="X133" s="9"/>
      <c r="Y133" s="9"/>
      <c r="Z133" s="9"/>
      <c r="AA133" s="9"/>
    </row>
    <row r="134" spans="1:27" ht="13.5" customHeight="1" outlineLevel="1" x14ac:dyDescent="0.25">
      <c r="A134" s="366"/>
      <c r="B134" s="53"/>
      <c r="C134" s="175">
        <v>0.05</v>
      </c>
      <c r="D134" s="176">
        <v>0.1</v>
      </c>
      <c r="E134" s="121">
        <v>4.9000000000000004</v>
      </c>
      <c r="F134" s="112">
        <f t="shared" si="116"/>
        <v>2.4500000000000008E-2</v>
      </c>
      <c r="G134" s="112">
        <f t="shared" si="117"/>
        <v>0.49000000000000005</v>
      </c>
      <c r="H134" s="177">
        <v>240</v>
      </c>
      <c r="I134" s="114">
        <f t="shared" si="133"/>
        <v>280</v>
      </c>
      <c r="J134" s="115">
        <f t="shared" si="134"/>
        <v>8.2320000000000029</v>
      </c>
      <c r="K134" s="116">
        <f t="shared" si="120"/>
        <v>16.800000000000004</v>
      </c>
      <c r="L134" s="117">
        <f t="shared" si="131"/>
        <v>312</v>
      </c>
      <c r="M134" s="178">
        <f t="shared" si="122"/>
        <v>7.6440000000000028</v>
      </c>
      <c r="N134" s="119">
        <f t="shared" si="123"/>
        <v>152.88000000000002</v>
      </c>
      <c r="O134" s="182"/>
      <c r="P134" s="121" t="str">
        <f t="shared" si="124"/>
        <v/>
      </c>
      <c r="Q134" s="122"/>
      <c r="R134" s="180"/>
      <c r="S134" s="121">
        <f t="shared" si="125"/>
        <v>0</v>
      </c>
      <c r="T134" s="181">
        <v>312</v>
      </c>
      <c r="U134" s="125">
        <f t="shared" si="126"/>
        <v>2568.3840000000009</v>
      </c>
      <c r="V134" s="9" t="str">
        <f t="shared" si="135"/>
        <v/>
      </c>
      <c r="W134" s="9" t="str">
        <f t="shared" si="136"/>
        <v/>
      </c>
      <c r="X134" s="9"/>
      <c r="Y134" s="9"/>
      <c r="Z134" s="9"/>
      <c r="AA134" s="9"/>
    </row>
    <row r="135" spans="1:27" ht="13.5" customHeight="1" outlineLevel="1" x14ac:dyDescent="0.25">
      <c r="A135" s="366"/>
      <c r="B135" s="53"/>
      <c r="C135" s="175">
        <v>0.05</v>
      </c>
      <c r="D135" s="176">
        <v>0.1</v>
      </c>
      <c r="E135" s="121">
        <v>6</v>
      </c>
      <c r="F135" s="112">
        <f t="shared" si="116"/>
        <v>3.0000000000000006E-2</v>
      </c>
      <c r="G135" s="112">
        <f t="shared" si="117"/>
        <v>0.60000000000000009</v>
      </c>
      <c r="H135" s="177">
        <v>240</v>
      </c>
      <c r="I135" s="114">
        <f t="shared" si="133"/>
        <v>280</v>
      </c>
      <c r="J135" s="115">
        <f t="shared" si="134"/>
        <v>10.080000000000002</v>
      </c>
      <c r="K135" s="116">
        <f t="shared" si="120"/>
        <v>16.8</v>
      </c>
      <c r="L135" s="117">
        <f t="shared" si="131"/>
        <v>68</v>
      </c>
      <c r="M135" s="178">
        <f t="shared" si="122"/>
        <v>2.0400000000000005</v>
      </c>
      <c r="N135" s="119">
        <f t="shared" si="123"/>
        <v>40.800000000000004</v>
      </c>
      <c r="O135" s="182"/>
      <c r="P135" s="121" t="str">
        <f t="shared" si="124"/>
        <v/>
      </c>
      <c r="Q135" s="122"/>
      <c r="R135" s="180"/>
      <c r="S135" s="121">
        <f t="shared" si="125"/>
        <v>0</v>
      </c>
      <c r="T135" s="181">
        <v>68</v>
      </c>
      <c r="U135" s="125">
        <f t="shared" si="126"/>
        <v>685.44000000000017</v>
      </c>
      <c r="V135" s="9"/>
      <c r="W135" s="9"/>
      <c r="X135" s="9"/>
      <c r="Y135" s="9"/>
      <c r="Z135" s="9"/>
      <c r="AA135" s="9"/>
    </row>
    <row r="136" spans="1:27" ht="13.5" customHeight="1" outlineLevel="1" x14ac:dyDescent="0.25">
      <c r="A136" s="366"/>
      <c r="B136" s="53" t="s">
        <v>98</v>
      </c>
      <c r="C136" s="175">
        <v>0.05</v>
      </c>
      <c r="D136" s="176">
        <v>0.1</v>
      </c>
      <c r="E136" s="121">
        <v>6</v>
      </c>
      <c r="F136" s="112">
        <f t="shared" si="116"/>
        <v>3.0000000000000006E-2</v>
      </c>
      <c r="G136" s="112">
        <f t="shared" si="117"/>
        <v>0.60000000000000009</v>
      </c>
      <c r="H136" s="177">
        <v>240</v>
      </c>
      <c r="I136" s="114">
        <f t="shared" ref="I136:I137" si="137">ROUND(H136*1.1667,0)*0.9</f>
        <v>252</v>
      </c>
      <c r="J136" s="115">
        <f t="shared" si="134"/>
        <v>9.0600000000000023</v>
      </c>
      <c r="K136" s="116">
        <f t="shared" si="120"/>
        <v>15.100000000000001</v>
      </c>
      <c r="L136" s="117">
        <f t="shared" si="131"/>
        <v>0</v>
      </c>
      <c r="M136" s="178">
        <f t="shared" si="122"/>
        <v>0</v>
      </c>
      <c r="N136" s="119">
        <f t="shared" si="123"/>
        <v>0</v>
      </c>
      <c r="O136" s="182"/>
      <c r="P136" s="121" t="str">
        <f t="shared" si="124"/>
        <v/>
      </c>
      <c r="Q136" s="122"/>
      <c r="R136" s="180"/>
      <c r="S136" s="121">
        <f t="shared" si="125"/>
        <v>0</v>
      </c>
      <c r="T136" s="181">
        <v>0</v>
      </c>
      <c r="U136" s="125">
        <f t="shared" si="126"/>
        <v>0</v>
      </c>
      <c r="V136" s="9" t="str">
        <f t="shared" ref="V136:V172" si="138">IF(O136="","",Q136-(O136*(H136*F136)))</f>
        <v/>
      </c>
      <c r="W136" s="9" t="str">
        <f t="shared" ref="W136:W191" si="139">IF(O136="","",(P136*H136))</f>
        <v/>
      </c>
      <c r="X136" s="9"/>
      <c r="Y136" s="9"/>
      <c r="Z136" s="9"/>
      <c r="AA136" s="9"/>
    </row>
    <row r="137" spans="1:27" ht="13.5" customHeight="1" outlineLevel="1" x14ac:dyDescent="0.25">
      <c r="A137" s="366"/>
      <c r="B137" s="53" t="s">
        <v>95</v>
      </c>
      <c r="C137" s="175">
        <v>0.05</v>
      </c>
      <c r="D137" s="176">
        <v>0.125</v>
      </c>
      <c r="E137" s="121">
        <v>6</v>
      </c>
      <c r="F137" s="112">
        <f t="shared" si="116"/>
        <v>3.7500000000000006E-2</v>
      </c>
      <c r="G137" s="112">
        <f t="shared" si="117"/>
        <v>0.75</v>
      </c>
      <c r="H137" s="177">
        <v>240</v>
      </c>
      <c r="I137" s="114">
        <f t="shared" si="137"/>
        <v>252</v>
      </c>
      <c r="J137" s="115">
        <f>ROUND((I137*0.873)*1.21,0)*(C137*D137*E137)</f>
        <v>9.9750000000000014</v>
      </c>
      <c r="K137" s="116">
        <f t="shared" si="120"/>
        <v>13.300000000000002</v>
      </c>
      <c r="L137" s="117">
        <f t="shared" si="131"/>
        <v>16</v>
      </c>
      <c r="M137" s="178">
        <f t="shared" si="122"/>
        <v>0.60000000000000009</v>
      </c>
      <c r="N137" s="119">
        <f t="shared" si="123"/>
        <v>12</v>
      </c>
      <c r="O137" s="182"/>
      <c r="P137" s="121" t="str">
        <f t="shared" si="124"/>
        <v/>
      </c>
      <c r="Q137" s="122"/>
      <c r="R137" s="180"/>
      <c r="S137" s="121">
        <f t="shared" si="125"/>
        <v>0</v>
      </c>
      <c r="T137" s="181">
        <v>16</v>
      </c>
      <c r="U137" s="125">
        <f t="shared" si="126"/>
        <v>159.60000000000002</v>
      </c>
      <c r="V137" s="9" t="str">
        <f t="shared" si="138"/>
        <v/>
      </c>
      <c r="W137" s="9" t="str">
        <f t="shared" si="139"/>
        <v/>
      </c>
      <c r="X137" s="9"/>
      <c r="Y137" s="9"/>
      <c r="Z137" s="9"/>
      <c r="AA137" s="9"/>
    </row>
    <row r="138" spans="1:27" ht="13.5" customHeight="1" outlineLevel="1" x14ac:dyDescent="0.25">
      <c r="A138" s="366"/>
      <c r="B138" s="53"/>
      <c r="C138" s="175">
        <v>0.05</v>
      </c>
      <c r="D138" s="176">
        <v>0.15</v>
      </c>
      <c r="E138" s="121">
        <v>3.7</v>
      </c>
      <c r="F138" s="112">
        <f t="shared" si="116"/>
        <v>2.775E-2</v>
      </c>
      <c r="G138" s="112">
        <f t="shared" si="117"/>
        <v>0.55500000000000005</v>
      </c>
      <c r="H138" s="177">
        <v>240</v>
      </c>
      <c r="I138" s="114">
        <f t="shared" ref="I138:I158" si="140">ROUND(H138*1.1667,0)</f>
        <v>280</v>
      </c>
      <c r="J138" s="115">
        <f t="shared" ref="J138:J158" si="141">ROUND((I138*0.992)*1.21,0)*(C138*D138*E138)</f>
        <v>9.3239999999999998</v>
      </c>
      <c r="K138" s="116">
        <f t="shared" si="120"/>
        <v>16.799999999999997</v>
      </c>
      <c r="L138" s="117">
        <f t="shared" si="131"/>
        <v>33</v>
      </c>
      <c r="M138" s="178">
        <f t="shared" si="122"/>
        <v>0.91575000000000006</v>
      </c>
      <c r="N138" s="119">
        <f t="shared" si="123"/>
        <v>18.315000000000001</v>
      </c>
      <c r="O138" s="182"/>
      <c r="P138" s="121" t="str">
        <f t="shared" si="124"/>
        <v/>
      </c>
      <c r="Q138" s="122"/>
      <c r="R138" s="180"/>
      <c r="S138" s="121">
        <f t="shared" si="125"/>
        <v>0</v>
      </c>
      <c r="T138" s="181">
        <v>33</v>
      </c>
      <c r="U138" s="125">
        <f t="shared" si="126"/>
        <v>307.69200000000001</v>
      </c>
      <c r="V138" s="9" t="str">
        <f t="shared" si="138"/>
        <v/>
      </c>
      <c r="W138" s="9" t="str">
        <f t="shared" si="139"/>
        <v/>
      </c>
      <c r="X138" s="9"/>
      <c r="Y138" s="9"/>
      <c r="Z138" s="9"/>
      <c r="AA138" s="9"/>
    </row>
    <row r="139" spans="1:27" ht="13.5" customHeight="1" outlineLevel="1" x14ac:dyDescent="0.25">
      <c r="A139" s="366"/>
      <c r="B139" s="53"/>
      <c r="C139" s="175">
        <v>0.05</v>
      </c>
      <c r="D139" s="176">
        <v>0.15</v>
      </c>
      <c r="E139" s="121">
        <v>4.9000000000000004</v>
      </c>
      <c r="F139" s="112">
        <f t="shared" si="116"/>
        <v>3.6749999999999998E-2</v>
      </c>
      <c r="G139" s="112">
        <f t="shared" si="117"/>
        <v>0.73499999999999999</v>
      </c>
      <c r="H139" s="177">
        <v>240</v>
      </c>
      <c r="I139" s="114">
        <f t="shared" si="140"/>
        <v>280</v>
      </c>
      <c r="J139" s="115">
        <f t="shared" si="141"/>
        <v>12.347999999999999</v>
      </c>
      <c r="K139" s="116">
        <f t="shared" si="120"/>
        <v>16.799999999999997</v>
      </c>
      <c r="L139" s="117">
        <f t="shared" si="131"/>
        <v>405</v>
      </c>
      <c r="M139" s="178">
        <f t="shared" si="122"/>
        <v>14.883749999999999</v>
      </c>
      <c r="N139" s="119">
        <f t="shared" si="123"/>
        <v>297.67500000000001</v>
      </c>
      <c r="O139" s="182"/>
      <c r="P139" s="121" t="str">
        <f t="shared" si="124"/>
        <v/>
      </c>
      <c r="Q139" s="122"/>
      <c r="R139" s="180"/>
      <c r="S139" s="121">
        <f t="shared" si="125"/>
        <v>0</v>
      </c>
      <c r="T139" s="181">
        <v>405</v>
      </c>
      <c r="U139" s="125">
        <f t="shared" si="126"/>
        <v>5000.9399999999996</v>
      </c>
      <c r="V139" s="9" t="str">
        <f t="shared" si="138"/>
        <v/>
      </c>
      <c r="W139" s="9" t="str">
        <f t="shared" si="139"/>
        <v/>
      </c>
      <c r="X139" s="9"/>
      <c r="Y139" s="9"/>
      <c r="Z139" s="9"/>
      <c r="AA139" s="9"/>
    </row>
    <row r="140" spans="1:27" ht="13.5" customHeight="1" outlineLevel="1" x14ac:dyDescent="0.25">
      <c r="A140" s="366"/>
      <c r="B140" s="53"/>
      <c r="C140" s="175">
        <v>0.05</v>
      </c>
      <c r="D140" s="176">
        <v>0.15</v>
      </c>
      <c r="E140" s="121">
        <v>6</v>
      </c>
      <c r="F140" s="112">
        <f t="shared" si="116"/>
        <v>4.4999999999999998E-2</v>
      </c>
      <c r="G140" s="112">
        <f t="shared" si="117"/>
        <v>0.89999999999999991</v>
      </c>
      <c r="H140" s="177">
        <v>240</v>
      </c>
      <c r="I140" s="114">
        <f t="shared" si="140"/>
        <v>280</v>
      </c>
      <c r="J140" s="115">
        <f t="shared" si="141"/>
        <v>15.12</v>
      </c>
      <c r="K140" s="116">
        <f t="shared" si="120"/>
        <v>16.8</v>
      </c>
      <c r="L140" s="117">
        <f t="shared" si="131"/>
        <v>853</v>
      </c>
      <c r="M140" s="178">
        <f t="shared" si="122"/>
        <v>38.384999999999998</v>
      </c>
      <c r="N140" s="119">
        <f t="shared" si="123"/>
        <v>767.69999999999993</v>
      </c>
      <c r="O140" s="182"/>
      <c r="P140" s="121" t="str">
        <f t="shared" si="124"/>
        <v/>
      </c>
      <c r="Q140" s="122"/>
      <c r="R140" s="180"/>
      <c r="S140" s="121">
        <f t="shared" si="125"/>
        <v>0</v>
      </c>
      <c r="T140" s="181">
        <v>853</v>
      </c>
      <c r="U140" s="125">
        <f t="shared" si="126"/>
        <v>12897.359999999999</v>
      </c>
      <c r="V140" s="9" t="str">
        <f t="shared" si="138"/>
        <v/>
      </c>
      <c r="W140" s="9" t="str">
        <f t="shared" si="139"/>
        <v/>
      </c>
      <c r="X140" s="9"/>
      <c r="Y140" s="9"/>
      <c r="Z140" s="9"/>
      <c r="AA140" s="9"/>
    </row>
    <row r="141" spans="1:27" ht="13.5" customHeight="1" outlineLevel="1" x14ac:dyDescent="0.25">
      <c r="A141" s="366"/>
      <c r="B141" s="53" t="s">
        <v>95</v>
      </c>
      <c r="C141" s="175">
        <v>0.05</v>
      </c>
      <c r="D141" s="176">
        <v>0.2</v>
      </c>
      <c r="E141" s="121">
        <v>3.7</v>
      </c>
      <c r="F141" s="112">
        <f t="shared" si="116"/>
        <v>3.7000000000000012E-2</v>
      </c>
      <c r="G141" s="112">
        <f t="shared" si="117"/>
        <v>0.7400000000000001</v>
      </c>
      <c r="H141" s="177">
        <v>240</v>
      </c>
      <c r="I141" s="114">
        <f t="shared" si="140"/>
        <v>280</v>
      </c>
      <c r="J141" s="115">
        <f t="shared" si="141"/>
        <v>12.432000000000004</v>
      </c>
      <c r="K141" s="243">
        <f t="shared" si="120"/>
        <v>16.800000000000004</v>
      </c>
      <c r="L141" s="117">
        <f t="shared" si="131"/>
        <v>16</v>
      </c>
      <c r="M141" s="178">
        <f t="shared" si="122"/>
        <v>0.59200000000000019</v>
      </c>
      <c r="N141" s="119">
        <f t="shared" si="123"/>
        <v>11.840000000000002</v>
      </c>
      <c r="O141" s="182"/>
      <c r="P141" s="121" t="str">
        <f t="shared" si="124"/>
        <v/>
      </c>
      <c r="Q141" s="122"/>
      <c r="R141" s="180"/>
      <c r="S141" s="121">
        <f t="shared" si="125"/>
        <v>0</v>
      </c>
      <c r="T141" s="181">
        <v>16</v>
      </c>
      <c r="U141" s="125">
        <f t="shared" si="126"/>
        <v>198.91200000000006</v>
      </c>
      <c r="V141" s="9" t="str">
        <f t="shared" si="138"/>
        <v/>
      </c>
      <c r="W141" s="9" t="str">
        <f t="shared" si="139"/>
        <v/>
      </c>
      <c r="X141" s="9"/>
      <c r="Y141" s="9"/>
      <c r="Z141" s="9"/>
      <c r="AA141" s="9"/>
    </row>
    <row r="142" spans="1:27" ht="13.5" customHeight="1" outlineLevel="1" x14ac:dyDescent="0.25">
      <c r="A142" s="366"/>
      <c r="B142" s="53" t="s">
        <v>95</v>
      </c>
      <c r="C142" s="175">
        <v>0.05</v>
      </c>
      <c r="D142" s="176">
        <v>0.2</v>
      </c>
      <c r="E142" s="121">
        <v>3.9</v>
      </c>
      <c r="F142" s="112">
        <f t="shared" si="116"/>
        <v>3.9000000000000007E-2</v>
      </c>
      <c r="G142" s="112">
        <f t="shared" si="117"/>
        <v>0.78</v>
      </c>
      <c r="H142" s="177">
        <v>240</v>
      </c>
      <c r="I142" s="114">
        <f t="shared" si="140"/>
        <v>280</v>
      </c>
      <c r="J142" s="115">
        <f t="shared" si="141"/>
        <v>13.104000000000003</v>
      </c>
      <c r="K142" s="243">
        <f t="shared" si="120"/>
        <v>16.800000000000004</v>
      </c>
      <c r="L142" s="117">
        <f t="shared" si="131"/>
        <v>51</v>
      </c>
      <c r="M142" s="178">
        <f t="shared" si="122"/>
        <v>1.9890000000000003</v>
      </c>
      <c r="N142" s="119">
        <f t="shared" si="123"/>
        <v>39.78</v>
      </c>
      <c r="O142" s="182"/>
      <c r="P142" s="121" t="str">
        <f t="shared" si="124"/>
        <v/>
      </c>
      <c r="Q142" s="122"/>
      <c r="R142" s="180"/>
      <c r="S142" s="121">
        <f t="shared" si="125"/>
        <v>0</v>
      </c>
      <c r="T142" s="181">
        <v>51</v>
      </c>
      <c r="U142" s="125">
        <f t="shared" si="126"/>
        <v>668.30400000000009</v>
      </c>
      <c r="V142" s="9" t="str">
        <f t="shared" si="138"/>
        <v/>
      </c>
      <c r="W142" s="9" t="str">
        <f t="shared" si="139"/>
        <v/>
      </c>
      <c r="X142" s="9"/>
      <c r="Y142" s="9"/>
      <c r="Z142" s="9"/>
      <c r="AA142" s="9"/>
    </row>
    <row r="143" spans="1:27" ht="13.5" customHeight="1" outlineLevel="1" x14ac:dyDescent="0.25">
      <c r="A143" s="366"/>
      <c r="B143" s="53"/>
      <c r="C143" s="175">
        <v>0.05</v>
      </c>
      <c r="D143" s="176">
        <v>0.2</v>
      </c>
      <c r="E143" s="121">
        <v>4.9000000000000004</v>
      </c>
      <c r="F143" s="112">
        <f t="shared" si="116"/>
        <v>4.9000000000000016E-2</v>
      </c>
      <c r="G143" s="112">
        <f t="shared" si="117"/>
        <v>0.98000000000000009</v>
      </c>
      <c r="H143" s="177">
        <v>240</v>
      </c>
      <c r="I143" s="114">
        <f t="shared" si="140"/>
        <v>280</v>
      </c>
      <c r="J143" s="115">
        <f t="shared" si="141"/>
        <v>16.464000000000006</v>
      </c>
      <c r="K143" s="243">
        <f t="shared" si="120"/>
        <v>16.800000000000004</v>
      </c>
      <c r="L143" s="117">
        <f t="shared" si="131"/>
        <v>187</v>
      </c>
      <c r="M143" s="178">
        <f t="shared" si="122"/>
        <v>9.1630000000000038</v>
      </c>
      <c r="N143" s="119">
        <f t="shared" si="123"/>
        <v>183.26000000000002</v>
      </c>
      <c r="O143" s="182"/>
      <c r="P143" s="121" t="str">
        <f t="shared" si="124"/>
        <v/>
      </c>
      <c r="Q143" s="122"/>
      <c r="R143" s="180"/>
      <c r="S143" s="121">
        <f t="shared" si="125"/>
        <v>0</v>
      </c>
      <c r="T143" s="181">
        <v>187</v>
      </c>
      <c r="U143" s="125">
        <f t="shared" si="126"/>
        <v>3078.7680000000009</v>
      </c>
      <c r="V143" s="9" t="str">
        <f t="shared" si="138"/>
        <v/>
      </c>
      <c r="W143" s="9" t="str">
        <f t="shared" si="139"/>
        <v/>
      </c>
      <c r="X143" s="9"/>
      <c r="Y143" s="9"/>
      <c r="Z143" s="9"/>
      <c r="AA143" s="9"/>
    </row>
    <row r="144" spans="1:27" ht="13.5" customHeight="1" outlineLevel="1" x14ac:dyDescent="0.25">
      <c r="A144" s="366"/>
      <c r="B144" s="53"/>
      <c r="C144" s="175">
        <v>0.05</v>
      </c>
      <c r="D144" s="176">
        <v>0.2</v>
      </c>
      <c r="E144" s="121">
        <v>6</v>
      </c>
      <c r="F144" s="112">
        <f t="shared" si="116"/>
        <v>6.0000000000000012E-2</v>
      </c>
      <c r="G144" s="112">
        <f t="shared" si="117"/>
        <v>1.2000000000000002</v>
      </c>
      <c r="H144" s="177">
        <v>240</v>
      </c>
      <c r="I144" s="114">
        <f t="shared" si="140"/>
        <v>280</v>
      </c>
      <c r="J144" s="115">
        <f t="shared" si="141"/>
        <v>20.160000000000004</v>
      </c>
      <c r="K144" s="243">
        <f t="shared" si="120"/>
        <v>16.8</v>
      </c>
      <c r="L144" s="117">
        <f t="shared" si="131"/>
        <v>459</v>
      </c>
      <c r="M144" s="178">
        <f t="shared" si="122"/>
        <v>27.540000000000006</v>
      </c>
      <c r="N144" s="119">
        <f t="shared" si="123"/>
        <v>550.80000000000007</v>
      </c>
      <c r="O144" s="182"/>
      <c r="P144" s="121" t="str">
        <f t="shared" si="124"/>
        <v/>
      </c>
      <c r="Q144" s="122"/>
      <c r="R144" s="180"/>
      <c r="S144" s="121">
        <f t="shared" si="125"/>
        <v>0</v>
      </c>
      <c r="T144" s="181">
        <v>459</v>
      </c>
      <c r="U144" s="125">
        <f t="shared" si="126"/>
        <v>9253.4400000000023</v>
      </c>
      <c r="V144" s="9" t="str">
        <f t="shared" si="138"/>
        <v/>
      </c>
      <c r="W144" s="9" t="str">
        <f t="shared" si="139"/>
        <v/>
      </c>
      <c r="X144" s="9"/>
      <c r="Y144" s="9"/>
      <c r="Z144" s="9"/>
      <c r="AA144" s="9"/>
    </row>
    <row r="145" spans="1:27" ht="13.5" customHeight="1" outlineLevel="1" x14ac:dyDescent="0.25">
      <c r="A145" s="366"/>
      <c r="B145" s="53"/>
      <c r="C145" s="175">
        <v>7.4999999999999997E-2</v>
      </c>
      <c r="D145" s="176">
        <v>0.15</v>
      </c>
      <c r="E145" s="121">
        <v>6</v>
      </c>
      <c r="F145" s="112">
        <f t="shared" si="116"/>
        <v>6.7500000000000004E-2</v>
      </c>
      <c r="G145" s="112">
        <f t="shared" si="117"/>
        <v>0.89999999999999991</v>
      </c>
      <c r="H145" s="177">
        <v>240</v>
      </c>
      <c r="I145" s="114">
        <f t="shared" si="140"/>
        <v>280</v>
      </c>
      <c r="J145" s="115">
        <f t="shared" si="141"/>
        <v>22.68</v>
      </c>
      <c r="K145" s="116">
        <f t="shared" si="120"/>
        <v>25.200000000000003</v>
      </c>
      <c r="L145" s="117">
        <f t="shared" si="131"/>
        <v>43</v>
      </c>
      <c r="M145" s="178">
        <f t="shared" si="122"/>
        <v>2.9025000000000003</v>
      </c>
      <c r="N145" s="119">
        <f t="shared" si="123"/>
        <v>38.699999999999996</v>
      </c>
      <c r="O145" s="182"/>
      <c r="P145" s="121" t="str">
        <f t="shared" si="124"/>
        <v/>
      </c>
      <c r="Q145" s="122"/>
      <c r="R145" s="180"/>
      <c r="S145" s="121">
        <f t="shared" si="125"/>
        <v>0</v>
      </c>
      <c r="T145" s="181">
        <v>43</v>
      </c>
      <c r="U145" s="125">
        <f t="shared" si="126"/>
        <v>975.24</v>
      </c>
      <c r="V145" s="9" t="str">
        <f t="shared" si="138"/>
        <v/>
      </c>
      <c r="W145" s="9" t="str">
        <f t="shared" si="139"/>
        <v/>
      </c>
      <c r="X145" s="9"/>
      <c r="Y145" s="9"/>
      <c r="Z145" s="9"/>
      <c r="AA145" s="9"/>
    </row>
    <row r="146" spans="1:27" ht="13.5" customHeight="1" outlineLevel="1" x14ac:dyDescent="0.25">
      <c r="A146" s="366"/>
      <c r="B146" s="53"/>
      <c r="C146" s="175">
        <v>7.4999999999999997E-2</v>
      </c>
      <c r="D146" s="176">
        <v>0.2</v>
      </c>
      <c r="E146" s="121">
        <v>3.8</v>
      </c>
      <c r="F146" s="112">
        <f t="shared" si="116"/>
        <v>5.6999999999999995E-2</v>
      </c>
      <c r="G146" s="112">
        <f t="shared" si="117"/>
        <v>0.76</v>
      </c>
      <c r="H146" s="177">
        <v>240</v>
      </c>
      <c r="I146" s="114">
        <f t="shared" si="140"/>
        <v>280</v>
      </c>
      <c r="J146" s="115">
        <f t="shared" si="141"/>
        <v>19.151999999999997</v>
      </c>
      <c r="K146" s="116">
        <f t="shared" si="120"/>
        <v>25.199999999999996</v>
      </c>
      <c r="L146" s="117">
        <f t="shared" si="131"/>
        <v>1</v>
      </c>
      <c r="M146" s="178">
        <f t="shared" si="122"/>
        <v>5.6999999999999995E-2</v>
      </c>
      <c r="N146" s="119">
        <f t="shared" si="123"/>
        <v>0.76</v>
      </c>
      <c r="O146" s="195"/>
      <c r="P146" s="121" t="str">
        <f t="shared" si="124"/>
        <v/>
      </c>
      <c r="Q146" s="122"/>
      <c r="R146" s="180"/>
      <c r="S146" s="121">
        <f t="shared" si="125"/>
        <v>0</v>
      </c>
      <c r="T146" s="181">
        <v>1</v>
      </c>
      <c r="U146" s="125">
        <f t="shared" si="126"/>
        <v>19.151999999999997</v>
      </c>
      <c r="V146" s="9" t="str">
        <f t="shared" si="138"/>
        <v/>
      </c>
      <c r="W146" s="9" t="str">
        <f t="shared" si="139"/>
        <v/>
      </c>
      <c r="X146" s="9"/>
      <c r="Y146" s="9"/>
      <c r="Z146" s="9"/>
      <c r="AA146" s="9"/>
    </row>
    <row r="147" spans="1:27" ht="13.5" customHeight="1" outlineLevel="1" x14ac:dyDescent="0.25">
      <c r="A147" s="366"/>
      <c r="B147" s="53"/>
      <c r="C147" s="175">
        <v>7.4999999999999997E-2</v>
      </c>
      <c r="D147" s="176">
        <v>0.2</v>
      </c>
      <c r="E147" s="121">
        <v>4.3</v>
      </c>
      <c r="F147" s="112">
        <f t="shared" si="116"/>
        <v>6.4500000000000002E-2</v>
      </c>
      <c r="G147" s="112">
        <f t="shared" si="117"/>
        <v>0.86</v>
      </c>
      <c r="H147" s="177">
        <v>240</v>
      </c>
      <c r="I147" s="114">
        <f t="shared" si="140"/>
        <v>280</v>
      </c>
      <c r="J147" s="115">
        <f t="shared" si="141"/>
        <v>21.672000000000001</v>
      </c>
      <c r="K147" s="116">
        <f t="shared" si="120"/>
        <v>25.200000000000003</v>
      </c>
      <c r="L147" s="117">
        <f t="shared" si="131"/>
        <v>10</v>
      </c>
      <c r="M147" s="178">
        <f t="shared" si="122"/>
        <v>0.64500000000000002</v>
      </c>
      <c r="N147" s="119">
        <f t="shared" si="123"/>
        <v>8.6</v>
      </c>
      <c r="O147" s="195"/>
      <c r="P147" s="121" t="str">
        <f t="shared" si="124"/>
        <v/>
      </c>
      <c r="Q147" s="122"/>
      <c r="R147" s="180"/>
      <c r="S147" s="121">
        <f t="shared" si="125"/>
        <v>0</v>
      </c>
      <c r="T147" s="181">
        <v>10</v>
      </c>
      <c r="U147" s="125">
        <f t="shared" si="126"/>
        <v>216.72</v>
      </c>
      <c r="V147" s="9" t="str">
        <f t="shared" si="138"/>
        <v/>
      </c>
      <c r="W147" s="9" t="str">
        <f t="shared" si="139"/>
        <v/>
      </c>
      <c r="X147" s="9"/>
      <c r="Y147" s="9"/>
      <c r="Z147" s="9"/>
      <c r="AA147" s="9"/>
    </row>
    <row r="148" spans="1:27" ht="13.5" customHeight="1" outlineLevel="1" x14ac:dyDescent="0.25">
      <c r="A148" s="366"/>
      <c r="B148" s="53"/>
      <c r="C148" s="175">
        <v>7.4999999999999997E-2</v>
      </c>
      <c r="D148" s="176">
        <v>0.2</v>
      </c>
      <c r="E148" s="121">
        <v>4.9000000000000004</v>
      </c>
      <c r="F148" s="112">
        <f t="shared" si="116"/>
        <v>7.3499999999999996E-2</v>
      </c>
      <c r="G148" s="112">
        <f t="shared" si="117"/>
        <v>0.98000000000000009</v>
      </c>
      <c r="H148" s="177">
        <v>240</v>
      </c>
      <c r="I148" s="114">
        <f t="shared" si="140"/>
        <v>280</v>
      </c>
      <c r="J148" s="115">
        <f t="shared" si="141"/>
        <v>24.695999999999998</v>
      </c>
      <c r="K148" s="116">
        <f t="shared" si="120"/>
        <v>25.199999999999996</v>
      </c>
      <c r="L148" s="117">
        <f t="shared" si="131"/>
        <v>5</v>
      </c>
      <c r="M148" s="178">
        <f t="shared" si="122"/>
        <v>0.36749999999999999</v>
      </c>
      <c r="N148" s="119">
        <f t="shared" si="123"/>
        <v>4.9000000000000004</v>
      </c>
      <c r="O148" s="182"/>
      <c r="P148" s="121" t="str">
        <f t="shared" si="124"/>
        <v/>
      </c>
      <c r="Q148" s="122"/>
      <c r="R148" s="180"/>
      <c r="S148" s="121">
        <f t="shared" si="125"/>
        <v>0</v>
      </c>
      <c r="T148" s="181">
        <v>5</v>
      </c>
      <c r="U148" s="125">
        <f t="shared" si="126"/>
        <v>123.47999999999999</v>
      </c>
      <c r="V148" s="9" t="str">
        <f t="shared" si="138"/>
        <v/>
      </c>
      <c r="W148" s="9" t="str">
        <f t="shared" si="139"/>
        <v/>
      </c>
      <c r="X148" s="9"/>
      <c r="Y148" s="9"/>
      <c r="Z148" s="9"/>
      <c r="AA148" s="9"/>
    </row>
    <row r="149" spans="1:27" ht="13.5" customHeight="1" outlineLevel="1" x14ac:dyDescent="0.25">
      <c r="A149" s="366"/>
      <c r="B149" s="53"/>
      <c r="C149" s="175">
        <v>7.4999999999999997E-2</v>
      </c>
      <c r="D149" s="176">
        <v>0.2</v>
      </c>
      <c r="E149" s="121">
        <v>6</v>
      </c>
      <c r="F149" s="112">
        <f t="shared" si="116"/>
        <v>0.09</v>
      </c>
      <c r="G149" s="112">
        <f t="shared" si="117"/>
        <v>1.2000000000000002</v>
      </c>
      <c r="H149" s="177">
        <v>240</v>
      </c>
      <c r="I149" s="114">
        <f t="shared" si="140"/>
        <v>280</v>
      </c>
      <c r="J149" s="115">
        <f t="shared" si="141"/>
        <v>30.24</v>
      </c>
      <c r="K149" s="116">
        <f t="shared" si="120"/>
        <v>25.199999999999996</v>
      </c>
      <c r="L149" s="117">
        <f t="shared" si="131"/>
        <v>1</v>
      </c>
      <c r="M149" s="178">
        <f t="shared" si="122"/>
        <v>0.09</v>
      </c>
      <c r="N149" s="119">
        <f t="shared" si="123"/>
        <v>1.2000000000000002</v>
      </c>
      <c r="O149" s="182"/>
      <c r="P149" s="121" t="str">
        <f t="shared" si="124"/>
        <v/>
      </c>
      <c r="Q149" s="122"/>
      <c r="R149" s="180"/>
      <c r="S149" s="121">
        <f t="shared" si="125"/>
        <v>0</v>
      </c>
      <c r="T149" s="181">
        <v>1</v>
      </c>
      <c r="U149" s="125">
        <f t="shared" si="126"/>
        <v>30.24</v>
      </c>
      <c r="V149" s="9" t="str">
        <f t="shared" si="138"/>
        <v/>
      </c>
      <c r="W149" s="9" t="str">
        <f t="shared" si="139"/>
        <v/>
      </c>
      <c r="X149" s="9"/>
      <c r="Y149" s="9"/>
      <c r="Z149" s="9"/>
      <c r="AA149" s="9"/>
    </row>
    <row r="150" spans="1:27" ht="13.5" customHeight="1" outlineLevel="1" x14ac:dyDescent="0.25">
      <c r="A150" s="366"/>
      <c r="B150" s="53"/>
      <c r="C150" s="175">
        <v>0.1</v>
      </c>
      <c r="D150" s="176">
        <v>0.1</v>
      </c>
      <c r="E150" s="121">
        <v>3.6</v>
      </c>
      <c r="F150" s="112">
        <f t="shared" si="116"/>
        <v>3.6000000000000011E-2</v>
      </c>
      <c r="G150" s="112">
        <f t="shared" si="117"/>
        <v>0.36000000000000004</v>
      </c>
      <c r="H150" s="177">
        <v>240</v>
      </c>
      <c r="I150" s="114">
        <f t="shared" si="140"/>
        <v>280</v>
      </c>
      <c r="J150" s="115">
        <f t="shared" si="141"/>
        <v>12.096000000000004</v>
      </c>
      <c r="K150" s="116">
        <f t="shared" si="120"/>
        <v>33.600000000000009</v>
      </c>
      <c r="L150" s="117">
        <f t="shared" si="131"/>
        <v>271</v>
      </c>
      <c r="M150" s="178">
        <f t="shared" si="122"/>
        <v>9.7560000000000038</v>
      </c>
      <c r="N150" s="119">
        <f t="shared" si="123"/>
        <v>97.560000000000016</v>
      </c>
      <c r="O150" s="182"/>
      <c r="P150" s="121" t="str">
        <f t="shared" si="124"/>
        <v/>
      </c>
      <c r="Q150" s="122"/>
      <c r="R150" s="180"/>
      <c r="S150" s="121">
        <f t="shared" si="125"/>
        <v>0</v>
      </c>
      <c r="T150" s="181">
        <v>271</v>
      </c>
      <c r="U150" s="125">
        <f t="shared" si="126"/>
        <v>3278.016000000001</v>
      </c>
      <c r="V150" s="9" t="str">
        <f t="shared" si="138"/>
        <v/>
      </c>
      <c r="W150" s="9" t="str">
        <f t="shared" si="139"/>
        <v/>
      </c>
      <c r="X150" s="9"/>
      <c r="Y150" s="9"/>
      <c r="Z150" s="9"/>
      <c r="AA150" s="9"/>
    </row>
    <row r="151" spans="1:27" ht="13.5" customHeight="1" outlineLevel="1" x14ac:dyDescent="0.25">
      <c r="A151" s="366"/>
      <c r="B151" s="53"/>
      <c r="C151" s="175">
        <v>0.1</v>
      </c>
      <c r="D151" s="176">
        <v>0.1</v>
      </c>
      <c r="E151" s="121">
        <v>3.9</v>
      </c>
      <c r="F151" s="112">
        <f t="shared" si="116"/>
        <v>3.9000000000000007E-2</v>
      </c>
      <c r="G151" s="112">
        <f t="shared" si="117"/>
        <v>0.39</v>
      </c>
      <c r="H151" s="177">
        <v>240</v>
      </c>
      <c r="I151" s="114">
        <f t="shared" si="140"/>
        <v>280</v>
      </c>
      <c r="J151" s="115">
        <f t="shared" si="141"/>
        <v>13.104000000000003</v>
      </c>
      <c r="K151" s="116">
        <f t="shared" si="120"/>
        <v>33.600000000000009</v>
      </c>
      <c r="L151" s="117">
        <f t="shared" si="131"/>
        <v>12</v>
      </c>
      <c r="M151" s="178">
        <f t="shared" si="122"/>
        <v>0.46800000000000008</v>
      </c>
      <c r="N151" s="119">
        <f t="shared" si="123"/>
        <v>4.68</v>
      </c>
      <c r="O151" s="182"/>
      <c r="P151" s="121" t="str">
        <f t="shared" si="124"/>
        <v/>
      </c>
      <c r="Q151" s="122"/>
      <c r="R151" s="180"/>
      <c r="S151" s="121">
        <f t="shared" si="125"/>
        <v>0</v>
      </c>
      <c r="T151" s="181">
        <v>12</v>
      </c>
      <c r="U151" s="125">
        <f t="shared" si="126"/>
        <v>157.24800000000005</v>
      </c>
      <c r="V151" s="9" t="str">
        <f t="shared" si="138"/>
        <v/>
      </c>
      <c r="W151" s="9" t="str">
        <f t="shared" si="139"/>
        <v/>
      </c>
      <c r="X151" s="9"/>
      <c r="Y151" s="9"/>
      <c r="Z151" s="9"/>
      <c r="AA151" s="9"/>
    </row>
    <row r="152" spans="1:27" ht="13.5" customHeight="1" outlineLevel="1" x14ac:dyDescent="0.25">
      <c r="A152" s="366"/>
      <c r="B152" s="53"/>
      <c r="C152" s="175">
        <v>0.1</v>
      </c>
      <c r="D152" s="176">
        <v>0.1</v>
      </c>
      <c r="E152" s="121">
        <v>4.9000000000000004</v>
      </c>
      <c r="F152" s="112">
        <f t="shared" si="116"/>
        <v>4.9000000000000016E-2</v>
      </c>
      <c r="G152" s="112">
        <f t="shared" si="117"/>
        <v>0.49000000000000005</v>
      </c>
      <c r="H152" s="177">
        <v>240</v>
      </c>
      <c r="I152" s="114">
        <f t="shared" si="140"/>
        <v>280</v>
      </c>
      <c r="J152" s="115">
        <f t="shared" si="141"/>
        <v>16.464000000000006</v>
      </c>
      <c r="K152" s="116">
        <f t="shared" si="120"/>
        <v>33.600000000000009</v>
      </c>
      <c r="L152" s="117">
        <f t="shared" si="131"/>
        <v>5</v>
      </c>
      <c r="M152" s="178">
        <f t="shared" si="122"/>
        <v>0.24500000000000008</v>
      </c>
      <c r="N152" s="119">
        <f t="shared" si="123"/>
        <v>2.4500000000000002</v>
      </c>
      <c r="O152" s="182"/>
      <c r="P152" s="121" t="str">
        <f t="shared" si="124"/>
        <v/>
      </c>
      <c r="Q152" s="122"/>
      <c r="R152" s="180"/>
      <c r="S152" s="121">
        <f t="shared" si="125"/>
        <v>0</v>
      </c>
      <c r="T152" s="181">
        <v>5</v>
      </c>
      <c r="U152" s="125">
        <f t="shared" si="126"/>
        <v>82.320000000000022</v>
      </c>
      <c r="V152" s="9" t="str">
        <f t="shared" si="138"/>
        <v/>
      </c>
      <c r="W152" s="9" t="str">
        <f t="shared" si="139"/>
        <v/>
      </c>
      <c r="X152" s="9"/>
      <c r="Y152" s="9"/>
      <c r="Z152" s="9"/>
      <c r="AA152" s="9"/>
    </row>
    <row r="153" spans="1:27" ht="13.5" customHeight="1" outlineLevel="1" x14ac:dyDescent="0.25">
      <c r="A153" s="366"/>
      <c r="B153" s="53"/>
      <c r="C153" s="175">
        <v>0.1</v>
      </c>
      <c r="D153" s="176">
        <v>0.1</v>
      </c>
      <c r="E153" s="121">
        <v>6</v>
      </c>
      <c r="F153" s="112">
        <f t="shared" si="116"/>
        <v>6.0000000000000012E-2</v>
      </c>
      <c r="G153" s="112">
        <f t="shared" si="117"/>
        <v>0.60000000000000009</v>
      </c>
      <c r="H153" s="177">
        <v>240</v>
      </c>
      <c r="I153" s="114">
        <f t="shared" si="140"/>
        <v>280</v>
      </c>
      <c r="J153" s="115">
        <f t="shared" si="141"/>
        <v>20.160000000000004</v>
      </c>
      <c r="K153" s="116">
        <f t="shared" si="120"/>
        <v>33.6</v>
      </c>
      <c r="L153" s="117">
        <f t="shared" si="131"/>
        <v>121</v>
      </c>
      <c r="M153" s="178">
        <f t="shared" si="122"/>
        <v>7.2600000000000016</v>
      </c>
      <c r="N153" s="119">
        <f t="shared" si="123"/>
        <v>72.600000000000009</v>
      </c>
      <c r="O153" s="182"/>
      <c r="P153" s="121" t="str">
        <f t="shared" si="124"/>
        <v/>
      </c>
      <c r="Q153" s="122"/>
      <c r="R153" s="180"/>
      <c r="S153" s="121">
        <f t="shared" si="125"/>
        <v>0</v>
      </c>
      <c r="T153" s="181">
        <v>121</v>
      </c>
      <c r="U153" s="125">
        <f t="shared" si="126"/>
        <v>2439.3600000000006</v>
      </c>
      <c r="V153" s="9" t="str">
        <f t="shared" si="138"/>
        <v/>
      </c>
      <c r="W153" s="9" t="str">
        <f t="shared" si="139"/>
        <v/>
      </c>
      <c r="X153" s="9"/>
      <c r="Y153" s="9"/>
      <c r="Z153" s="9"/>
      <c r="AA153" s="9"/>
    </row>
    <row r="154" spans="1:27" ht="13.5" customHeight="1" outlineLevel="1" x14ac:dyDescent="0.25">
      <c r="A154" s="366"/>
      <c r="B154" s="53"/>
      <c r="C154" s="175">
        <v>0.1</v>
      </c>
      <c r="D154" s="176">
        <v>0.15</v>
      </c>
      <c r="E154" s="121">
        <v>3.6</v>
      </c>
      <c r="F154" s="112">
        <f t="shared" si="116"/>
        <v>5.3999999999999999E-2</v>
      </c>
      <c r="G154" s="112">
        <f t="shared" si="117"/>
        <v>0.54</v>
      </c>
      <c r="H154" s="177">
        <v>240</v>
      </c>
      <c r="I154" s="114">
        <f t="shared" si="140"/>
        <v>280</v>
      </c>
      <c r="J154" s="115">
        <f t="shared" si="141"/>
        <v>18.143999999999998</v>
      </c>
      <c r="K154" s="116">
        <f t="shared" si="120"/>
        <v>33.599999999999994</v>
      </c>
      <c r="L154" s="117">
        <f t="shared" si="131"/>
        <v>47</v>
      </c>
      <c r="M154" s="178">
        <f t="shared" si="122"/>
        <v>2.5379999999999998</v>
      </c>
      <c r="N154" s="119">
        <f t="shared" si="123"/>
        <v>25.380000000000003</v>
      </c>
      <c r="O154" s="182"/>
      <c r="P154" s="121" t="str">
        <f t="shared" si="124"/>
        <v/>
      </c>
      <c r="Q154" s="122"/>
      <c r="R154" s="180"/>
      <c r="S154" s="121">
        <f t="shared" si="125"/>
        <v>0</v>
      </c>
      <c r="T154" s="181">
        <v>47</v>
      </c>
      <c r="U154" s="125">
        <f t="shared" si="126"/>
        <v>852.76799999999992</v>
      </c>
      <c r="V154" s="9" t="str">
        <f t="shared" si="138"/>
        <v/>
      </c>
      <c r="W154" s="9" t="str">
        <f t="shared" si="139"/>
        <v/>
      </c>
      <c r="X154" s="9"/>
      <c r="Y154" s="9"/>
      <c r="Z154" s="9"/>
      <c r="AA154" s="9"/>
    </row>
    <row r="155" spans="1:27" ht="13.5" customHeight="1" outlineLevel="1" x14ac:dyDescent="0.25">
      <c r="A155" s="366"/>
      <c r="B155" s="53"/>
      <c r="C155" s="175">
        <v>0.1</v>
      </c>
      <c r="D155" s="176">
        <v>0.15</v>
      </c>
      <c r="E155" s="121">
        <v>4.9000000000000004</v>
      </c>
      <c r="F155" s="112">
        <f t="shared" si="116"/>
        <v>7.3499999999999996E-2</v>
      </c>
      <c r="G155" s="112">
        <f t="shared" si="117"/>
        <v>0.73499999999999999</v>
      </c>
      <c r="H155" s="177">
        <v>240</v>
      </c>
      <c r="I155" s="114">
        <f t="shared" si="140"/>
        <v>280</v>
      </c>
      <c r="J155" s="115">
        <f t="shared" si="141"/>
        <v>24.695999999999998</v>
      </c>
      <c r="K155" s="116">
        <f t="shared" si="120"/>
        <v>33.599999999999994</v>
      </c>
      <c r="L155" s="117">
        <f t="shared" si="131"/>
        <v>135</v>
      </c>
      <c r="M155" s="178">
        <f t="shared" si="122"/>
        <v>9.9224999999999994</v>
      </c>
      <c r="N155" s="119">
        <f t="shared" si="123"/>
        <v>99.224999999999994</v>
      </c>
      <c r="O155" s="182"/>
      <c r="P155" s="121" t="str">
        <f t="shared" si="124"/>
        <v/>
      </c>
      <c r="Q155" s="122"/>
      <c r="R155" s="180"/>
      <c r="S155" s="121">
        <f t="shared" si="125"/>
        <v>0</v>
      </c>
      <c r="T155" s="181">
        <v>135</v>
      </c>
      <c r="U155" s="125">
        <f t="shared" si="126"/>
        <v>3333.9599999999996</v>
      </c>
      <c r="V155" s="9" t="str">
        <f t="shared" si="138"/>
        <v/>
      </c>
      <c r="W155" s="9" t="str">
        <f t="shared" si="139"/>
        <v/>
      </c>
      <c r="X155" s="9"/>
      <c r="Y155" s="9"/>
      <c r="Z155" s="9"/>
      <c r="AA155" s="9"/>
    </row>
    <row r="156" spans="1:27" ht="13.5" customHeight="1" outlineLevel="1" x14ac:dyDescent="0.25">
      <c r="A156" s="366"/>
      <c r="B156" s="53"/>
      <c r="C156" s="175">
        <v>0.1</v>
      </c>
      <c r="D156" s="176">
        <v>0.15</v>
      </c>
      <c r="E156" s="121">
        <v>6</v>
      </c>
      <c r="F156" s="112">
        <f t="shared" si="116"/>
        <v>0.09</v>
      </c>
      <c r="G156" s="112">
        <f t="shared" si="117"/>
        <v>0.89999999999999991</v>
      </c>
      <c r="H156" s="238">
        <v>240</v>
      </c>
      <c r="I156" s="114">
        <f t="shared" si="140"/>
        <v>280</v>
      </c>
      <c r="J156" s="115">
        <f t="shared" si="141"/>
        <v>30.24</v>
      </c>
      <c r="K156" s="116">
        <f t="shared" si="120"/>
        <v>33.6</v>
      </c>
      <c r="L156" s="117">
        <f t="shared" si="131"/>
        <v>165</v>
      </c>
      <c r="M156" s="178">
        <f t="shared" si="122"/>
        <v>14.85</v>
      </c>
      <c r="N156" s="119">
        <f t="shared" si="123"/>
        <v>148.49999999999997</v>
      </c>
      <c r="O156" s="182"/>
      <c r="P156" s="121" t="str">
        <f t="shared" si="124"/>
        <v/>
      </c>
      <c r="Q156" s="122"/>
      <c r="R156" s="180"/>
      <c r="S156" s="121">
        <f t="shared" si="125"/>
        <v>0</v>
      </c>
      <c r="T156" s="181">
        <v>165</v>
      </c>
      <c r="U156" s="125">
        <f t="shared" si="126"/>
        <v>4989.5999999999995</v>
      </c>
      <c r="V156" s="9" t="str">
        <f t="shared" si="138"/>
        <v/>
      </c>
      <c r="W156" s="9" t="str">
        <f t="shared" si="139"/>
        <v/>
      </c>
      <c r="X156" s="9"/>
      <c r="Y156" s="9"/>
      <c r="Z156" s="9"/>
      <c r="AA156" s="9"/>
    </row>
    <row r="157" spans="1:27" ht="13.5" customHeight="1" outlineLevel="1" x14ac:dyDescent="0.25">
      <c r="A157" s="366"/>
      <c r="B157" s="53"/>
      <c r="C157" s="175">
        <v>0.1</v>
      </c>
      <c r="D157" s="176">
        <v>0.2</v>
      </c>
      <c r="E157" s="121">
        <v>4.9000000000000004</v>
      </c>
      <c r="F157" s="112">
        <f t="shared" si="116"/>
        <v>9.8000000000000032E-2</v>
      </c>
      <c r="G157" s="112">
        <f t="shared" si="117"/>
        <v>0.98000000000000009</v>
      </c>
      <c r="H157" s="177">
        <v>240</v>
      </c>
      <c r="I157" s="114">
        <f t="shared" si="140"/>
        <v>280</v>
      </c>
      <c r="J157" s="115">
        <f t="shared" si="141"/>
        <v>32.928000000000011</v>
      </c>
      <c r="K157" s="116">
        <f t="shared" si="120"/>
        <v>33.600000000000009</v>
      </c>
      <c r="L157" s="117">
        <f t="shared" si="131"/>
        <v>33</v>
      </c>
      <c r="M157" s="178">
        <f t="shared" si="122"/>
        <v>3.2340000000000009</v>
      </c>
      <c r="N157" s="119">
        <f t="shared" si="123"/>
        <v>32.340000000000003</v>
      </c>
      <c r="O157" s="182"/>
      <c r="P157" s="121" t="str">
        <f t="shared" si="124"/>
        <v/>
      </c>
      <c r="Q157" s="122"/>
      <c r="R157" s="180"/>
      <c r="S157" s="121">
        <f t="shared" si="125"/>
        <v>0</v>
      </c>
      <c r="T157" s="181">
        <v>33</v>
      </c>
      <c r="U157" s="125">
        <f t="shared" si="126"/>
        <v>1086.6240000000005</v>
      </c>
      <c r="V157" s="9" t="str">
        <f t="shared" si="138"/>
        <v/>
      </c>
      <c r="W157" s="9" t="str">
        <f t="shared" si="139"/>
        <v/>
      </c>
      <c r="X157" s="9"/>
      <c r="Y157" s="9"/>
      <c r="Z157" s="9"/>
      <c r="AA157" s="9"/>
    </row>
    <row r="158" spans="1:27" ht="13.5" customHeight="1" outlineLevel="1" x14ac:dyDescent="0.25">
      <c r="A158" s="366"/>
      <c r="B158" s="53"/>
      <c r="C158" s="175">
        <v>0.1</v>
      </c>
      <c r="D158" s="176">
        <v>0.2</v>
      </c>
      <c r="E158" s="121">
        <v>6</v>
      </c>
      <c r="F158" s="112">
        <f t="shared" si="116"/>
        <v>0.12000000000000002</v>
      </c>
      <c r="G158" s="112">
        <f t="shared" si="117"/>
        <v>1.2000000000000002</v>
      </c>
      <c r="H158" s="177">
        <v>240</v>
      </c>
      <c r="I158" s="114">
        <f t="shared" si="140"/>
        <v>280</v>
      </c>
      <c r="J158" s="115">
        <f t="shared" si="141"/>
        <v>40.320000000000007</v>
      </c>
      <c r="K158" s="116">
        <f t="shared" si="120"/>
        <v>33.6</v>
      </c>
      <c r="L158" s="117">
        <f t="shared" si="131"/>
        <v>88</v>
      </c>
      <c r="M158" s="178">
        <f t="shared" si="122"/>
        <v>10.560000000000002</v>
      </c>
      <c r="N158" s="119">
        <f t="shared" si="123"/>
        <v>105.60000000000002</v>
      </c>
      <c r="O158" s="182"/>
      <c r="P158" s="121" t="str">
        <f t="shared" si="124"/>
        <v/>
      </c>
      <c r="Q158" s="122"/>
      <c r="R158" s="180"/>
      <c r="S158" s="121">
        <f t="shared" si="125"/>
        <v>0</v>
      </c>
      <c r="T158" s="181">
        <v>88</v>
      </c>
      <c r="U158" s="125">
        <f t="shared" si="126"/>
        <v>3548.1600000000008</v>
      </c>
      <c r="V158" s="9" t="str">
        <f t="shared" si="138"/>
        <v/>
      </c>
      <c r="W158" s="9" t="str">
        <f t="shared" si="139"/>
        <v/>
      </c>
      <c r="X158" s="9"/>
      <c r="Y158" s="9"/>
      <c r="Z158" s="9"/>
      <c r="AA158" s="9"/>
    </row>
    <row r="159" spans="1:27" ht="13.5" customHeight="1" outlineLevel="1" x14ac:dyDescent="0.25">
      <c r="A159" s="366"/>
      <c r="B159" s="53" t="s">
        <v>98</v>
      </c>
      <c r="C159" s="175">
        <v>0.15</v>
      </c>
      <c r="D159" s="176">
        <v>0.15</v>
      </c>
      <c r="E159" s="121">
        <v>3.1</v>
      </c>
      <c r="F159" s="112">
        <f t="shared" si="116"/>
        <v>6.9749999999999993E-2</v>
      </c>
      <c r="G159" s="112">
        <f t="shared" si="117"/>
        <v>0.46499999999999997</v>
      </c>
      <c r="H159" s="177">
        <v>240</v>
      </c>
      <c r="I159" s="114">
        <f>ROUND(H159*1.1667,0)*0.9</f>
        <v>252</v>
      </c>
      <c r="J159" s="115">
        <f>ROUND((I159*0.873)*1.21,0)*(C159*D159*E159)</f>
        <v>18.5535</v>
      </c>
      <c r="K159" s="116">
        <f t="shared" si="120"/>
        <v>39.9</v>
      </c>
      <c r="L159" s="117">
        <f t="shared" si="131"/>
        <v>8</v>
      </c>
      <c r="M159" s="178">
        <f t="shared" si="122"/>
        <v>0.55799999999999994</v>
      </c>
      <c r="N159" s="119">
        <f t="shared" si="123"/>
        <v>3.7199999999999998</v>
      </c>
      <c r="O159" s="182"/>
      <c r="P159" s="121" t="str">
        <f t="shared" si="124"/>
        <v/>
      </c>
      <c r="Q159" s="122"/>
      <c r="R159" s="180"/>
      <c r="S159" s="121">
        <f t="shared" si="125"/>
        <v>0</v>
      </c>
      <c r="T159" s="181">
        <v>8</v>
      </c>
      <c r="U159" s="125">
        <f t="shared" si="126"/>
        <v>148.428</v>
      </c>
      <c r="V159" s="9" t="str">
        <f t="shared" si="138"/>
        <v/>
      </c>
      <c r="W159" s="9" t="str">
        <f t="shared" si="139"/>
        <v/>
      </c>
      <c r="X159" s="9"/>
      <c r="Y159" s="9"/>
      <c r="Z159" s="9"/>
      <c r="AA159" s="9"/>
    </row>
    <row r="160" spans="1:27" ht="13.5" customHeight="1" outlineLevel="1" x14ac:dyDescent="0.25">
      <c r="A160" s="366"/>
      <c r="B160" s="53"/>
      <c r="C160" s="175">
        <v>0.15</v>
      </c>
      <c r="D160" s="176">
        <v>0.15</v>
      </c>
      <c r="E160" s="121">
        <v>4.9000000000000004</v>
      </c>
      <c r="F160" s="112">
        <f t="shared" si="116"/>
        <v>0.11025</v>
      </c>
      <c r="G160" s="112">
        <f t="shared" si="117"/>
        <v>0.73499999999999999</v>
      </c>
      <c r="H160" s="238">
        <v>240</v>
      </c>
      <c r="I160" s="114">
        <f t="shared" ref="I160:I162" si="142">ROUND(H160*1.1667,0)</f>
        <v>280</v>
      </c>
      <c r="J160" s="115">
        <f t="shared" ref="J160:J162" si="143">ROUND((I160*0.992)*1.21,0)*(C160*D160*E160)</f>
        <v>37.043999999999997</v>
      </c>
      <c r="K160" s="116">
        <f t="shared" si="120"/>
        <v>50.4</v>
      </c>
      <c r="L160" s="117">
        <f t="shared" si="131"/>
        <v>20</v>
      </c>
      <c r="M160" s="178">
        <f t="shared" si="122"/>
        <v>2.2050000000000001</v>
      </c>
      <c r="N160" s="119">
        <f t="shared" si="123"/>
        <v>14.7</v>
      </c>
      <c r="O160" s="182"/>
      <c r="P160" s="121" t="str">
        <f t="shared" si="124"/>
        <v/>
      </c>
      <c r="Q160" s="122"/>
      <c r="R160" s="180"/>
      <c r="S160" s="121">
        <f t="shared" si="125"/>
        <v>0</v>
      </c>
      <c r="T160" s="181">
        <v>20</v>
      </c>
      <c r="U160" s="125">
        <f t="shared" si="126"/>
        <v>740.87999999999988</v>
      </c>
      <c r="V160" s="9" t="str">
        <f t="shared" si="138"/>
        <v/>
      </c>
      <c r="W160" s="9" t="str">
        <f t="shared" si="139"/>
        <v/>
      </c>
      <c r="X160" s="9"/>
      <c r="Y160" s="9"/>
      <c r="Z160" s="9"/>
      <c r="AA160" s="9"/>
    </row>
    <row r="161" spans="1:27" ht="13.5" customHeight="1" outlineLevel="1" x14ac:dyDescent="0.25">
      <c r="A161" s="366"/>
      <c r="B161" s="53"/>
      <c r="C161" s="175">
        <v>0.15</v>
      </c>
      <c r="D161" s="176">
        <v>0.15</v>
      </c>
      <c r="E161" s="121">
        <v>6</v>
      </c>
      <c r="F161" s="112">
        <f t="shared" si="116"/>
        <v>0.13500000000000001</v>
      </c>
      <c r="G161" s="112">
        <f t="shared" si="117"/>
        <v>0.89999999999999991</v>
      </c>
      <c r="H161" s="177">
        <v>240</v>
      </c>
      <c r="I161" s="114">
        <f t="shared" si="142"/>
        <v>280</v>
      </c>
      <c r="J161" s="115">
        <f t="shared" si="143"/>
        <v>45.36</v>
      </c>
      <c r="K161" s="116">
        <f t="shared" si="120"/>
        <v>50.400000000000006</v>
      </c>
      <c r="L161" s="117">
        <f t="shared" si="131"/>
        <v>18</v>
      </c>
      <c r="M161" s="178">
        <f t="shared" si="122"/>
        <v>2.4300000000000002</v>
      </c>
      <c r="N161" s="119">
        <f t="shared" si="123"/>
        <v>16.2</v>
      </c>
      <c r="O161" s="182"/>
      <c r="P161" s="121" t="str">
        <f t="shared" si="124"/>
        <v/>
      </c>
      <c r="Q161" s="122"/>
      <c r="R161" s="180"/>
      <c r="S161" s="121">
        <f t="shared" si="125"/>
        <v>0</v>
      </c>
      <c r="T161" s="181">
        <v>18</v>
      </c>
      <c r="U161" s="125">
        <f t="shared" si="126"/>
        <v>816.48</v>
      </c>
      <c r="V161" s="9" t="str">
        <f t="shared" si="138"/>
        <v/>
      </c>
      <c r="W161" s="9" t="str">
        <f t="shared" si="139"/>
        <v/>
      </c>
      <c r="X161" s="9"/>
      <c r="Y161" s="9"/>
      <c r="Z161" s="9"/>
      <c r="AA161" s="9"/>
    </row>
    <row r="162" spans="1:27" ht="13.5" customHeight="1" outlineLevel="1" x14ac:dyDescent="0.25">
      <c r="A162" s="366"/>
      <c r="B162" s="53"/>
      <c r="C162" s="175">
        <v>0.15</v>
      </c>
      <c r="D162" s="176">
        <v>0.2</v>
      </c>
      <c r="E162" s="121">
        <v>4.9000000000000004</v>
      </c>
      <c r="F162" s="112">
        <f t="shared" si="116"/>
        <v>0.14699999999999999</v>
      </c>
      <c r="G162" s="112">
        <f t="shared" si="117"/>
        <v>0.98000000000000009</v>
      </c>
      <c r="H162" s="177">
        <v>240</v>
      </c>
      <c r="I162" s="114">
        <f t="shared" si="142"/>
        <v>280</v>
      </c>
      <c r="J162" s="115">
        <f t="shared" si="143"/>
        <v>49.391999999999996</v>
      </c>
      <c r="K162" s="116">
        <f t="shared" si="120"/>
        <v>50.399999999999991</v>
      </c>
      <c r="L162" s="117">
        <f t="shared" si="131"/>
        <v>21</v>
      </c>
      <c r="M162" s="178">
        <f t="shared" si="122"/>
        <v>3.0869999999999997</v>
      </c>
      <c r="N162" s="119">
        <f t="shared" si="123"/>
        <v>20.580000000000002</v>
      </c>
      <c r="O162" s="182"/>
      <c r="P162" s="121" t="str">
        <f t="shared" si="124"/>
        <v/>
      </c>
      <c r="Q162" s="122"/>
      <c r="R162" s="180"/>
      <c r="S162" s="121">
        <f t="shared" si="125"/>
        <v>0</v>
      </c>
      <c r="T162" s="181">
        <v>21</v>
      </c>
      <c r="U162" s="125">
        <f t="shared" si="126"/>
        <v>1037.232</v>
      </c>
      <c r="V162" s="9" t="str">
        <f t="shared" si="138"/>
        <v/>
      </c>
      <c r="W162" s="9" t="str">
        <f t="shared" si="139"/>
        <v/>
      </c>
      <c r="X162" s="9"/>
      <c r="Y162" s="9"/>
      <c r="Z162" s="9"/>
      <c r="AA162" s="9"/>
    </row>
    <row r="163" spans="1:27" ht="13.5" customHeight="1" outlineLevel="1" x14ac:dyDescent="0.25">
      <c r="A163" s="366"/>
      <c r="B163" s="53" t="s">
        <v>98</v>
      </c>
      <c r="C163" s="175">
        <v>0.15</v>
      </c>
      <c r="D163" s="176">
        <v>0.2</v>
      </c>
      <c r="E163" s="121">
        <v>6</v>
      </c>
      <c r="F163" s="112">
        <f t="shared" si="116"/>
        <v>0.18</v>
      </c>
      <c r="G163" s="112">
        <f t="shared" si="117"/>
        <v>1.2000000000000002</v>
      </c>
      <c r="H163" s="177">
        <v>240</v>
      </c>
      <c r="I163" s="114">
        <f>ROUND(H163*1.1667,0)*0.9</f>
        <v>252</v>
      </c>
      <c r="J163" s="115">
        <f>ROUND((I163*0.873)*1.21,0)*(C163*D163*E163)</f>
        <v>47.879999999999995</v>
      </c>
      <c r="K163" s="116">
        <f t="shared" si="120"/>
        <v>39.899999999999991</v>
      </c>
      <c r="L163" s="117">
        <f t="shared" si="131"/>
        <v>2</v>
      </c>
      <c r="M163" s="178">
        <f t="shared" si="122"/>
        <v>0.36</v>
      </c>
      <c r="N163" s="119">
        <f t="shared" si="123"/>
        <v>2.4000000000000004</v>
      </c>
      <c r="O163" s="182"/>
      <c r="P163" s="121" t="str">
        <f t="shared" si="124"/>
        <v/>
      </c>
      <c r="Q163" s="122"/>
      <c r="R163" s="180"/>
      <c r="S163" s="121">
        <f t="shared" si="125"/>
        <v>0</v>
      </c>
      <c r="T163" s="181">
        <v>2</v>
      </c>
      <c r="U163" s="125">
        <f t="shared" si="126"/>
        <v>95.759999999999991</v>
      </c>
      <c r="V163" s="9" t="str">
        <f t="shared" si="138"/>
        <v/>
      </c>
      <c r="W163" s="9" t="str">
        <f t="shared" si="139"/>
        <v/>
      </c>
      <c r="X163" s="9"/>
      <c r="Y163" s="9"/>
      <c r="Z163" s="9"/>
      <c r="AA163" s="9"/>
    </row>
    <row r="164" spans="1:27" ht="13.5" customHeight="1" outlineLevel="1" x14ac:dyDescent="0.25">
      <c r="A164" s="366"/>
      <c r="B164" s="53"/>
      <c r="C164" s="175">
        <v>0.15</v>
      </c>
      <c r="D164" s="176">
        <v>0.25</v>
      </c>
      <c r="E164" s="121">
        <v>6</v>
      </c>
      <c r="F164" s="112">
        <f t="shared" si="116"/>
        <v>0.22499999999999998</v>
      </c>
      <c r="G164" s="112">
        <f t="shared" si="117"/>
        <v>1.5</v>
      </c>
      <c r="H164" s="177">
        <v>240</v>
      </c>
      <c r="I164" s="114">
        <f t="shared" ref="I164:I171" si="144">ROUND(H164*1.1667,0)</f>
        <v>280</v>
      </c>
      <c r="J164" s="115">
        <f t="shared" ref="J164:J166" si="145">ROUND((I164*0.992)*1.21,0)*(C164*D164*E164)</f>
        <v>75.599999999999994</v>
      </c>
      <c r="K164" s="116">
        <f t="shared" si="120"/>
        <v>50.4</v>
      </c>
      <c r="L164" s="117">
        <f t="shared" si="131"/>
        <v>20</v>
      </c>
      <c r="M164" s="178">
        <f t="shared" si="122"/>
        <v>4.5</v>
      </c>
      <c r="N164" s="119">
        <f t="shared" si="123"/>
        <v>30</v>
      </c>
      <c r="O164" s="182"/>
      <c r="P164" s="121" t="str">
        <f t="shared" si="124"/>
        <v/>
      </c>
      <c r="Q164" s="122"/>
      <c r="R164" s="180"/>
      <c r="S164" s="121">
        <f t="shared" si="125"/>
        <v>0</v>
      </c>
      <c r="T164" s="181">
        <v>20</v>
      </c>
      <c r="U164" s="125">
        <f t="shared" si="126"/>
        <v>1512</v>
      </c>
      <c r="V164" s="9" t="str">
        <f t="shared" si="138"/>
        <v/>
      </c>
      <c r="W164" s="9" t="str">
        <f t="shared" si="139"/>
        <v/>
      </c>
      <c r="X164" s="9"/>
      <c r="Y164" s="9"/>
      <c r="Z164" s="9"/>
      <c r="AA164" s="9"/>
    </row>
    <row r="165" spans="1:27" ht="13.5" customHeight="1" outlineLevel="1" x14ac:dyDescent="0.25">
      <c r="A165" s="366"/>
      <c r="B165" s="53"/>
      <c r="C165" s="175">
        <v>0.2</v>
      </c>
      <c r="D165" s="176">
        <v>0.2</v>
      </c>
      <c r="E165" s="121">
        <v>6</v>
      </c>
      <c r="F165" s="112">
        <f t="shared" si="116"/>
        <v>0.24000000000000005</v>
      </c>
      <c r="G165" s="112">
        <f t="shared" si="117"/>
        <v>1.2000000000000002</v>
      </c>
      <c r="H165" s="177">
        <v>240</v>
      </c>
      <c r="I165" s="114">
        <f t="shared" si="144"/>
        <v>280</v>
      </c>
      <c r="J165" s="115">
        <f t="shared" si="145"/>
        <v>80.640000000000015</v>
      </c>
      <c r="K165" s="116">
        <f t="shared" si="120"/>
        <v>67.2</v>
      </c>
      <c r="L165" s="117">
        <f t="shared" si="131"/>
        <v>17</v>
      </c>
      <c r="M165" s="178">
        <f t="shared" si="122"/>
        <v>4.080000000000001</v>
      </c>
      <c r="N165" s="119">
        <f t="shared" si="123"/>
        <v>20.400000000000002</v>
      </c>
      <c r="O165" s="182"/>
      <c r="P165" s="121" t="str">
        <f t="shared" si="124"/>
        <v/>
      </c>
      <c r="Q165" s="122"/>
      <c r="R165" s="180"/>
      <c r="S165" s="121">
        <f t="shared" si="125"/>
        <v>0</v>
      </c>
      <c r="T165" s="181">
        <v>17</v>
      </c>
      <c r="U165" s="125">
        <f t="shared" si="126"/>
        <v>1370.8800000000003</v>
      </c>
      <c r="V165" s="9" t="str">
        <f t="shared" si="138"/>
        <v/>
      </c>
      <c r="W165" s="9" t="str">
        <f t="shared" si="139"/>
        <v/>
      </c>
      <c r="X165" s="9"/>
      <c r="Y165" s="9"/>
      <c r="Z165" s="9"/>
      <c r="AA165" s="9"/>
    </row>
    <row r="166" spans="1:27" ht="13.5" customHeight="1" outlineLevel="1" x14ac:dyDescent="0.25">
      <c r="A166" s="366"/>
      <c r="B166" s="53" t="s">
        <v>99</v>
      </c>
      <c r="C166" s="175">
        <v>0.05</v>
      </c>
      <c r="D166" s="176">
        <v>0.05</v>
      </c>
      <c r="E166" s="121">
        <v>1.5</v>
      </c>
      <c r="F166" s="112">
        <f t="shared" si="116"/>
        <v>3.7500000000000007E-3</v>
      </c>
      <c r="G166" s="112">
        <f t="shared" si="117"/>
        <v>7.5000000000000011E-2</v>
      </c>
      <c r="H166" s="177">
        <v>255</v>
      </c>
      <c r="I166" s="114">
        <f t="shared" si="144"/>
        <v>298</v>
      </c>
      <c r="J166" s="115">
        <f t="shared" si="145"/>
        <v>1.3425000000000002</v>
      </c>
      <c r="K166" s="116">
        <f t="shared" si="120"/>
        <v>17.900000000000002</v>
      </c>
      <c r="L166" s="117">
        <f t="shared" si="131"/>
        <v>127</v>
      </c>
      <c r="M166" s="178">
        <f t="shared" si="122"/>
        <v>0.47625000000000012</v>
      </c>
      <c r="N166" s="119">
        <f t="shared" si="123"/>
        <v>9.5250000000000021</v>
      </c>
      <c r="O166" s="195"/>
      <c r="P166" s="121" t="str">
        <f t="shared" si="124"/>
        <v/>
      </c>
      <c r="Q166" s="122"/>
      <c r="R166" s="180"/>
      <c r="S166" s="121">
        <f t="shared" si="125"/>
        <v>0</v>
      </c>
      <c r="T166" s="181">
        <v>127</v>
      </c>
      <c r="U166" s="125">
        <f t="shared" si="126"/>
        <v>170.49750000000003</v>
      </c>
      <c r="V166" s="9" t="str">
        <f t="shared" si="138"/>
        <v/>
      </c>
      <c r="W166" s="9" t="str">
        <f t="shared" si="139"/>
        <v/>
      </c>
      <c r="X166" s="9"/>
      <c r="Y166" s="9"/>
      <c r="Z166" s="9"/>
      <c r="AA166" s="9"/>
    </row>
    <row r="167" spans="1:27" ht="13.5" customHeight="1" outlineLevel="1" x14ac:dyDescent="0.25">
      <c r="A167" s="366"/>
      <c r="B167" s="53" t="s">
        <v>99</v>
      </c>
      <c r="C167" s="175">
        <v>7.0000000000000007E-2</v>
      </c>
      <c r="D167" s="176">
        <v>7.0000000000000007E-2</v>
      </c>
      <c r="E167" s="121">
        <v>1.8</v>
      </c>
      <c r="F167" s="112">
        <f t="shared" si="116"/>
        <v>8.8200000000000014E-3</v>
      </c>
      <c r="G167" s="112">
        <f t="shared" si="117"/>
        <v>0.12600000000000003</v>
      </c>
      <c r="H167" s="177">
        <v>255</v>
      </c>
      <c r="I167" s="114">
        <f t="shared" si="144"/>
        <v>298</v>
      </c>
      <c r="J167" s="115">
        <f t="shared" ref="J167:J171" si="146">ROUND((I167*0.855)*1.21,0)*(C167*D167*E167)</f>
        <v>2.7165600000000003</v>
      </c>
      <c r="K167" s="116">
        <f t="shared" si="120"/>
        <v>21.56</v>
      </c>
      <c r="L167" s="117">
        <f t="shared" si="131"/>
        <v>69</v>
      </c>
      <c r="M167" s="178">
        <f t="shared" si="122"/>
        <v>0.60858000000000012</v>
      </c>
      <c r="N167" s="119">
        <f t="shared" si="123"/>
        <v>8.6940000000000026</v>
      </c>
      <c r="O167" s="195"/>
      <c r="P167" s="121" t="str">
        <f t="shared" si="124"/>
        <v/>
      </c>
      <c r="Q167" s="122"/>
      <c r="R167" s="180"/>
      <c r="S167" s="121">
        <f t="shared" si="125"/>
        <v>0</v>
      </c>
      <c r="T167" s="181">
        <v>69</v>
      </c>
      <c r="U167" s="125">
        <f t="shared" si="126"/>
        <v>187.44264000000001</v>
      </c>
      <c r="V167" s="9" t="str">
        <f t="shared" si="138"/>
        <v/>
      </c>
      <c r="W167" s="9" t="str">
        <f t="shared" si="139"/>
        <v/>
      </c>
      <c r="X167" s="9"/>
      <c r="Y167" s="9"/>
      <c r="Z167" s="9"/>
      <c r="AA167" s="9"/>
    </row>
    <row r="168" spans="1:27" ht="13.5" customHeight="1" outlineLevel="1" x14ac:dyDescent="0.25">
      <c r="A168" s="366"/>
      <c r="B168" s="53" t="s">
        <v>99</v>
      </c>
      <c r="C168" s="175">
        <v>8.5000000000000006E-2</v>
      </c>
      <c r="D168" s="176">
        <v>8.5000000000000006E-2</v>
      </c>
      <c r="E168" s="121">
        <v>1.8</v>
      </c>
      <c r="F168" s="112">
        <f t="shared" si="116"/>
        <v>1.3005000000000003E-2</v>
      </c>
      <c r="G168" s="112">
        <f t="shared" si="117"/>
        <v>0.15300000000000002</v>
      </c>
      <c r="H168" s="177">
        <v>255</v>
      </c>
      <c r="I168" s="114">
        <f t="shared" si="144"/>
        <v>298</v>
      </c>
      <c r="J168" s="115">
        <f t="shared" si="146"/>
        <v>4.0055400000000008</v>
      </c>
      <c r="K168" s="116">
        <f t="shared" si="120"/>
        <v>26.18</v>
      </c>
      <c r="L168" s="117">
        <f t="shared" si="131"/>
        <v>78</v>
      </c>
      <c r="M168" s="178">
        <f t="shared" si="122"/>
        <v>1.0143900000000001</v>
      </c>
      <c r="N168" s="119">
        <f t="shared" si="123"/>
        <v>11.934000000000001</v>
      </c>
      <c r="O168" s="195"/>
      <c r="P168" s="121" t="str">
        <f t="shared" si="124"/>
        <v/>
      </c>
      <c r="Q168" s="122"/>
      <c r="R168" s="180"/>
      <c r="S168" s="121">
        <f t="shared" si="125"/>
        <v>0</v>
      </c>
      <c r="T168" s="181">
        <v>78</v>
      </c>
      <c r="U168" s="125">
        <f t="shared" si="126"/>
        <v>312.43212000000005</v>
      </c>
      <c r="V168" s="9" t="str">
        <f t="shared" si="138"/>
        <v/>
      </c>
      <c r="W168" s="9" t="str">
        <f t="shared" si="139"/>
        <v/>
      </c>
      <c r="X168" s="9"/>
      <c r="Y168" s="9"/>
      <c r="Z168" s="9"/>
      <c r="AA168" s="9"/>
    </row>
    <row r="169" spans="1:27" ht="13.5" customHeight="1" outlineLevel="1" x14ac:dyDescent="0.25">
      <c r="A169" s="366"/>
      <c r="B169" s="53" t="s">
        <v>99</v>
      </c>
      <c r="C169" s="175">
        <v>0.09</v>
      </c>
      <c r="D169" s="176">
        <v>0.09</v>
      </c>
      <c r="E169" s="121">
        <v>1.8</v>
      </c>
      <c r="F169" s="112">
        <f t="shared" si="116"/>
        <v>1.4579999999999999E-2</v>
      </c>
      <c r="G169" s="112">
        <f t="shared" si="117"/>
        <v>0.16200000000000001</v>
      </c>
      <c r="H169" s="177">
        <v>255</v>
      </c>
      <c r="I169" s="114">
        <f t="shared" si="144"/>
        <v>298</v>
      </c>
      <c r="J169" s="115">
        <f t="shared" si="146"/>
        <v>4.49064</v>
      </c>
      <c r="K169" s="116">
        <f t="shared" si="120"/>
        <v>27.72</v>
      </c>
      <c r="L169" s="117">
        <f t="shared" si="131"/>
        <v>85</v>
      </c>
      <c r="M169" s="178">
        <f t="shared" si="122"/>
        <v>1.2392999999999998</v>
      </c>
      <c r="N169" s="119">
        <f t="shared" si="123"/>
        <v>13.77</v>
      </c>
      <c r="O169" s="195"/>
      <c r="P169" s="121" t="str">
        <f t="shared" si="124"/>
        <v/>
      </c>
      <c r="Q169" s="122"/>
      <c r="R169" s="180"/>
      <c r="S169" s="121">
        <f t="shared" si="125"/>
        <v>0</v>
      </c>
      <c r="T169" s="181">
        <v>85</v>
      </c>
      <c r="U169" s="125">
        <f t="shared" si="126"/>
        <v>381.70440000000002</v>
      </c>
      <c r="V169" s="9" t="str">
        <f t="shared" si="138"/>
        <v/>
      </c>
      <c r="W169" s="9" t="str">
        <f t="shared" si="139"/>
        <v/>
      </c>
      <c r="X169" s="9"/>
      <c r="Y169" s="9"/>
      <c r="Z169" s="9"/>
      <c r="AA169" s="9"/>
    </row>
    <row r="170" spans="1:27" ht="13.5" customHeight="1" outlineLevel="1" x14ac:dyDescent="0.25">
      <c r="A170" s="366"/>
      <c r="B170" s="53" t="s">
        <v>99</v>
      </c>
      <c r="C170" s="175">
        <v>0.1</v>
      </c>
      <c r="D170" s="176">
        <v>0.1</v>
      </c>
      <c r="E170" s="121">
        <v>1.8</v>
      </c>
      <c r="F170" s="112">
        <f t="shared" si="116"/>
        <v>1.8000000000000006E-2</v>
      </c>
      <c r="G170" s="112">
        <f t="shared" si="117"/>
        <v>0.18000000000000002</v>
      </c>
      <c r="H170" s="177">
        <v>255</v>
      </c>
      <c r="I170" s="114">
        <f t="shared" si="144"/>
        <v>298</v>
      </c>
      <c r="J170" s="115">
        <f t="shared" si="146"/>
        <v>5.5440000000000014</v>
      </c>
      <c r="K170" s="116">
        <f t="shared" si="120"/>
        <v>30.800000000000004</v>
      </c>
      <c r="L170" s="117">
        <f t="shared" si="131"/>
        <v>303</v>
      </c>
      <c r="M170" s="178">
        <f t="shared" si="122"/>
        <v>5.4540000000000015</v>
      </c>
      <c r="N170" s="119">
        <f t="shared" si="123"/>
        <v>54.540000000000006</v>
      </c>
      <c r="O170" s="195"/>
      <c r="P170" s="121" t="str">
        <f t="shared" si="124"/>
        <v/>
      </c>
      <c r="Q170" s="122"/>
      <c r="R170" s="180"/>
      <c r="S170" s="121">
        <f t="shared" si="125"/>
        <v>0</v>
      </c>
      <c r="T170" s="181">
        <v>303</v>
      </c>
      <c r="U170" s="125">
        <f t="shared" si="126"/>
        <v>1679.8320000000003</v>
      </c>
      <c r="V170" s="9" t="str">
        <f t="shared" si="138"/>
        <v/>
      </c>
      <c r="W170" s="9" t="str">
        <f t="shared" si="139"/>
        <v/>
      </c>
      <c r="X170" s="9"/>
      <c r="Y170" s="9"/>
      <c r="Z170" s="9"/>
      <c r="AA170" s="9"/>
    </row>
    <row r="171" spans="1:27" ht="13.5" customHeight="1" outlineLevel="1" x14ac:dyDescent="0.25">
      <c r="A171" s="366"/>
      <c r="B171" s="184" t="s">
        <v>100</v>
      </c>
      <c r="C171" s="175">
        <v>0.05</v>
      </c>
      <c r="D171" s="176">
        <v>0.1</v>
      </c>
      <c r="E171" s="121">
        <v>3.6</v>
      </c>
      <c r="F171" s="112">
        <f t="shared" si="116"/>
        <v>1.8000000000000006E-2</v>
      </c>
      <c r="G171" s="112">
        <f t="shared" si="117"/>
        <v>0.36000000000000004</v>
      </c>
      <c r="H171" s="177">
        <v>255</v>
      </c>
      <c r="I171" s="114">
        <f t="shared" si="144"/>
        <v>298</v>
      </c>
      <c r="J171" s="115">
        <f t="shared" si="146"/>
        <v>5.5440000000000014</v>
      </c>
      <c r="K171" s="116">
        <f t="shared" si="120"/>
        <v>15.400000000000002</v>
      </c>
      <c r="L171" s="117">
        <f t="shared" si="131"/>
        <v>292</v>
      </c>
      <c r="M171" s="178">
        <f t="shared" si="122"/>
        <v>5.256000000000002</v>
      </c>
      <c r="N171" s="119">
        <f t="shared" si="123"/>
        <v>105.12000000000002</v>
      </c>
      <c r="O171" s="195"/>
      <c r="P171" s="121" t="str">
        <f t="shared" si="124"/>
        <v/>
      </c>
      <c r="Q171" s="122"/>
      <c r="R171" s="180"/>
      <c r="S171" s="121">
        <f t="shared" si="125"/>
        <v>0</v>
      </c>
      <c r="T171" s="181">
        <v>292</v>
      </c>
      <c r="U171" s="125">
        <f t="shared" si="126"/>
        <v>1618.8480000000004</v>
      </c>
      <c r="V171" s="9" t="str">
        <f t="shared" si="138"/>
        <v/>
      </c>
      <c r="W171" s="9" t="str">
        <f t="shared" si="139"/>
        <v/>
      </c>
      <c r="X171" s="9"/>
      <c r="Y171" s="9"/>
      <c r="Z171" s="9"/>
      <c r="AA171" s="9"/>
    </row>
    <row r="172" spans="1:27" ht="13.5" customHeight="1" outlineLevel="1" x14ac:dyDescent="0.25">
      <c r="A172" s="366"/>
      <c r="B172" s="324" t="s">
        <v>101</v>
      </c>
      <c r="C172" s="175">
        <v>2.5000000000000001E-2</v>
      </c>
      <c r="D172" s="176">
        <v>0.05</v>
      </c>
      <c r="E172" s="121">
        <v>1</v>
      </c>
      <c r="F172" s="112">
        <f t="shared" si="116"/>
        <v>1.2500000000000002E-3</v>
      </c>
      <c r="G172" s="112">
        <f t="shared" si="117"/>
        <v>0.05</v>
      </c>
      <c r="H172" s="177">
        <v>240</v>
      </c>
      <c r="I172" s="114">
        <f>ROUND(H172*0.6,0)</f>
        <v>144</v>
      </c>
      <c r="J172" s="115">
        <f>ROUND((I172*0.992)*1.21,0)*(C172*D172*E172)</f>
        <v>0.21625000000000005</v>
      </c>
      <c r="K172" s="116">
        <f t="shared" si="120"/>
        <v>4.3250000000000011</v>
      </c>
      <c r="L172" s="117">
        <f t="shared" si="131"/>
        <v>995</v>
      </c>
      <c r="M172" s="178">
        <f t="shared" si="122"/>
        <v>1.2437500000000001</v>
      </c>
      <c r="N172" s="119">
        <f t="shared" si="123"/>
        <v>49.75</v>
      </c>
      <c r="O172" s="182"/>
      <c r="P172" s="121" t="str">
        <f t="shared" si="124"/>
        <v/>
      </c>
      <c r="Q172" s="122"/>
      <c r="R172" s="180"/>
      <c r="S172" s="121">
        <f t="shared" si="125"/>
        <v>0</v>
      </c>
      <c r="T172" s="181">
        <v>995</v>
      </c>
      <c r="U172" s="125">
        <f t="shared" si="126"/>
        <v>215.16875000000005</v>
      </c>
      <c r="V172" s="9" t="str">
        <f t="shared" si="138"/>
        <v/>
      </c>
      <c r="W172" s="9" t="str">
        <f t="shared" si="139"/>
        <v/>
      </c>
      <c r="X172" s="9"/>
      <c r="Y172" s="9"/>
      <c r="Z172" s="9"/>
      <c r="AA172" s="9"/>
    </row>
    <row r="173" spans="1:27" ht="13.5" customHeight="1" x14ac:dyDescent="0.25">
      <c r="A173" s="366"/>
      <c r="B173" s="149" t="s">
        <v>56</v>
      </c>
      <c r="C173" s="209"/>
      <c r="D173" s="209"/>
      <c r="E173" s="209"/>
      <c r="F173" s="209"/>
      <c r="G173" s="209"/>
      <c r="H173" s="153">
        <f t="shared" ref="H173:I173" si="147">AVERAGE(H110:H172)</f>
        <v>256.51509556869803</v>
      </c>
      <c r="I173" s="153">
        <f t="shared" si="147"/>
        <v>288.11290322580646</v>
      </c>
      <c r="J173" s="154"/>
      <c r="K173" s="152">
        <f>AVERAGE(K110:K172)</f>
        <v>21.72803225806453</v>
      </c>
      <c r="L173" s="155"/>
      <c r="M173" s="149">
        <f>SUM(M110:M172)</f>
        <v>289.9272400000001</v>
      </c>
      <c r="N173" s="212"/>
      <c r="O173" s="244"/>
      <c r="P173" s="152">
        <f t="shared" ref="P173:Q173" si="148">SUM(P110:P172)</f>
        <v>0</v>
      </c>
      <c r="Q173" s="154">
        <f t="shared" si="148"/>
        <v>0</v>
      </c>
      <c r="R173" s="245"/>
      <c r="S173" s="152">
        <f>SUM(S110:S172)</f>
        <v>0</v>
      </c>
      <c r="T173" s="162"/>
      <c r="U173" s="246">
        <f>SUM(U110:U172)</f>
        <v>97060.825030000022</v>
      </c>
      <c r="V173" s="9"/>
      <c r="W173" s="9" t="str">
        <f t="shared" si="139"/>
        <v/>
      </c>
      <c r="X173" s="9"/>
      <c r="Y173" s="9"/>
      <c r="Z173" s="9"/>
      <c r="AA173" s="9"/>
    </row>
    <row r="174" spans="1:27" ht="13.5" customHeight="1" x14ac:dyDescent="0.25">
      <c r="A174" s="366"/>
      <c r="B174" s="164" t="s">
        <v>102</v>
      </c>
      <c r="C174" s="164"/>
      <c r="D174" s="164"/>
      <c r="E174" s="164"/>
      <c r="F174" s="164"/>
      <c r="G174" s="164"/>
      <c r="H174" s="164"/>
      <c r="I174" s="167"/>
      <c r="J174" s="168"/>
      <c r="K174" s="164"/>
      <c r="L174" s="164"/>
      <c r="M174" s="164"/>
      <c r="N174" s="169"/>
      <c r="O174" s="188"/>
      <c r="P174" s="164"/>
      <c r="Q174" s="189"/>
      <c r="R174" s="173"/>
      <c r="S174" s="164"/>
      <c r="T174" s="164"/>
      <c r="U174" s="174"/>
      <c r="V174" s="9"/>
      <c r="W174" s="9" t="str">
        <f t="shared" si="139"/>
        <v/>
      </c>
      <c r="X174" s="9"/>
      <c r="Y174" s="9"/>
      <c r="Z174" s="9"/>
      <c r="AA174" s="9"/>
    </row>
    <row r="175" spans="1:27" ht="13.5" customHeight="1" outlineLevel="1" x14ac:dyDescent="0.25">
      <c r="A175" s="366"/>
      <c r="B175" s="53" t="s">
        <v>93</v>
      </c>
      <c r="C175" s="175">
        <v>0.01</v>
      </c>
      <c r="D175" s="176">
        <v>0.04</v>
      </c>
      <c r="E175" s="121">
        <v>1.1000000000000001</v>
      </c>
      <c r="F175" s="112">
        <f t="shared" ref="F175:F180" si="149">C175*D175*E175</f>
        <v>4.4000000000000007E-4</v>
      </c>
      <c r="G175" s="112">
        <f t="shared" ref="G175:G180" si="150">D175*E175</f>
        <v>4.4000000000000004E-2</v>
      </c>
      <c r="H175" s="177">
        <v>228.8</v>
      </c>
      <c r="I175" s="114">
        <f>ROUND(H175*1.225,0)</f>
        <v>280</v>
      </c>
      <c r="J175" s="115">
        <f>ROUND((I175*1.7)*1.21,0)*(C175*D175*E175)</f>
        <v>0.25344000000000005</v>
      </c>
      <c r="K175" s="116">
        <f t="shared" ref="K175:K180" si="151">J175/(D175*E175)</f>
        <v>5.7600000000000007</v>
      </c>
      <c r="L175" s="117">
        <f t="shared" ref="L175:L180" si="152">T175+R175-O175</f>
        <v>20</v>
      </c>
      <c r="M175" s="178">
        <f t="shared" ref="M175:M180" si="153">L175*F175</f>
        <v>8.8000000000000023E-3</v>
      </c>
      <c r="N175" s="119">
        <f t="shared" ref="N175:N180" si="154">L175*G175</f>
        <v>0.88000000000000012</v>
      </c>
      <c r="O175" s="182"/>
      <c r="P175" s="121" t="str">
        <f t="shared" ref="P175:P192" si="155">IF(O175="","",(O175*F175))</f>
        <v/>
      </c>
      <c r="Q175" s="122"/>
      <c r="R175" s="180"/>
      <c r="S175" s="121">
        <f t="shared" ref="S175:S180" si="156">R175*F175</f>
        <v>0</v>
      </c>
      <c r="T175" s="181">
        <v>20</v>
      </c>
      <c r="U175" s="125">
        <f t="shared" ref="U175:U180" si="157">J175*L175</f>
        <v>5.0688000000000013</v>
      </c>
      <c r="V175" s="9" t="str">
        <f t="shared" ref="V175:V180" si="158">IF(O175="","",Q175-(O175*(H175*F175)))</f>
        <v/>
      </c>
      <c r="W175" s="9" t="str">
        <f t="shared" si="139"/>
        <v/>
      </c>
      <c r="X175" s="9"/>
      <c r="Y175" s="9"/>
      <c r="Z175" s="9"/>
      <c r="AA175" s="9"/>
    </row>
    <row r="176" spans="1:27" ht="13.5" customHeight="1" outlineLevel="1" x14ac:dyDescent="0.25">
      <c r="A176" s="366"/>
      <c r="B176" s="53"/>
      <c r="C176" s="175">
        <v>2.1000000000000001E-2</v>
      </c>
      <c r="D176" s="176">
        <v>3.7999999999999999E-2</v>
      </c>
      <c r="E176" s="121">
        <v>4.8</v>
      </c>
      <c r="F176" s="112">
        <f t="shared" si="149"/>
        <v>3.8303999999999999E-3</v>
      </c>
      <c r="G176" s="112">
        <f t="shared" si="150"/>
        <v>0.18239999999999998</v>
      </c>
      <c r="H176" s="177">
        <v>343</v>
      </c>
      <c r="I176" s="114">
        <f t="shared" ref="I176:I180" si="159">ROUND(H176*1.1667,0)</f>
        <v>400</v>
      </c>
      <c r="J176" s="115">
        <f t="shared" ref="J176:J180" si="160">ROUND((I176*0.992)*1.21,0)*(C176*D176*E176)</f>
        <v>1.838592</v>
      </c>
      <c r="K176" s="116">
        <f t="shared" si="151"/>
        <v>10.080000000000002</v>
      </c>
      <c r="L176" s="117">
        <f t="shared" si="152"/>
        <v>1036</v>
      </c>
      <c r="M176" s="178">
        <f t="shared" si="153"/>
        <v>3.9682944</v>
      </c>
      <c r="N176" s="119">
        <f t="shared" si="154"/>
        <v>188.96639999999996</v>
      </c>
      <c r="O176" s="182"/>
      <c r="P176" s="121" t="str">
        <f t="shared" si="155"/>
        <v/>
      </c>
      <c r="Q176" s="122"/>
      <c r="R176" s="180"/>
      <c r="S176" s="121">
        <f t="shared" si="156"/>
        <v>0</v>
      </c>
      <c r="T176" s="181">
        <v>1036</v>
      </c>
      <c r="U176" s="125">
        <f t="shared" si="157"/>
        <v>1904.7813120000001</v>
      </c>
      <c r="V176" s="9" t="str">
        <f t="shared" si="158"/>
        <v/>
      </c>
      <c r="W176" s="9" t="str">
        <f t="shared" si="139"/>
        <v/>
      </c>
      <c r="X176" s="9"/>
      <c r="Y176" s="9"/>
      <c r="Z176" s="9"/>
      <c r="AA176" s="9"/>
    </row>
    <row r="177" spans="1:27" ht="13.5" customHeight="1" outlineLevel="1" x14ac:dyDescent="0.25">
      <c r="A177" s="366"/>
      <c r="B177" s="53"/>
      <c r="C177" s="175">
        <v>2.5000000000000001E-2</v>
      </c>
      <c r="D177" s="176">
        <v>4.4999999999999998E-2</v>
      </c>
      <c r="E177" s="121">
        <v>2</v>
      </c>
      <c r="F177" s="112">
        <f t="shared" si="149"/>
        <v>2.2499999999999998E-3</v>
      </c>
      <c r="G177" s="112">
        <f t="shared" si="150"/>
        <v>0.09</v>
      </c>
      <c r="H177" s="177">
        <v>343</v>
      </c>
      <c r="I177" s="114">
        <f t="shared" si="159"/>
        <v>400</v>
      </c>
      <c r="J177" s="115">
        <f t="shared" si="160"/>
        <v>1.0799999999999998</v>
      </c>
      <c r="K177" s="116">
        <f t="shared" si="151"/>
        <v>11.999999999999998</v>
      </c>
      <c r="L177" s="117">
        <f t="shared" si="152"/>
        <v>26</v>
      </c>
      <c r="M177" s="178">
        <f t="shared" si="153"/>
        <v>5.8499999999999996E-2</v>
      </c>
      <c r="N177" s="119">
        <f t="shared" si="154"/>
        <v>2.34</v>
      </c>
      <c r="O177" s="182"/>
      <c r="P177" s="121" t="str">
        <f t="shared" si="155"/>
        <v/>
      </c>
      <c r="Q177" s="122"/>
      <c r="R177" s="180"/>
      <c r="S177" s="121">
        <f t="shared" si="156"/>
        <v>0</v>
      </c>
      <c r="T177" s="181">
        <v>26</v>
      </c>
      <c r="U177" s="125">
        <f t="shared" si="157"/>
        <v>28.079999999999995</v>
      </c>
      <c r="V177" s="9" t="str">
        <f t="shared" si="158"/>
        <v/>
      </c>
      <c r="W177" s="9" t="str">
        <f t="shared" si="139"/>
        <v/>
      </c>
      <c r="X177" s="9"/>
      <c r="Y177" s="9"/>
      <c r="Z177" s="9"/>
      <c r="AA177" s="9"/>
    </row>
    <row r="178" spans="1:27" ht="13.5" customHeight="1" outlineLevel="1" x14ac:dyDescent="0.25">
      <c r="A178" s="366"/>
      <c r="B178" s="53"/>
      <c r="C178" s="175">
        <v>2.7E-2</v>
      </c>
      <c r="D178" s="176">
        <v>2.7E-2</v>
      </c>
      <c r="E178" s="121">
        <v>2.4</v>
      </c>
      <c r="F178" s="112">
        <f t="shared" si="149"/>
        <v>1.7495999999999998E-3</v>
      </c>
      <c r="G178" s="112">
        <f t="shared" si="150"/>
        <v>6.4799999999999996E-2</v>
      </c>
      <c r="H178" s="177">
        <v>400</v>
      </c>
      <c r="I178" s="114">
        <f t="shared" si="159"/>
        <v>467</v>
      </c>
      <c r="J178" s="115">
        <f t="shared" si="160"/>
        <v>0.98152559999999989</v>
      </c>
      <c r="K178" s="116">
        <f t="shared" si="151"/>
        <v>15.146999999999998</v>
      </c>
      <c r="L178" s="117">
        <f t="shared" si="152"/>
        <v>1410</v>
      </c>
      <c r="M178" s="178">
        <f t="shared" si="153"/>
        <v>2.4669359999999996</v>
      </c>
      <c r="N178" s="119">
        <f t="shared" si="154"/>
        <v>91.367999999999995</v>
      </c>
      <c r="O178" s="182"/>
      <c r="P178" s="121" t="str">
        <f t="shared" si="155"/>
        <v/>
      </c>
      <c r="Q178" s="122"/>
      <c r="R178" s="180"/>
      <c r="S178" s="121">
        <f t="shared" si="156"/>
        <v>0</v>
      </c>
      <c r="T178" s="181">
        <v>1410</v>
      </c>
      <c r="U178" s="125">
        <f t="shared" si="157"/>
        <v>1383.9510959999998</v>
      </c>
      <c r="V178" s="9" t="str">
        <f t="shared" si="158"/>
        <v/>
      </c>
      <c r="W178" s="9" t="str">
        <f t="shared" si="139"/>
        <v/>
      </c>
      <c r="X178" s="9"/>
      <c r="Y178" s="9"/>
      <c r="Z178" s="9"/>
      <c r="AA178" s="9"/>
    </row>
    <row r="179" spans="1:27" ht="13.5" customHeight="1" outlineLevel="1" x14ac:dyDescent="0.25">
      <c r="A179" s="366"/>
      <c r="B179" s="53"/>
      <c r="C179" s="175">
        <v>4.4999999999999998E-2</v>
      </c>
      <c r="D179" s="176">
        <v>9.5000000000000001E-2</v>
      </c>
      <c r="E179" s="121">
        <v>4.2</v>
      </c>
      <c r="F179" s="112">
        <f t="shared" si="149"/>
        <v>1.7955000000000002E-2</v>
      </c>
      <c r="G179" s="112">
        <f t="shared" si="150"/>
        <v>0.39900000000000002</v>
      </c>
      <c r="H179" s="177">
        <v>343</v>
      </c>
      <c r="I179" s="114">
        <f t="shared" si="159"/>
        <v>400</v>
      </c>
      <c r="J179" s="115">
        <f t="shared" si="160"/>
        <v>8.6184000000000012</v>
      </c>
      <c r="K179" s="116">
        <f t="shared" si="151"/>
        <v>21.6</v>
      </c>
      <c r="L179" s="117">
        <f t="shared" si="152"/>
        <v>185</v>
      </c>
      <c r="M179" s="178">
        <f t="shared" si="153"/>
        <v>3.3216750000000004</v>
      </c>
      <c r="N179" s="119">
        <f t="shared" si="154"/>
        <v>73.814999999999998</v>
      </c>
      <c r="O179" s="182"/>
      <c r="P179" s="121" t="str">
        <f t="shared" si="155"/>
        <v/>
      </c>
      <c r="Q179" s="122"/>
      <c r="R179" s="180"/>
      <c r="S179" s="121">
        <f t="shared" si="156"/>
        <v>0</v>
      </c>
      <c r="T179" s="181">
        <v>185</v>
      </c>
      <c r="U179" s="125">
        <f t="shared" si="157"/>
        <v>1594.4040000000002</v>
      </c>
      <c r="V179" s="9" t="str">
        <f t="shared" si="158"/>
        <v/>
      </c>
      <c r="W179" s="9" t="str">
        <f t="shared" si="139"/>
        <v/>
      </c>
      <c r="X179" s="9"/>
      <c r="Y179" s="9"/>
      <c r="Z179" s="9"/>
      <c r="AA179" s="9"/>
    </row>
    <row r="180" spans="1:27" ht="13.5" customHeight="1" outlineLevel="1" x14ac:dyDescent="0.25">
      <c r="A180" s="366"/>
      <c r="B180" s="53" t="s">
        <v>86</v>
      </c>
      <c r="C180" s="175">
        <v>4.4999999999999998E-2</v>
      </c>
      <c r="D180" s="176">
        <v>0.12</v>
      </c>
      <c r="E180" s="121">
        <v>2.4</v>
      </c>
      <c r="F180" s="112">
        <f t="shared" si="149"/>
        <v>1.2959999999999998E-2</v>
      </c>
      <c r="G180" s="112">
        <f t="shared" si="150"/>
        <v>0.28799999999999998</v>
      </c>
      <c r="H180" s="177">
        <v>343</v>
      </c>
      <c r="I180" s="114">
        <f t="shared" si="159"/>
        <v>400</v>
      </c>
      <c r="J180" s="115">
        <f t="shared" si="160"/>
        <v>6.2207999999999988</v>
      </c>
      <c r="K180" s="116">
        <f t="shared" si="151"/>
        <v>21.599999999999998</v>
      </c>
      <c r="L180" s="117">
        <f t="shared" si="152"/>
        <v>89</v>
      </c>
      <c r="M180" s="178">
        <f t="shared" si="153"/>
        <v>1.1534399999999998</v>
      </c>
      <c r="N180" s="119">
        <f t="shared" si="154"/>
        <v>25.631999999999998</v>
      </c>
      <c r="O180" s="182"/>
      <c r="P180" s="121" t="str">
        <f t="shared" si="155"/>
        <v/>
      </c>
      <c r="Q180" s="122"/>
      <c r="R180" s="180"/>
      <c r="S180" s="121">
        <f t="shared" si="156"/>
        <v>0</v>
      </c>
      <c r="T180" s="181">
        <v>89</v>
      </c>
      <c r="U180" s="125">
        <f t="shared" si="157"/>
        <v>553.6511999999999</v>
      </c>
      <c r="V180" s="9" t="str">
        <f t="shared" si="158"/>
        <v/>
      </c>
      <c r="W180" s="9" t="str">
        <f t="shared" si="139"/>
        <v/>
      </c>
      <c r="X180" s="9"/>
      <c r="Y180" s="9"/>
      <c r="Z180" s="9"/>
      <c r="AA180" s="9"/>
    </row>
    <row r="181" spans="1:27" ht="13.5" customHeight="1" outlineLevel="1" x14ac:dyDescent="0.25">
      <c r="A181" s="366"/>
      <c r="B181" s="247" t="s">
        <v>103</v>
      </c>
      <c r="C181" s="175">
        <v>4.4999999999999998E-2</v>
      </c>
      <c r="D181" s="176">
        <v>0.12</v>
      </c>
      <c r="E181" s="121">
        <v>3.9</v>
      </c>
      <c r="F181" s="112"/>
      <c r="G181" s="112"/>
      <c r="H181" s="177"/>
      <c r="I181" s="114"/>
      <c r="J181" s="115"/>
      <c r="K181" s="116"/>
      <c r="L181" s="117"/>
      <c r="M181" s="178"/>
      <c r="N181" s="119"/>
      <c r="O181" s="182"/>
      <c r="P181" s="121" t="str">
        <f t="shared" si="155"/>
        <v/>
      </c>
      <c r="Q181" s="122"/>
      <c r="R181" s="180"/>
      <c r="S181" s="121"/>
      <c r="T181" s="181"/>
      <c r="U181" s="125"/>
      <c r="V181" s="9"/>
      <c r="W181" s="9" t="str">
        <f t="shared" si="139"/>
        <v/>
      </c>
      <c r="X181" s="9"/>
      <c r="Y181" s="9"/>
      <c r="Z181" s="9"/>
      <c r="AA181" s="9"/>
    </row>
    <row r="182" spans="1:27" ht="13.5" customHeight="1" outlineLevel="1" x14ac:dyDescent="0.25">
      <c r="A182" s="366"/>
      <c r="B182" s="247" t="s">
        <v>103</v>
      </c>
      <c r="C182" s="175">
        <v>4.4999999999999998E-2</v>
      </c>
      <c r="D182" s="176">
        <v>0.12</v>
      </c>
      <c r="E182" s="121">
        <v>4.2</v>
      </c>
      <c r="F182" s="112"/>
      <c r="G182" s="112"/>
      <c r="H182" s="177"/>
      <c r="I182" s="114"/>
      <c r="J182" s="115"/>
      <c r="K182" s="116"/>
      <c r="L182" s="117"/>
      <c r="M182" s="178"/>
      <c r="N182" s="119"/>
      <c r="O182" s="182"/>
      <c r="P182" s="121" t="str">
        <f t="shared" si="155"/>
        <v/>
      </c>
      <c r="Q182" s="122"/>
      <c r="R182" s="180"/>
      <c r="S182" s="121"/>
      <c r="T182" s="181"/>
      <c r="U182" s="125"/>
      <c r="V182" s="9"/>
      <c r="W182" s="9" t="str">
        <f t="shared" si="139"/>
        <v/>
      </c>
      <c r="X182" s="9"/>
      <c r="Y182" s="9"/>
      <c r="Z182" s="9"/>
      <c r="AA182" s="9"/>
    </row>
    <row r="183" spans="1:27" ht="13.5" customHeight="1" outlineLevel="1" x14ac:dyDescent="0.25">
      <c r="A183" s="366"/>
      <c r="B183" s="53"/>
      <c r="C183" s="175">
        <v>4.4999999999999998E-2</v>
      </c>
      <c r="D183" s="176">
        <v>0.12</v>
      </c>
      <c r="E183" s="121">
        <v>5.4</v>
      </c>
      <c r="F183" s="112">
        <f t="shared" ref="F183:F185" si="161">C183*D183*E183</f>
        <v>2.9159999999999998E-2</v>
      </c>
      <c r="G183" s="112">
        <f t="shared" ref="G183:G185" si="162">D183*E183</f>
        <v>0.64800000000000002</v>
      </c>
      <c r="H183" s="177">
        <v>343</v>
      </c>
      <c r="I183" s="114">
        <f t="shared" ref="I183:I185" si="163">ROUND(H183*1.1667,0)</f>
        <v>400</v>
      </c>
      <c r="J183" s="115">
        <f t="shared" ref="J183:J185" si="164">ROUND((I183*0.992)*1.21,0)*(C183*D183*E183)</f>
        <v>13.996799999999999</v>
      </c>
      <c r="K183" s="116">
        <f t="shared" ref="K183:K185" si="165">J183/(D183*E183)</f>
        <v>21.599999999999998</v>
      </c>
      <c r="L183" s="117">
        <f t="shared" ref="L183:L185" si="166">T183+R183-O183</f>
        <v>57</v>
      </c>
      <c r="M183" s="178">
        <f t="shared" ref="M183:M185" si="167">L183*F183</f>
        <v>1.6621199999999998</v>
      </c>
      <c r="N183" s="119">
        <f t="shared" ref="N183:N185" si="168">L183*G183</f>
        <v>36.936</v>
      </c>
      <c r="O183" s="182"/>
      <c r="P183" s="121" t="str">
        <f t="shared" si="155"/>
        <v/>
      </c>
      <c r="Q183" s="122"/>
      <c r="R183" s="180"/>
      <c r="S183" s="121">
        <f t="shared" ref="S183:S185" si="169">R183*F183</f>
        <v>0</v>
      </c>
      <c r="T183" s="181">
        <v>57</v>
      </c>
      <c r="U183" s="125">
        <f t="shared" ref="U183:U185" si="170">J183*L183</f>
        <v>797.81759999999997</v>
      </c>
      <c r="V183" s="9" t="str">
        <f t="shared" ref="V183:V185" si="171">IF(O183="","",Q183-(O183*(H183*F183)))</f>
        <v/>
      </c>
      <c r="W183" s="9" t="str">
        <f t="shared" si="139"/>
        <v/>
      </c>
      <c r="X183" s="9"/>
      <c r="Y183" s="9"/>
      <c r="Z183" s="9"/>
      <c r="AA183" s="9"/>
    </row>
    <row r="184" spans="1:27" ht="13.5" customHeight="1" outlineLevel="1" x14ac:dyDescent="0.25">
      <c r="A184" s="366"/>
      <c r="B184" s="53" t="s">
        <v>86</v>
      </c>
      <c r="C184" s="175">
        <v>4.4999999999999998E-2</v>
      </c>
      <c r="D184" s="176">
        <v>0.14499999999999999</v>
      </c>
      <c r="E184" s="121">
        <v>2.4</v>
      </c>
      <c r="F184" s="112">
        <f t="shared" si="161"/>
        <v>1.5659999999999997E-2</v>
      </c>
      <c r="G184" s="112">
        <f t="shared" si="162"/>
        <v>0.34799999999999998</v>
      </c>
      <c r="H184" s="177">
        <v>343</v>
      </c>
      <c r="I184" s="114">
        <f t="shared" si="163"/>
        <v>400</v>
      </c>
      <c r="J184" s="115">
        <f t="shared" si="164"/>
        <v>7.5167999999999981</v>
      </c>
      <c r="K184" s="116">
        <f t="shared" si="165"/>
        <v>21.599999999999998</v>
      </c>
      <c r="L184" s="117">
        <f t="shared" si="166"/>
        <v>92</v>
      </c>
      <c r="M184" s="178">
        <f t="shared" si="167"/>
        <v>1.4407199999999998</v>
      </c>
      <c r="N184" s="119">
        <f t="shared" si="168"/>
        <v>32.015999999999998</v>
      </c>
      <c r="O184" s="182"/>
      <c r="P184" s="121" t="str">
        <f t="shared" si="155"/>
        <v/>
      </c>
      <c r="Q184" s="122"/>
      <c r="R184" s="180"/>
      <c r="S184" s="121">
        <f t="shared" si="169"/>
        <v>0</v>
      </c>
      <c r="T184" s="181">
        <v>92</v>
      </c>
      <c r="U184" s="125">
        <f t="shared" si="170"/>
        <v>691.54559999999981</v>
      </c>
      <c r="V184" s="9" t="str">
        <f t="shared" si="171"/>
        <v/>
      </c>
      <c r="W184" s="9" t="str">
        <f t="shared" si="139"/>
        <v/>
      </c>
      <c r="X184" s="9"/>
      <c r="Y184" s="9"/>
      <c r="Z184" s="9"/>
      <c r="AA184" s="9"/>
    </row>
    <row r="185" spans="1:27" ht="13.5" customHeight="1" outlineLevel="1" x14ac:dyDescent="0.25">
      <c r="A185" s="366"/>
      <c r="B185" s="53"/>
      <c r="C185" s="175">
        <v>4.4999999999999998E-2</v>
      </c>
      <c r="D185" s="176">
        <v>0.14499999999999999</v>
      </c>
      <c r="E185" s="121">
        <v>4.8</v>
      </c>
      <c r="F185" s="112">
        <f t="shared" si="161"/>
        <v>3.1319999999999994E-2</v>
      </c>
      <c r="G185" s="112">
        <f t="shared" si="162"/>
        <v>0.69599999999999995</v>
      </c>
      <c r="H185" s="177">
        <v>343</v>
      </c>
      <c r="I185" s="114">
        <f t="shared" si="163"/>
        <v>400</v>
      </c>
      <c r="J185" s="115">
        <f t="shared" si="164"/>
        <v>15.033599999999996</v>
      </c>
      <c r="K185" s="116">
        <f t="shared" si="165"/>
        <v>21.599999999999998</v>
      </c>
      <c r="L185" s="117">
        <f t="shared" si="166"/>
        <v>1305</v>
      </c>
      <c r="M185" s="178">
        <f t="shared" si="167"/>
        <v>40.872599999999991</v>
      </c>
      <c r="N185" s="119">
        <f t="shared" si="168"/>
        <v>908.28</v>
      </c>
      <c r="O185" s="182"/>
      <c r="P185" s="121" t="str">
        <f t="shared" si="155"/>
        <v/>
      </c>
      <c r="Q185" s="122"/>
      <c r="R185" s="180"/>
      <c r="S185" s="121">
        <f t="shared" si="169"/>
        <v>0</v>
      </c>
      <c r="T185" s="181">
        <v>1305</v>
      </c>
      <c r="U185" s="125">
        <f t="shared" si="170"/>
        <v>19618.847999999994</v>
      </c>
      <c r="V185" s="9" t="str">
        <f t="shared" si="171"/>
        <v/>
      </c>
      <c r="W185" s="9" t="str">
        <f t="shared" si="139"/>
        <v/>
      </c>
      <c r="X185" s="9"/>
      <c r="Y185" s="9"/>
      <c r="Z185" s="9"/>
      <c r="AA185" s="9"/>
    </row>
    <row r="186" spans="1:27" ht="13.5" customHeight="1" outlineLevel="1" x14ac:dyDescent="0.25">
      <c r="A186" s="366"/>
      <c r="B186" s="247" t="s">
        <v>103</v>
      </c>
      <c r="C186" s="175">
        <v>4.4999999999999998E-2</v>
      </c>
      <c r="D186" s="176">
        <v>0.14499999999999999</v>
      </c>
      <c r="E186" s="121">
        <v>4.8</v>
      </c>
      <c r="F186" s="112"/>
      <c r="G186" s="112"/>
      <c r="H186" s="177"/>
      <c r="I186" s="114"/>
      <c r="J186" s="115"/>
      <c r="K186" s="116"/>
      <c r="L186" s="117"/>
      <c r="M186" s="178"/>
      <c r="N186" s="119"/>
      <c r="O186" s="182"/>
      <c r="P186" s="121" t="str">
        <f t="shared" si="155"/>
        <v/>
      </c>
      <c r="Q186" s="122"/>
      <c r="R186" s="180"/>
      <c r="S186" s="121"/>
      <c r="T186" s="181"/>
      <c r="U186" s="125"/>
      <c r="V186" s="9"/>
      <c r="W186" s="9" t="str">
        <f t="shared" si="139"/>
        <v/>
      </c>
      <c r="X186" s="9"/>
      <c r="Y186" s="9"/>
      <c r="Z186" s="9"/>
      <c r="AA186" s="9"/>
    </row>
    <row r="187" spans="1:27" ht="13.5" customHeight="1" outlineLevel="1" x14ac:dyDescent="0.25">
      <c r="A187" s="366"/>
      <c r="B187" s="247" t="s">
        <v>103</v>
      </c>
      <c r="C187" s="175">
        <v>4.4999999999999998E-2</v>
      </c>
      <c r="D187" s="176">
        <v>0.14499999999999999</v>
      </c>
      <c r="E187" s="121">
        <v>6</v>
      </c>
      <c r="F187" s="112"/>
      <c r="G187" s="112"/>
      <c r="H187" s="177"/>
      <c r="I187" s="114"/>
      <c r="J187" s="115"/>
      <c r="K187" s="116"/>
      <c r="L187" s="117"/>
      <c r="M187" s="178"/>
      <c r="N187" s="119"/>
      <c r="O187" s="182"/>
      <c r="P187" s="121" t="str">
        <f t="shared" si="155"/>
        <v/>
      </c>
      <c r="Q187" s="122"/>
      <c r="R187" s="180"/>
      <c r="S187" s="121"/>
      <c r="T187" s="181"/>
      <c r="U187" s="125"/>
      <c r="V187" s="9"/>
      <c r="W187" s="9" t="str">
        <f t="shared" si="139"/>
        <v/>
      </c>
      <c r="X187" s="9"/>
      <c r="Y187" s="9"/>
      <c r="Z187" s="9"/>
      <c r="AA187" s="9"/>
    </row>
    <row r="188" spans="1:27" ht="13.5" customHeight="1" outlineLevel="1" x14ac:dyDescent="0.25">
      <c r="A188" s="366"/>
      <c r="B188" s="53" t="s">
        <v>86</v>
      </c>
      <c r="C188" s="175">
        <v>4.4999999999999998E-2</v>
      </c>
      <c r="D188" s="176">
        <v>0.14499999999999999</v>
      </c>
      <c r="E188" s="121">
        <v>6</v>
      </c>
      <c r="F188" s="112">
        <f>C188*D188*E188</f>
        <v>3.9149999999999997E-2</v>
      </c>
      <c r="G188" s="112">
        <f>D188*E188</f>
        <v>0.86999999999999988</v>
      </c>
      <c r="H188" s="177">
        <v>343</v>
      </c>
      <c r="I188" s="114">
        <f>ROUND(H188*1.1667,0)</f>
        <v>400</v>
      </c>
      <c r="J188" s="115">
        <f>ROUND((I188*0.992)*1.21,0)*(C188*D188*E188)</f>
        <v>18.791999999999998</v>
      </c>
      <c r="K188" s="116">
        <f>J188/(D188*E188)</f>
        <v>21.6</v>
      </c>
      <c r="L188" s="117">
        <f>T188+R188-O188</f>
        <v>1003</v>
      </c>
      <c r="M188" s="178">
        <f>L188*F188</f>
        <v>39.267449999999997</v>
      </c>
      <c r="N188" s="119">
        <f>L188*G188</f>
        <v>872.6099999999999</v>
      </c>
      <c r="O188" s="182"/>
      <c r="P188" s="121" t="str">
        <f t="shared" si="155"/>
        <v/>
      </c>
      <c r="Q188" s="122"/>
      <c r="R188" s="180"/>
      <c r="S188" s="121">
        <f>R188*F188</f>
        <v>0</v>
      </c>
      <c r="T188" s="181">
        <v>1003</v>
      </c>
      <c r="U188" s="125">
        <f>J188*L188</f>
        <v>18848.375999999997</v>
      </c>
      <c r="V188" s="9" t="str">
        <f>IF(O188="","",Q188-(O188*(H188*F188)))</f>
        <v/>
      </c>
      <c r="W188" s="9" t="str">
        <f t="shared" si="139"/>
        <v/>
      </c>
      <c r="X188" s="9"/>
      <c r="Y188" s="9"/>
      <c r="Z188" s="9"/>
      <c r="AA188" s="9"/>
    </row>
    <row r="189" spans="1:27" ht="13.5" customHeight="1" outlineLevel="1" x14ac:dyDescent="0.25">
      <c r="A189" s="366"/>
      <c r="B189" s="247" t="s">
        <v>103</v>
      </c>
      <c r="C189" s="54">
        <v>4.4999999999999998E-2</v>
      </c>
      <c r="D189" s="55">
        <v>0.19500000000000001</v>
      </c>
      <c r="E189" s="56">
        <v>4.8</v>
      </c>
      <c r="F189" s="112"/>
      <c r="G189" s="112"/>
      <c r="H189" s="177"/>
      <c r="I189" s="114"/>
      <c r="J189" s="115"/>
      <c r="K189" s="116"/>
      <c r="L189" s="117"/>
      <c r="M189" s="178"/>
      <c r="N189" s="119"/>
      <c r="O189" s="182"/>
      <c r="P189" s="121" t="str">
        <f t="shared" si="155"/>
        <v/>
      </c>
      <c r="Q189" s="122"/>
      <c r="R189" s="180"/>
      <c r="S189" s="121"/>
      <c r="T189" s="181"/>
      <c r="U189" s="125"/>
      <c r="V189" s="9"/>
      <c r="W189" s="9" t="str">
        <f t="shared" si="139"/>
        <v/>
      </c>
      <c r="X189" s="9"/>
      <c r="Y189" s="9"/>
      <c r="Z189" s="9"/>
      <c r="AA189" s="9"/>
    </row>
    <row r="190" spans="1:27" ht="13.5" customHeight="1" outlineLevel="1" x14ac:dyDescent="0.25">
      <c r="A190" s="366"/>
      <c r="B190" s="247" t="s">
        <v>104</v>
      </c>
      <c r="C190" s="175">
        <v>4.4999999999999998E-2</v>
      </c>
      <c r="D190" s="176">
        <v>0.19500000000000001</v>
      </c>
      <c r="E190" s="121">
        <v>6</v>
      </c>
      <c r="F190" s="112"/>
      <c r="G190" s="112"/>
      <c r="H190" s="177"/>
      <c r="I190" s="114"/>
      <c r="J190" s="115"/>
      <c r="K190" s="116"/>
      <c r="L190" s="117"/>
      <c r="M190" s="178"/>
      <c r="N190" s="119"/>
      <c r="O190" s="182"/>
      <c r="P190" s="121" t="str">
        <f t="shared" si="155"/>
        <v/>
      </c>
      <c r="Q190" s="122"/>
      <c r="R190" s="180"/>
      <c r="S190" s="121"/>
      <c r="T190" s="181"/>
      <c r="U190" s="125"/>
      <c r="V190" s="9"/>
      <c r="W190" s="9" t="str">
        <f t="shared" si="139"/>
        <v/>
      </c>
      <c r="X190" s="9"/>
      <c r="Y190" s="9"/>
      <c r="Z190" s="9"/>
      <c r="AA190" s="9"/>
    </row>
    <row r="191" spans="1:27" ht="13.5" customHeight="1" outlineLevel="1" x14ac:dyDescent="0.25">
      <c r="A191" s="366"/>
      <c r="B191" s="53"/>
      <c r="C191" s="175">
        <v>4.4999999999999998E-2</v>
      </c>
      <c r="D191" s="176">
        <v>0.22</v>
      </c>
      <c r="E191" s="121">
        <v>3.6</v>
      </c>
      <c r="F191" s="112">
        <f>C191*D191*E191</f>
        <v>3.5639999999999998E-2</v>
      </c>
      <c r="G191" s="112">
        <f>D191*E191</f>
        <v>0.79200000000000004</v>
      </c>
      <c r="H191" s="177">
        <v>343</v>
      </c>
      <c r="I191" s="114">
        <f>ROUND(H191*1.1667,0)</f>
        <v>400</v>
      </c>
      <c r="J191" s="115">
        <f>ROUND((I191*0.992)*1.21,0)*(C191*D191*E191)</f>
        <v>17.107199999999999</v>
      </c>
      <c r="K191" s="116">
        <f>J191/(D191*E191)</f>
        <v>21.599999999999998</v>
      </c>
      <c r="L191" s="117">
        <f>T191+R191-O191</f>
        <v>40</v>
      </c>
      <c r="M191" s="178">
        <f>L191*F191</f>
        <v>1.4256</v>
      </c>
      <c r="N191" s="119">
        <f>L191*G191</f>
        <v>31.68</v>
      </c>
      <c r="O191" s="182"/>
      <c r="P191" s="121" t="str">
        <f t="shared" si="155"/>
        <v/>
      </c>
      <c r="Q191" s="122"/>
      <c r="R191" s="180"/>
      <c r="S191" s="121">
        <f>R191*F191</f>
        <v>0</v>
      </c>
      <c r="T191" s="181">
        <v>40</v>
      </c>
      <c r="U191" s="125">
        <f>J191*L191</f>
        <v>684.28800000000001</v>
      </c>
      <c r="V191" s="9" t="str">
        <f>IF(O191="","",Q191-(O191*(H191*F191)))</f>
        <v/>
      </c>
      <c r="W191" s="9" t="str">
        <f t="shared" si="139"/>
        <v/>
      </c>
      <c r="X191" s="9"/>
      <c r="Y191" s="9"/>
      <c r="Z191" s="9"/>
      <c r="AA191" s="9"/>
    </row>
    <row r="192" spans="1:27" ht="13.5" customHeight="1" outlineLevel="1" x14ac:dyDescent="0.25">
      <c r="A192" s="366"/>
      <c r="B192" s="248" t="s">
        <v>105</v>
      </c>
      <c r="C192" s="175">
        <v>4.4999999999999998E-2</v>
      </c>
      <c r="D192" s="176">
        <v>0.22</v>
      </c>
      <c r="E192" s="121">
        <v>4.8</v>
      </c>
      <c r="F192" s="112"/>
      <c r="G192" s="112"/>
      <c r="H192" s="177"/>
      <c r="I192" s="114"/>
      <c r="J192" s="115"/>
      <c r="K192" s="116"/>
      <c r="L192" s="117"/>
      <c r="M192" s="178"/>
      <c r="N192" s="119"/>
      <c r="O192" s="182"/>
      <c r="P192" s="121" t="str">
        <f t="shared" si="155"/>
        <v/>
      </c>
      <c r="Q192" s="122"/>
      <c r="R192" s="180"/>
      <c r="S192" s="121"/>
      <c r="T192" s="181"/>
      <c r="U192" s="125"/>
      <c r="V192" s="9"/>
      <c r="W192" s="9"/>
      <c r="X192" s="9"/>
      <c r="Y192" s="9"/>
      <c r="Z192" s="9"/>
      <c r="AA192" s="9"/>
    </row>
    <row r="193" spans="1:27" ht="13.5" customHeight="1" outlineLevel="1" x14ac:dyDescent="0.25">
      <c r="A193" s="366"/>
      <c r="B193" s="53"/>
      <c r="C193" s="175">
        <v>4.4999999999999998E-2</v>
      </c>
      <c r="D193" s="176">
        <v>0.22</v>
      </c>
      <c r="E193" s="121">
        <v>6</v>
      </c>
      <c r="F193" s="112">
        <f t="shared" ref="F193:F195" si="172">C193*D193*E193</f>
        <v>5.9399999999999994E-2</v>
      </c>
      <c r="G193" s="112">
        <f t="shared" ref="G193:G195" si="173">D193*E193</f>
        <v>1.32</v>
      </c>
      <c r="H193" s="177">
        <v>343</v>
      </c>
      <c r="I193" s="114">
        <f t="shared" ref="I193:I195" si="174">ROUND(H193*1.1667,0)</f>
        <v>400</v>
      </c>
      <c r="J193" s="115">
        <f t="shared" ref="J193:J195" si="175">ROUND((I193*0.992)*1.21,0)*(C193*D193*E193)</f>
        <v>28.511999999999997</v>
      </c>
      <c r="K193" s="116">
        <f t="shared" ref="K193:K195" si="176">J193/(D193*E193)</f>
        <v>21.599999999999998</v>
      </c>
      <c r="L193" s="117">
        <f t="shared" ref="L193:L195" si="177">T193+R193-O193</f>
        <v>45</v>
      </c>
      <c r="M193" s="178">
        <f t="shared" ref="M193:M195" si="178">L193*F193</f>
        <v>2.6729999999999996</v>
      </c>
      <c r="N193" s="119">
        <f t="shared" ref="N193:N195" si="179">L193*G193</f>
        <v>59.400000000000006</v>
      </c>
      <c r="O193" s="182"/>
      <c r="P193" s="121"/>
      <c r="Q193" s="122"/>
      <c r="R193" s="180"/>
      <c r="S193" s="121">
        <f t="shared" ref="S193:S195" si="180">R193*F193</f>
        <v>0</v>
      </c>
      <c r="T193" s="181">
        <v>45</v>
      </c>
      <c r="U193" s="125">
        <f t="shared" ref="U193:U195" si="181">J193*L193</f>
        <v>1283.04</v>
      </c>
      <c r="V193" s="9" t="str">
        <f t="shared" ref="V193:V195" si="182">IF(O193="","",Q193-(O193*(H193*F193)))</f>
        <v/>
      </c>
      <c r="W193" s="9" t="str">
        <f t="shared" ref="W193:W198" si="183">IF(O193="","",(P193*H193))</f>
        <v/>
      </c>
      <c r="X193" s="9"/>
      <c r="Y193" s="9"/>
      <c r="Z193" s="9"/>
      <c r="AA193" s="9"/>
    </row>
    <row r="194" spans="1:27" ht="13.5" customHeight="1" outlineLevel="1" x14ac:dyDescent="0.25">
      <c r="A194" s="366"/>
      <c r="B194" s="53"/>
      <c r="C194" s="175">
        <v>4.7E-2</v>
      </c>
      <c r="D194" s="176">
        <v>0.2</v>
      </c>
      <c r="E194" s="121">
        <v>6</v>
      </c>
      <c r="F194" s="112">
        <f t="shared" si="172"/>
        <v>5.6400000000000006E-2</v>
      </c>
      <c r="G194" s="112">
        <f t="shared" si="173"/>
        <v>1.2000000000000002</v>
      </c>
      <c r="H194" s="177">
        <v>343</v>
      </c>
      <c r="I194" s="114">
        <f t="shared" si="174"/>
        <v>400</v>
      </c>
      <c r="J194" s="115">
        <f t="shared" si="175"/>
        <v>27.072000000000003</v>
      </c>
      <c r="K194" s="116">
        <f t="shared" si="176"/>
        <v>22.56</v>
      </c>
      <c r="L194" s="117">
        <f t="shared" si="177"/>
        <v>44</v>
      </c>
      <c r="M194" s="178">
        <f t="shared" si="178"/>
        <v>2.4816000000000003</v>
      </c>
      <c r="N194" s="119">
        <f t="shared" si="179"/>
        <v>52.800000000000011</v>
      </c>
      <c r="O194" s="182"/>
      <c r="P194" s="121" t="str">
        <f t="shared" ref="P194:P195" si="184">IF(O194="","",(O194*F194))</f>
        <v/>
      </c>
      <c r="Q194" s="122"/>
      <c r="R194" s="180"/>
      <c r="S194" s="121">
        <f t="shared" si="180"/>
        <v>0</v>
      </c>
      <c r="T194" s="181">
        <v>44</v>
      </c>
      <c r="U194" s="125">
        <f t="shared" si="181"/>
        <v>1191.1680000000001</v>
      </c>
      <c r="V194" s="9" t="str">
        <f t="shared" si="182"/>
        <v/>
      </c>
      <c r="W194" s="9" t="str">
        <f t="shared" si="183"/>
        <v/>
      </c>
      <c r="X194" s="9"/>
      <c r="Y194" s="9"/>
      <c r="Z194" s="9"/>
      <c r="AA194" s="9"/>
    </row>
    <row r="195" spans="1:27" ht="13.5" customHeight="1" outlineLevel="1" x14ac:dyDescent="0.25">
      <c r="A195" s="366"/>
      <c r="B195" s="53"/>
      <c r="C195" s="175">
        <v>7.4999999999999997E-2</v>
      </c>
      <c r="D195" s="176">
        <v>0.19500000000000001</v>
      </c>
      <c r="E195" s="121">
        <v>6</v>
      </c>
      <c r="F195" s="112">
        <f t="shared" si="172"/>
        <v>8.7749999999999995E-2</v>
      </c>
      <c r="G195" s="112">
        <f t="shared" si="173"/>
        <v>1.17</v>
      </c>
      <c r="H195" s="177">
        <v>343</v>
      </c>
      <c r="I195" s="114">
        <f t="shared" si="174"/>
        <v>400</v>
      </c>
      <c r="J195" s="115">
        <f t="shared" si="175"/>
        <v>42.12</v>
      </c>
      <c r="K195" s="116">
        <f t="shared" si="176"/>
        <v>36</v>
      </c>
      <c r="L195" s="117">
        <f t="shared" si="177"/>
        <v>104</v>
      </c>
      <c r="M195" s="178">
        <f t="shared" si="178"/>
        <v>9.1259999999999994</v>
      </c>
      <c r="N195" s="119">
        <f t="shared" si="179"/>
        <v>121.67999999999999</v>
      </c>
      <c r="O195" s="249"/>
      <c r="P195" s="121" t="str">
        <f t="shared" si="184"/>
        <v/>
      </c>
      <c r="Q195" s="250"/>
      <c r="R195" s="180"/>
      <c r="S195" s="121">
        <f t="shared" si="180"/>
        <v>0</v>
      </c>
      <c r="T195" s="181">
        <v>104</v>
      </c>
      <c r="U195" s="125">
        <f t="shared" si="181"/>
        <v>4380.4799999999996</v>
      </c>
      <c r="V195" s="9" t="str">
        <f t="shared" si="182"/>
        <v/>
      </c>
      <c r="W195" s="9" t="str">
        <f t="shared" si="183"/>
        <v/>
      </c>
      <c r="X195" s="9"/>
      <c r="Y195" s="9"/>
      <c r="Z195" s="9"/>
      <c r="AA195" s="9"/>
    </row>
    <row r="196" spans="1:27" ht="13.5" customHeight="1" x14ac:dyDescent="0.25">
      <c r="A196" s="366"/>
      <c r="B196" s="149" t="s">
        <v>56</v>
      </c>
      <c r="C196" s="209"/>
      <c r="D196" s="209"/>
      <c r="E196" s="209"/>
      <c r="F196" s="209"/>
      <c r="G196" s="209"/>
      <c r="H196" s="153">
        <f t="shared" ref="H196:I196" si="185">AVERAGE(H175:H195)</f>
        <v>338.91428571428571</v>
      </c>
      <c r="I196" s="153">
        <f t="shared" si="185"/>
        <v>396.21428571428572</v>
      </c>
      <c r="J196" s="154"/>
      <c r="K196" s="152">
        <f>AVERAGE(K175:K195)</f>
        <v>19.596214285714286</v>
      </c>
      <c r="L196" s="155"/>
      <c r="M196" s="251">
        <f>SUM(M175:M195)</f>
        <v>109.9267354</v>
      </c>
      <c r="N196" s="212"/>
      <c r="O196" s="157"/>
      <c r="P196" s="196">
        <f t="shared" ref="P196:Q196" si="186">SUM(P175:P195)</f>
        <v>0</v>
      </c>
      <c r="Q196" s="251">
        <f t="shared" si="186"/>
        <v>0</v>
      </c>
      <c r="R196" s="190"/>
      <c r="S196" s="161">
        <f>SUM(S175:S195)</f>
        <v>0</v>
      </c>
      <c r="T196" s="162"/>
      <c r="U196" s="246">
        <f>SUM(U175:U195)</f>
        <v>52965.499607999984</v>
      </c>
      <c r="V196" s="9"/>
      <c r="W196" s="9" t="str">
        <f t="shared" si="183"/>
        <v/>
      </c>
      <c r="X196" s="9"/>
      <c r="Y196" s="9"/>
      <c r="Z196" s="9"/>
      <c r="AA196" s="9"/>
    </row>
    <row r="197" spans="1:27" ht="15" customHeight="1" x14ac:dyDescent="0.25">
      <c r="A197" s="366"/>
      <c r="B197" s="252" t="s">
        <v>106</v>
      </c>
      <c r="C197" s="253"/>
      <c r="D197" s="253"/>
      <c r="E197" s="253"/>
      <c r="F197" s="253"/>
      <c r="G197" s="253"/>
      <c r="H197" s="253"/>
      <c r="I197" s="254">
        <f>AVERAGE(I173,I196)</f>
        <v>342.16359447004606</v>
      </c>
      <c r="J197" s="255"/>
      <c r="K197" s="256">
        <f>AVERAGE(K173,K196)</f>
        <v>20.662123271889406</v>
      </c>
      <c r="L197" s="257"/>
      <c r="M197" s="258">
        <f>SUM(M173+M196)</f>
        <v>399.85397540000008</v>
      </c>
      <c r="N197" s="259"/>
      <c r="O197" s="260"/>
      <c r="P197" s="261">
        <f t="shared" ref="P197:Q197" si="187">SUM(P173+P196)</f>
        <v>0</v>
      </c>
      <c r="Q197" s="262">
        <f t="shared" si="187"/>
        <v>0</v>
      </c>
      <c r="R197" s="263"/>
      <c r="S197" s="264">
        <f>SUM(S173+S196)</f>
        <v>0</v>
      </c>
      <c r="T197" s="265"/>
      <c r="U197" s="266">
        <f>U196+U173</f>
        <v>150026.32463799999</v>
      </c>
      <c r="V197" s="9"/>
      <c r="W197" s="9" t="str">
        <f t="shared" si="183"/>
        <v/>
      </c>
      <c r="X197" s="9"/>
      <c r="Y197" s="9"/>
      <c r="Z197" s="9"/>
      <c r="AA197" s="9"/>
    </row>
    <row r="198" spans="1:27" ht="13.5" customHeight="1" x14ac:dyDescent="0.25">
      <c r="A198" s="368"/>
      <c r="B198" s="267"/>
      <c r="C198" s="267"/>
      <c r="D198" s="268"/>
      <c r="E198" s="268"/>
      <c r="F198" s="269"/>
      <c r="G198" s="269"/>
      <c r="H198" s="267"/>
      <c r="I198" s="270"/>
      <c r="J198" s="271"/>
      <c r="K198" s="272"/>
      <c r="L198" s="273"/>
      <c r="M198" s="274"/>
      <c r="N198" s="267"/>
      <c r="O198" s="275"/>
      <c r="P198" s="268"/>
      <c r="Q198" s="276"/>
      <c r="R198" s="277"/>
      <c r="S198" s="268"/>
      <c r="T198" s="278"/>
      <c r="U198" s="279"/>
      <c r="V198" s="9"/>
      <c r="W198" s="9" t="str">
        <f t="shared" si="183"/>
        <v/>
      </c>
      <c r="X198" s="9"/>
      <c r="Y198" s="9"/>
      <c r="Z198" s="9"/>
      <c r="AA198" s="9"/>
    </row>
    <row r="199" spans="1:27" ht="13.5" customHeight="1" x14ac:dyDescent="0.25">
      <c r="A199" s="369"/>
      <c r="B199" s="280" t="s">
        <v>31</v>
      </c>
      <c r="C199" s="60"/>
      <c r="D199" s="61"/>
      <c r="E199" s="60"/>
      <c r="F199" s="281"/>
      <c r="G199" s="281"/>
      <c r="H199" s="60"/>
      <c r="I199" s="282">
        <f>AVERAGE(I100,I108,I197)</f>
        <v>397.30116397700908</v>
      </c>
      <c r="J199" s="64"/>
      <c r="K199" s="62"/>
      <c r="L199" s="283"/>
      <c r="M199" s="62">
        <f>SUM(M100+M108+M197)</f>
        <v>633.44276379999997</v>
      </c>
      <c r="N199" s="284"/>
      <c r="O199" s="63"/>
      <c r="P199" s="62" t="e">
        <f t="shared" ref="P199:Q199" si="188">SUM(P100+P108+P197)</f>
        <v>#VALUE!</v>
      </c>
      <c r="Q199" s="285">
        <f t="shared" si="188"/>
        <v>0</v>
      </c>
      <c r="R199" s="286"/>
      <c r="S199" s="62">
        <f>SUM(S100+S108+S197)</f>
        <v>0</v>
      </c>
      <c r="T199" s="287"/>
      <c r="U199" s="288">
        <f>SUM(U100+U108+U197)</f>
        <v>271652.18897072459</v>
      </c>
      <c r="V199" s="9">
        <f t="shared" ref="V199:W199" si="189">SUM(V2:V198)</f>
        <v>0</v>
      </c>
      <c r="W199" s="9">
        <f t="shared" si="189"/>
        <v>0</v>
      </c>
      <c r="X199" s="9"/>
      <c r="Y199" s="9"/>
      <c r="Z199" s="9"/>
      <c r="AA199" s="9"/>
    </row>
    <row r="200" spans="1:27" ht="13.5" customHeight="1" x14ac:dyDescent="0.25">
      <c r="A200" s="9"/>
      <c r="B200" s="9"/>
      <c r="C200" s="9"/>
      <c r="D200" s="9"/>
      <c r="E200" s="9"/>
      <c r="F200" s="185"/>
      <c r="G200" s="185"/>
      <c r="H200" s="9"/>
      <c r="I200" s="289"/>
      <c r="J200" s="290"/>
      <c r="K200" s="291"/>
      <c r="L200" s="292"/>
      <c r="M200" s="9"/>
      <c r="N200" s="9"/>
      <c r="O200" s="42"/>
      <c r="P200" s="9"/>
      <c r="Q200" s="43"/>
      <c r="R200" s="293"/>
      <c r="S200" s="291"/>
      <c r="T200" s="294"/>
      <c r="U200" s="295"/>
      <c r="V200" s="9"/>
      <c r="W200" s="9"/>
      <c r="X200" s="9"/>
      <c r="Y200" s="9"/>
      <c r="Z200" s="9"/>
      <c r="AA200" s="9"/>
    </row>
    <row r="201" spans="1:27" ht="13.5" customHeight="1" x14ac:dyDescent="0.25">
      <c r="A201" s="9"/>
      <c r="B201" s="9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7"/>
      <c r="Q201" s="296"/>
      <c r="R201" s="294"/>
      <c r="S201" s="9"/>
      <c r="T201" s="9"/>
      <c r="U201" s="9"/>
      <c r="V201" s="9"/>
      <c r="W201" s="9"/>
      <c r="X201" s="9"/>
      <c r="Y201" s="9"/>
      <c r="Z201" s="298"/>
      <c r="AA201" s="298"/>
    </row>
    <row r="202" spans="1:27" ht="13.5" customHeight="1" x14ac:dyDescent="0.25">
      <c r="A202" s="9"/>
      <c r="B202" s="9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7"/>
      <c r="Q202" s="296"/>
      <c r="R202" s="294"/>
      <c r="S202" s="9"/>
      <c r="T202" s="9"/>
      <c r="U202" s="9"/>
      <c r="V202" s="9"/>
      <c r="W202" s="9"/>
      <c r="X202" s="9"/>
      <c r="Y202" s="9"/>
      <c r="Z202" s="298"/>
      <c r="AA202" s="298"/>
    </row>
    <row r="203" spans="1:27" ht="13.5" customHeight="1" x14ac:dyDescent="0.25">
      <c r="A203" s="9"/>
      <c r="B203" s="9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7"/>
      <c r="Q203" s="296"/>
      <c r="R203" s="294"/>
      <c r="S203" s="9"/>
      <c r="T203" s="9"/>
      <c r="U203" s="9"/>
      <c r="V203" s="9"/>
      <c r="W203" s="9"/>
      <c r="X203" s="9"/>
      <c r="Y203" s="9"/>
      <c r="Z203" s="298"/>
      <c r="AA203" s="298"/>
    </row>
    <row r="204" spans="1:27" ht="13.5" customHeight="1" x14ac:dyDescent="0.25">
      <c r="A204" s="9"/>
      <c r="B204" s="9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7"/>
      <c r="Q204" s="296"/>
      <c r="R204" s="294"/>
      <c r="S204" s="9"/>
      <c r="T204" s="9"/>
      <c r="U204" s="9"/>
      <c r="V204" s="9"/>
      <c r="W204" s="9"/>
      <c r="X204" s="9"/>
      <c r="Y204" s="9"/>
      <c r="Z204" s="298"/>
      <c r="AA204" s="298"/>
    </row>
    <row r="205" spans="1:27" ht="13.5" customHeight="1" x14ac:dyDescent="0.25">
      <c r="A205" s="9"/>
      <c r="B205" s="9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7"/>
      <c r="Q205" s="296"/>
      <c r="R205" s="294"/>
      <c r="S205" s="9"/>
      <c r="T205" s="9"/>
      <c r="U205" s="9"/>
      <c r="V205" s="9"/>
      <c r="W205" s="9"/>
      <c r="X205" s="9"/>
      <c r="Y205" s="9"/>
      <c r="Z205" s="298"/>
      <c r="AA205" s="298"/>
    </row>
    <row r="206" spans="1:27" ht="13.5" customHeight="1" x14ac:dyDescent="0.25">
      <c r="A206" s="9"/>
      <c r="B206" s="9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7"/>
      <c r="Q206" s="296"/>
      <c r="R206" s="294"/>
      <c r="S206" s="9"/>
      <c r="T206" s="9"/>
      <c r="U206" s="9"/>
      <c r="V206" s="9"/>
      <c r="W206" s="9"/>
      <c r="X206" s="9"/>
      <c r="Y206" s="9"/>
      <c r="Z206" s="298"/>
      <c r="AA206" s="298"/>
    </row>
    <row r="207" spans="1:27" ht="13.5" customHeight="1" x14ac:dyDescent="0.25">
      <c r="A207" s="9"/>
      <c r="B207" s="9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7"/>
      <c r="Q207" s="296"/>
      <c r="R207" s="294"/>
      <c r="S207" s="9"/>
      <c r="T207" s="9"/>
      <c r="U207" s="9"/>
      <c r="V207" s="9"/>
      <c r="W207" s="9"/>
      <c r="X207" s="9"/>
      <c r="Y207" s="9"/>
      <c r="Z207" s="298"/>
      <c r="AA207" s="298"/>
    </row>
    <row r="208" spans="1:27" ht="13.5" customHeight="1" x14ac:dyDescent="0.25">
      <c r="A208" s="9"/>
      <c r="B208" s="9"/>
      <c r="C208" s="363" t="s">
        <v>107</v>
      </c>
      <c r="D208" s="361"/>
      <c r="E208" s="361"/>
      <c r="F208" s="361"/>
      <c r="G208" s="361"/>
      <c r="H208" s="361"/>
      <c r="I208" s="361"/>
      <c r="J208" s="361"/>
      <c r="K208" s="361"/>
      <c r="L208" s="359"/>
      <c r="M208" s="363" t="s">
        <v>108</v>
      </c>
      <c r="N208" s="361"/>
      <c r="O208" s="361"/>
      <c r="P208" s="361"/>
      <c r="Q208" s="361"/>
      <c r="R208" s="359"/>
      <c r="S208" s="294"/>
      <c r="T208" s="9"/>
      <c r="U208" s="9"/>
      <c r="V208" s="9"/>
      <c r="W208" s="9"/>
      <c r="X208" s="9"/>
      <c r="Y208" s="9"/>
      <c r="Z208" s="298"/>
      <c r="AA208" s="298"/>
    </row>
    <row r="209" spans="1:27" ht="13.5" customHeight="1" x14ac:dyDescent="0.25">
      <c r="A209" s="9"/>
      <c r="B209" s="9"/>
      <c r="C209" s="299" t="s">
        <v>35</v>
      </c>
      <c r="D209" s="299" t="s">
        <v>24</v>
      </c>
      <c r="E209" s="299" t="s">
        <v>25</v>
      </c>
      <c r="F209" s="299" t="s">
        <v>36</v>
      </c>
      <c r="G209" s="300" t="s">
        <v>37</v>
      </c>
      <c r="H209" s="299"/>
      <c r="I209" s="301" t="s">
        <v>26</v>
      </c>
      <c r="J209" s="302" t="s">
        <v>27</v>
      </c>
      <c r="K209" s="303" t="s">
        <v>109</v>
      </c>
      <c r="L209" s="303" t="s">
        <v>110</v>
      </c>
      <c r="M209" s="299" t="s">
        <v>35</v>
      </c>
      <c r="N209" s="299" t="s">
        <v>24</v>
      </c>
      <c r="O209" s="299" t="s">
        <v>25</v>
      </c>
      <c r="P209" s="364" t="s">
        <v>111</v>
      </c>
      <c r="Q209" s="359"/>
      <c r="R209" s="303" t="s">
        <v>112</v>
      </c>
      <c r="S209" s="42"/>
      <c r="T209" s="43"/>
      <c r="U209" s="293"/>
      <c r="V209" s="291"/>
      <c r="W209" s="294"/>
      <c r="X209" s="295"/>
      <c r="Y209" s="9"/>
      <c r="Z209" s="9"/>
      <c r="AA209" s="9"/>
    </row>
    <row r="210" spans="1:27" ht="13.5" customHeight="1" x14ac:dyDescent="0.25">
      <c r="A210" s="9"/>
      <c r="B210" s="9"/>
      <c r="C210" s="175">
        <v>0.05</v>
      </c>
      <c r="D210" s="176">
        <v>0.2</v>
      </c>
      <c r="E210" s="121">
        <v>6</v>
      </c>
      <c r="F210" s="112">
        <f t="shared" ref="F210:F215" si="190">C210*D210*E210</f>
        <v>6.0000000000000012E-2</v>
      </c>
      <c r="G210" s="112">
        <f t="shared" ref="G210:G215" si="191">D210*E210</f>
        <v>1.2000000000000002</v>
      </c>
      <c r="H210" s="177">
        <v>240</v>
      </c>
      <c r="I210" s="114">
        <f t="shared" ref="I210:I213" si="192">ROUND(H210*1.1667,0)</f>
        <v>280</v>
      </c>
      <c r="J210" s="115">
        <f t="shared" ref="J210:J215" si="193">ROUND((I210*0.992)*1.21,0)*(C210*D210*E210)</f>
        <v>20.160000000000004</v>
      </c>
      <c r="K210" s="304">
        <v>95</v>
      </c>
      <c r="L210" s="305">
        <f t="shared" ref="L210:L218" si="194">IF($P$219&gt;=1,I210*((C210*D210*E210)*K210),J210*K210)</f>
        <v>1596.0000000000002</v>
      </c>
      <c r="M210" s="305">
        <f t="shared" ref="M210:M218" si="195">IF(C210=0,0,C210*MAX(1,ROUNDUP(K210/INT(1.1/D210),0)))</f>
        <v>0.95000000000000007</v>
      </c>
      <c r="N210" s="305">
        <f t="shared" ref="N210:N218" si="196">IF(D210=0,0,IF(D210*K210&lt;=1.1,D210*K210,INT(1.1/D210)*D210))</f>
        <v>1</v>
      </c>
      <c r="O210" s="305">
        <f t="shared" ref="O210:O218" si="197">E210</f>
        <v>6</v>
      </c>
      <c r="P210" s="358">
        <f t="shared" ref="P210:P218" si="198">ROUND((C210*D210*E210)*K210,2)</f>
        <v>5.7</v>
      </c>
      <c r="Q210" s="359"/>
      <c r="R210" s="305">
        <f t="shared" ref="R210:R218" si="199">P210*480</f>
        <v>2736</v>
      </c>
      <c r="S210" s="326"/>
      <c r="T210" s="43"/>
      <c r="U210" s="293"/>
      <c r="V210" s="291"/>
      <c r="W210" s="9"/>
      <c r="X210" s="295"/>
      <c r="Y210" s="9"/>
      <c r="Z210" s="9"/>
      <c r="AA210" s="9"/>
    </row>
    <row r="211" spans="1:27" ht="13.5" customHeight="1" x14ac:dyDescent="0.25">
      <c r="A211" s="9"/>
      <c r="B211" s="9"/>
      <c r="C211" s="175">
        <v>0.05</v>
      </c>
      <c r="D211" s="176">
        <v>0.2</v>
      </c>
      <c r="E211" s="121">
        <v>4.9000000000000004</v>
      </c>
      <c r="F211" s="112">
        <f t="shared" si="190"/>
        <v>4.9000000000000016E-2</v>
      </c>
      <c r="G211" s="112">
        <f t="shared" si="191"/>
        <v>0.98000000000000009</v>
      </c>
      <c r="H211" s="177">
        <v>240</v>
      </c>
      <c r="I211" s="114">
        <f t="shared" si="192"/>
        <v>280</v>
      </c>
      <c r="J211" s="115">
        <f t="shared" si="193"/>
        <v>16.464000000000006</v>
      </c>
      <c r="K211" s="304">
        <v>51</v>
      </c>
      <c r="L211" s="305">
        <f t="shared" si="194"/>
        <v>699.72000000000025</v>
      </c>
      <c r="M211" s="305">
        <f t="shared" si="195"/>
        <v>0.55000000000000004</v>
      </c>
      <c r="N211" s="305">
        <f t="shared" si="196"/>
        <v>1</v>
      </c>
      <c r="O211" s="305">
        <f t="shared" si="197"/>
        <v>4.9000000000000004</v>
      </c>
      <c r="P211" s="358">
        <f t="shared" si="198"/>
        <v>2.5</v>
      </c>
      <c r="Q211" s="359"/>
      <c r="R211" s="305">
        <f t="shared" si="199"/>
        <v>1200</v>
      </c>
      <c r="S211" s="42"/>
      <c r="T211" s="43"/>
      <c r="U211" s="293"/>
      <c r="V211" s="291"/>
      <c r="W211" s="9"/>
      <c r="X211" s="295"/>
      <c r="Y211" s="9"/>
      <c r="Z211" s="9"/>
      <c r="AA211" s="9"/>
    </row>
    <row r="212" spans="1:27" ht="13.5" customHeight="1" x14ac:dyDescent="0.25">
      <c r="A212" s="9"/>
      <c r="B212" s="9"/>
      <c r="C212" s="175">
        <v>0.1</v>
      </c>
      <c r="D212" s="176">
        <v>0.15</v>
      </c>
      <c r="E212" s="121">
        <v>6</v>
      </c>
      <c r="F212" s="112">
        <f t="shared" si="190"/>
        <v>0.09</v>
      </c>
      <c r="G212" s="112">
        <f t="shared" si="191"/>
        <v>0.89999999999999991</v>
      </c>
      <c r="H212" s="238">
        <v>240</v>
      </c>
      <c r="I212" s="114">
        <f t="shared" si="192"/>
        <v>280</v>
      </c>
      <c r="J212" s="115">
        <f t="shared" si="193"/>
        <v>30.24</v>
      </c>
      <c r="K212" s="304">
        <v>10</v>
      </c>
      <c r="L212" s="305">
        <f t="shared" si="194"/>
        <v>251.99999999999997</v>
      </c>
      <c r="M212" s="305">
        <f t="shared" si="195"/>
        <v>0.2</v>
      </c>
      <c r="N212" s="305">
        <f t="shared" si="196"/>
        <v>1.05</v>
      </c>
      <c r="O212" s="305">
        <f t="shared" si="197"/>
        <v>6</v>
      </c>
      <c r="P212" s="358">
        <f t="shared" si="198"/>
        <v>0.9</v>
      </c>
      <c r="Q212" s="359"/>
      <c r="R212" s="305">
        <f t="shared" si="199"/>
        <v>432</v>
      </c>
      <c r="S212" s="42"/>
      <c r="T212" s="43"/>
      <c r="U212" s="293"/>
      <c r="V212" s="291"/>
      <c r="W212" s="9"/>
      <c r="X212" s="295"/>
      <c r="Y212" s="9"/>
      <c r="Z212" s="9"/>
      <c r="AA212" s="9"/>
    </row>
    <row r="213" spans="1:27" ht="13.5" customHeight="1" x14ac:dyDescent="0.25">
      <c r="A213" s="9"/>
      <c r="B213" s="9"/>
      <c r="C213" s="175">
        <v>0.1</v>
      </c>
      <c r="D213" s="176">
        <v>0.1</v>
      </c>
      <c r="E213" s="121">
        <v>6</v>
      </c>
      <c r="F213" s="112">
        <f t="shared" si="190"/>
        <v>6.0000000000000012E-2</v>
      </c>
      <c r="G213" s="112">
        <f t="shared" si="191"/>
        <v>0.60000000000000009</v>
      </c>
      <c r="H213" s="177">
        <v>240</v>
      </c>
      <c r="I213" s="114">
        <f t="shared" si="192"/>
        <v>280</v>
      </c>
      <c r="J213" s="115">
        <f t="shared" si="193"/>
        <v>20.160000000000004</v>
      </c>
      <c r="K213" s="304">
        <v>10</v>
      </c>
      <c r="L213" s="305">
        <f t="shared" si="194"/>
        <v>168.00000000000003</v>
      </c>
      <c r="M213" s="305">
        <f t="shared" si="195"/>
        <v>0.1</v>
      </c>
      <c r="N213" s="305">
        <f t="shared" si="196"/>
        <v>1</v>
      </c>
      <c r="O213" s="305">
        <f t="shared" si="197"/>
        <v>6</v>
      </c>
      <c r="P213" s="358">
        <f t="shared" si="198"/>
        <v>0.6</v>
      </c>
      <c r="Q213" s="359"/>
      <c r="R213" s="305">
        <f t="shared" si="199"/>
        <v>288</v>
      </c>
      <c r="S213" s="326"/>
      <c r="T213" s="43"/>
      <c r="U213" s="293"/>
      <c r="V213" s="291"/>
      <c r="W213" s="9"/>
      <c r="X213" s="295"/>
      <c r="Y213" s="9"/>
      <c r="Z213" s="9"/>
      <c r="AA213" s="9"/>
    </row>
    <row r="214" spans="1:27" ht="13.5" customHeight="1" x14ac:dyDescent="0.25">
      <c r="A214" s="9"/>
      <c r="B214" s="9"/>
      <c r="C214" s="76">
        <v>2.3E-2</v>
      </c>
      <c r="D214" s="77">
        <v>0.1</v>
      </c>
      <c r="E214" s="78">
        <v>4.8</v>
      </c>
      <c r="F214" s="133">
        <f t="shared" si="190"/>
        <v>1.1039999999999999E-2</v>
      </c>
      <c r="G214" s="133">
        <f t="shared" si="191"/>
        <v>0.48</v>
      </c>
      <c r="H214" s="191">
        <v>228.8</v>
      </c>
      <c r="I214" s="114">
        <f>ROUND(H214*1.225,0)</f>
        <v>280</v>
      </c>
      <c r="J214" s="115">
        <f t="shared" si="193"/>
        <v>3.7094399999999998</v>
      </c>
      <c r="K214" s="304">
        <v>150</v>
      </c>
      <c r="L214" s="305">
        <f t="shared" si="194"/>
        <v>463.67999999999995</v>
      </c>
      <c r="M214" s="305">
        <f t="shared" si="195"/>
        <v>0.32200000000000001</v>
      </c>
      <c r="N214" s="305">
        <f t="shared" si="196"/>
        <v>1.1000000000000001</v>
      </c>
      <c r="O214" s="305">
        <f t="shared" si="197"/>
        <v>4.8</v>
      </c>
      <c r="P214" s="358">
        <f t="shared" si="198"/>
        <v>1.66</v>
      </c>
      <c r="Q214" s="359"/>
      <c r="R214" s="305">
        <f t="shared" si="199"/>
        <v>796.8</v>
      </c>
      <c r="S214" s="326"/>
      <c r="T214" s="43"/>
      <c r="U214" s="293"/>
      <c r="V214" s="291"/>
      <c r="W214" s="9"/>
      <c r="X214" s="295"/>
      <c r="Y214" s="9"/>
      <c r="Z214" s="9"/>
      <c r="AA214" s="9"/>
    </row>
    <row r="215" spans="1:27" ht="13.5" customHeight="1" x14ac:dyDescent="0.25">
      <c r="A215" s="9"/>
      <c r="B215" s="9"/>
      <c r="C215" s="175">
        <v>0.05</v>
      </c>
      <c r="D215" s="176">
        <v>0.05</v>
      </c>
      <c r="E215" s="121">
        <v>6</v>
      </c>
      <c r="F215" s="112">
        <f t="shared" si="190"/>
        <v>1.5000000000000003E-2</v>
      </c>
      <c r="G215" s="112">
        <f t="shared" si="191"/>
        <v>0.30000000000000004</v>
      </c>
      <c r="H215" s="177">
        <v>283</v>
      </c>
      <c r="I215" s="114">
        <f>ROUND(H215*1.1667,0)</f>
        <v>330</v>
      </c>
      <c r="J215" s="115">
        <f t="shared" si="193"/>
        <v>5.9400000000000013</v>
      </c>
      <c r="K215" s="304">
        <v>60</v>
      </c>
      <c r="L215" s="305">
        <f t="shared" si="194"/>
        <v>297.00000000000006</v>
      </c>
      <c r="M215" s="305">
        <f t="shared" si="195"/>
        <v>0.15000000000000002</v>
      </c>
      <c r="N215" s="305">
        <f t="shared" si="196"/>
        <v>1.1000000000000001</v>
      </c>
      <c r="O215" s="305">
        <f t="shared" si="197"/>
        <v>6</v>
      </c>
      <c r="P215" s="358">
        <f t="shared" si="198"/>
        <v>0.9</v>
      </c>
      <c r="Q215" s="359"/>
      <c r="R215" s="305">
        <f t="shared" si="199"/>
        <v>432</v>
      </c>
      <c r="S215" s="42"/>
      <c r="T215" s="43"/>
      <c r="U215" s="293"/>
      <c r="V215" s="291"/>
      <c r="W215" s="9"/>
      <c r="X215" s="295"/>
      <c r="Y215" s="9"/>
      <c r="Z215" s="9"/>
      <c r="AA215" s="9"/>
    </row>
    <row r="216" spans="1:27" ht="13.5" customHeight="1" x14ac:dyDescent="0.25">
      <c r="A216" s="9"/>
      <c r="B216" s="9"/>
      <c r="C216" s="131"/>
      <c r="D216" s="111"/>
      <c r="E216" s="132"/>
      <c r="F216" s="306"/>
      <c r="G216" s="306"/>
      <c r="H216" s="306"/>
      <c r="I216" s="306"/>
      <c r="J216" s="202"/>
      <c r="K216" s="304"/>
      <c r="L216" s="305">
        <f t="shared" si="194"/>
        <v>0</v>
      </c>
      <c r="M216" s="305">
        <f t="shared" si="195"/>
        <v>0</v>
      </c>
      <c r="N216" s="305">
        <f t="shared" si="196"/>
        <v>0</v>
      </c>
      <c r="O216" s="305">
        <f t="shared" si="197"/>
        <v>0</v>
      </c>
      <c r="P216" s="358">
        <f t="shared" si="198"/>
        <v>0</v>
      </c>
      <c r="Q216" s="359"/>
      <c r="R216" s="305">
        <f t="shared" si="199"/>
        <v>0</v>
      </c>
      <c r="S216" s="42"/>
      <c r="T216" s="43"/>
      <c r="U216" s="293"/>
      <c r="V216" s="291"/>
      <c r="W216" s="9"/>
      <c r="X216" s="295"/>
      <c r="Y216" s="9"/>
      <c r="Z216" s="9"/>
      <c r="AA216" s="9"/>
    </row>
    <row r="217" spans="1:27" ht="13.5" customHeight="1" x14ac:dyDescent="0.25">
      <c r="A217" s="9"/>
      <c r="B217" s="9"/>
      <c r="C217" s="54"/>
      <c r="D217" s="55"/>
      <c r="E217" s="56"/>
      <c r="F217" s="127"/>
      <c r="G217" s="127"/>
      <c r="H217" s="113"/>
      <c r="I217" s="306"/>
      <c r="J217" s="202"/>
      <c r="K217" s="307"/>
      <c r="L217" s="305">
        <f t="shared" si="194"/>
        <v>0</v>
      </c>
      <c r="M217" s="305">
        <f t="shared" si="195"/>
        <v>0</v>
      </c>
      <c r="N217" s="305">
        <f t="shared" si="196"/>
        <v>0</v>
      </c>
      <c r="O217" s="305">
        <f t="shared" si="197"/>
        <v>0</v>
      </c>
      <c r="P217" s="358">
        <f t="shared" si="198"/>
        <v>0</v>
      </c>
      <c r="Q217" s="359"/>
      <c r="R217" s="305">
        <f t="shared" si="199"/>
        <v>0</v>
      </c>
      <c r="S217" s="42"/>
      <c r="T217" s="43">
        <v>40</v>
      </c>
      <c r="U217" s="293"/>
      <c r="V217" s="291"/>
      <c r="W217" s="9"/>
      <c r="X217" s="295"/>
      <c r="Y217" s="9"/>
      <c r="Z217" s="9"/>
      <c r="AA217" s="9"/>
    </row>
    <row r="218" spans="1:27" ht="13.5" customHeight="1" x14ac:dyDescent="0.25">
      <c r="A218" s="9"/>
      <c r="B218" s="9"/>
      <c r="C218" s="110"/>
      <c r="D218" s="55"/>
      <c r="E218" s="56"/>
      <c r="F218" s="306"/>
      <c r="G218" s="306"/>
      <c r="H218" s="306"/>
      <c r="I218" s="306"/>
      <c r="J218" s="202"/>
      <c r="K218" s="307"/>
      <c r="L218" s="305">
        <f t="shared" si="194"/>
        <v>0</v>
      </c>
      <c r="M218" s="305">
        <f t="shared" si="195"/>
        <v>0</v>
      </c>
      <c r="N218" s="305">
        <f t="shared" si="196"/>
        <v>0</v>
      </c>
      <c r="O218" s="305">
        <f t="shared" si="197"/>
        <v>0</v>
      </c>
      <c r="P218" s="358">
        <f t="shared" si="198"/>
        <v>0</v>
      </c>
      <c r="Q218" s="359"/>
      <c r="R218" s="305">
        <f t="shared" si="199"/>
        <v>0</v>
      </c>
      <c r="S218" s="42"/>
      <c r="T218" s="43">
        <f>SUM(T210:T217)</f>
        <v>40</v>
      </c>
      <c r="U218" s="293"/>
      <c r="V218" s="291"/>
      <c r="W218" s="9"/>
      <c r="X218" s="295"/>
      <c r="Y218" s="9"/>
      <c r="Z218" s="9"/>
      <c r="AA218" s="9"/>
    </row>
    <row r="219" spans="1:27" ht="13.5" customHeight="1" x14ac:dyDescent="0.25">
      <c r="A219" s="9"/>
      <c r="B219" s="9"/>
      <c r="C219" s="360" t="s">
        <v>13</v>
      </c>
      <c r="D219" s="361"/>
      <c r="E219" s="361"/>
      <c r="F219" s="361"/>
      <c r="G219" s="361"/>
      <c r="H219" s="361"/>
      <c r="I219" s="361"/>
      <c r="J219" s="361"/>
      <c r="K219" s="359"/>
      <c r="L219" s="308">
        <f t="shared" ref="L219:M219" si="200">SUM(L210:L218)</f>
        <v>3476.4</v>
      </c>
      <c r="M219" s="308">
        <f t="shared" si="200"/>
        <v>2.2719999999999998</v>
      </c>
      <c r="N219" s="308">
        <f t="shared" ref="N219:O219" si="201">MAX(N210:N218)</f>
        <v>1.1000000000000001</v>
      </c>
      <c r="O219" s="308">
        <f t="shared" si="201"/>
        <v>6</v>
      </c>
      <c r="P219" s="362">
        <f>SUM(P210:P218)</f>
        <v>12.26</v>
      </c>
      <c r="Q219" s="359"/>
      <c r="R219" s="308">
        <f>SUM(R210:R218)</f>
        <v>5884.8</v>
      </c>
      <c r="S219" s="326"/>
      <c r="T219" s="43"/>
      <c r="U219" s="293"/>
      <c r="V219" s="291"/>
      <c r="W219" s="294"/>
      <c r="X219" s="295"/>
      <c r="Y219" s="9"/>
      <c r="Z219" s="9"/>
      <c r="AA219" s="9"/>
    </row>
    <row r="220" spans="1:27" ht="13.5" customHeight="1" x14ac:dyDescent="0.25">
      <c r="A220" s="9"/>
      <c r="B220" s="9"/>
      <c r="C220" s="376" t="s">
        <v>113</v>
      </c>
      <c r="D220" s="349"/>
      <c r="E220" s="349"/>
      <c r="F220" s="349"/>
      <c r="G220" s="349"/>
      <c r="H220" s="349"/>
      <c r="I220" s="349"/>
      <c r="J220" s="349"/>
      <c r="K220" s="349"/>
      <c r="L220" s="309"/>
      <c r="M220" s="9"/>
      <c r="N220" s="9"/>
      <c r="O220" s="42"/>
      <c r="P220" s="310"/>
      <c r="Q220" s="293"/>
      <c r="R220" s="291"/>
      <c r="S220" s="294"/>
      <c r="T220" s="295"/>
      <c r="U220" s="9"/>
      <c r="V220" s="9"/>
      <c r="W220" s="294"/>
      <c r="X220" s="9"/>
      <c r="Y220" s="9"/>
      <c r="Z220" s="298"/>
      <c r="AA220" s="298"/>
    </row>
    <row r="221" spans="1:27" ht="13.5" customHeight="1" x14ac:dyDescent="0.25">
      <c r="A221" s="9"/>
      <c r="B221" s="9"/>
      <c r="C221" s="9"/>
      <c r="D221" s="9"/>
      <c r="E221" s="9"/>
      <c r="F221" s="185"/>
      <c r="G221" s="185"/>
      <c r="H221" s="9"/>
      <c r="I221" s="311"/>
      <c r="J221" s="310"/>
      <c r="K221" s="291" t="s">
        <v>13</v>
      </c>
      <c r="L221" s="309">
        <f>L219+L220</f>
        <v>3476.4</v>
      </c>
      <c r="M221" s="9"/>
      <c r="N221" s="9"/>
      <c r="O221" s="42"/>
      <c r="P221" s="310"/>
      <c r="Q221" s="293"/>
      <c r="R221" s="291"/>
      <c r="S221" s="294"/>
      <c r="T221" s="295"/>
      <c r="U221" s="9"/>
      <c r="V221" s="9"/>
      <c r="W221" s="294"/>
      <c r="X221" s="9"/>
      <c r="Y221" s="9"/>
      <c r="Z221" s="298"/>
      <c r="AA221" s="298"/>
    </row>
    <row r="222" spans="1:27" ht="13.5" customHeight="1" x14ac:dyDescent="0.25">
      <c r="A222" s="9"/>
      <c r="B222" s="9"/>
      <c r="C222" s="9"/>
      <c r="D222" s="9"/>
      <c r="E222" s="9"/>
      <c r="F222" s="185"/>
      <c r="G222" s="185"/>
      <c r="H222" s="9"/>
      <c r="I222" s="311"/>
      <c r="J222" s="310"/>
      <c r="K222" s="291"/>
      <c r="L222" s="309"/>
      <c r="M222" s="9"/>
      <c r="N222" s="9"/>
      <c r="O222" s="42"/>
      <c r="P222" s="310"/>
      <c r="Q222" s="293"/>
      <c r="R222" s="291"/>
      <c r="S222" s="294"/>
      <c r="T222" s="295"/>
      <c r="U222" s="9"/>
      <c r="V222" s="9"/>
      <c r="W222" s="9"/>
      <c r="X222" s="9"/>
      <c r="Y222" s="9"/>
      <c r="Z222" s="298"/>
      <c r="AA222" s="298"/>
    </row>
    <row r="223" spans="1:27" ht="13.5" customHeight="1" x14ac:dyDescent="0.25">
      <c r="A223" s="9"/>
      <c r="B223" s="9"/>
      <c r="C223" s="363" t="s">
        <v>114</v>
      </c>
      <c r="D223" s="361"/>
      <c r="E223" s="361"/>
      <c r="F223" s="361"/>
      <c r="G223" s="361"/>
      <c r="H223" s="361"/>
      <c r="I223" s="361"/>
      <c r="J223" s="361"/>
      <c r="K223" s="361"/>
      <c r="L223" s="359"/>
      <c r="M223" s="363" t="s">
        <v>108</v>
      </c>
      <c r="N223" s="361"/>
      <c r="O223" s="361"/>
      <c r="P223" s="361"/>
      <c r="Q223" s="361"/>
      <c r="R223" s="359"/>
      <c r="S223" s="294"/>
      <c r="T223" s="295"/>
      <c r="U223" s="9"/>
      <c r="V223" s="9"/>
      <c r="W223" s="9"/>
      <c r="X223" s="9"/>
      <c r="Y223" s="9"/>
      <c r="Z223" s="298"/>
      <c r="AA223" s="298"/>
    </row>
    <row r="224" spans="1:27" ht="13.5" customHeight="1" x14ac:dyDescent="0.25">
      <c r="A224" s="9"/>
      <c r="B224" s="9"/>
      <c r="C224" s="299" t="s">
        <v>35</v>
      </c>
      <c r="D224" s="299" t="s">
        <v>24</v>
      </c>
      <c r="E224" s="299" t="s">
        <v>25</v>
      </c>
      <c r="F224" s="299" t="s">
        <v>36</v>
      </c>
      <c r="G224" s="300" t="s">
        <v>37</v>
      </c>
      <c r="H224" s="299"/>
      <c r="I224" s="301" t="s">
        <v>26</v>
      </c>
      <c r="J224" s="302" t="s">
        <v>27</v>
      </c>
      <c r="K224" s="303" t="s">
        <v>109</v>
      </c>
      <c r="L224" s="303" t="s">
        <v>110</v>
      </c>
      <c r="M224" s="299" t="s">
        <v>35</v>
      </c>
      <c r="N224" s="299" t="s">
        <v>24</v>
      </c>
      <c r="O224" s="299" t="s">
        <v>25</v>
      </c>
      <c r="P224" s="364" t="s">
        <v>111</v>
      </c>
      <c r="Q224" s="359"/>
      <c r="R224" s="303" t="s">
        <v>112</v>
      </c>
      <c r="S224" s="294"/>
      <c r="T224" s="295"/>
      <c r="U224" s="9"/>
      <c r="V224" s="9"/>
      <c r="W224" s="9"/>
      <c r="X224" s="9"/>
      <c r="Y224" s="9"/>
      <c r="Z224" s="298"/>
      <c r="AA224" s="298"/>
    </row>
    <row r="225" spans="1:27" ht="13.5" customHeight="1" x14ac:dyDescent="0.25">
      <c r="A225" s="9"/>
      <c r="B225" s="9"/>
      <c r="C225" s="175"/>
      <c r="D225" s="176"/>
      <c r="E225" s="121"/>
      <c r="F225" s="112"/>
      <c r="G225" s="112"/>
      <c r="H225" s="238"/>
      <c r="I225" s="114"/>
      <c r="J225" s="115"/>
      <c r="K225" s="304"/>
      <c r="L225" s="305">
        <f t="shared" ref="L225:L233" si="202">I225*((C225*D225*E225)*K225)</f>
        <v>0</v>
      </c>
      <c r="M225" s="305">
        <f t="shared" ref="M225:M233" si="203">IF(C225=0,0,C225*MAX(1,ROUNDUP(K225/INT(1.1/D225),0)))</f>
        <v>0</v>
      </c>
      <c r="N225" s="305">
        <f t="shared" ref="N225:N233" si="204">IF(D225=0,0,IF(D225*K225&lt;=1.1,D225*K225,INT(1.1/D225)*D225))</f>
        <v>0</v>
      </c>
      <c r="O225" s="305">
        <f t="shared" ref="O225:O233" si="205">E225</f>
        <v>0</v>
      </c>
      <c r="P225" s="358">
        <f t="shared" ref="P225:P233" si="206">ROUND((C225*D225*E225)*K225,2)</f>
        <v>0</v>
      </c>
      <c r="Q225" s="359"/>
      <c r="R225" s="305">
        <f t="shared" ref="R225:R233" si="207">P225*480</f>
        <v>0</v>
      </c>
      <c r="S225" s="294"/>
      <c r="T225" s="295"/>
      <c r="U225" s="9"/>
      <c r="V225" s="9"/>
      <c r="W225" s="9"/>
      <c r="X225" s="9"/>
      <c r="Y225" s="9"/>
      <c r="Z225" s="298"/>
      <c r="AA225" s="298"/>
    </row>
    <row r="226" spans="1:27" ht="13.5" customHeight="1" x14ac:dyDescent="0.25">
      <c r="A226" s="9"/>
      <c r="B226" s="9"/>
      <c r="C226" s="175"/>
      <c r="D226" s="176"/>
      <c r="E226" s="121"/>
      <c r="F226" s="112"/>
      <c r="G226" s="112"/>
      <c r="H226" s="238"/>
      <c r="I226" s="114"/>
      <c r="J226" s="115"/>
      <c r="K226" s="304"/>
      <c r="L226" s="305">
        <f t="shared" si="202"/>
        <v>0</v>
      </c>
      <c r="M226" s="305">
        <f t="shared" si="203"/>
        <v>0</v>
      </c>
      <c r="N226" s="305">
        <f t="shared" si="204"/>
        <v>0</v>
      </c>
      <c r="O226" s="305">
        <f t="shared" si="205"/>
        <v>0</v>
      </c>
      <c r="P226" s="358">
        <f t="shared" si="206"/>
        <v>0</v>
      </c>
      <c r="Q226" s="359"/>
      <c r="R226" s="305">
        <f t="shared" si="207"/>
        <v>0</v>
      </c>
      <c r="S226" s="294"/>
      <c r="T226" s="295"/>
      <c r="U226" s="9"/>
      <c r="V226" s="9"/>
      <c r="W226" s="9"/>
      <c r="X226" s="9"/>
      <c r="Y226" s="9"/>
      <c r="Z226" s="298"/>
      <c r="AA226" s="298"/>
    </row>
    <row r="227" spans="1:27" ht="13.5" customHeight="1" x14ac:dyDescent="0.25">
      <c r="A227" s="9"/>
      <c r="B227" s="9"/>
      <c r="C227" s="175"/>
      <c r="D227" s="176"/>
      <c r="E227" s="121"/>
      <c r="F227" s="112"/>
      <c r="G227" s="112"/>
      <c r="H227" s="238"/>
      <c r="I227" s="114"/>
      <c r="J227" s="115"/>
      <c r="K227" s="304"/>
      <c r="L227" s="305">
        <f t="shared" si="202"/>
        <v>0</v>
      </c>
      <c r="M227" s="305">
        <f t="shared" si="203"/>
        <v>0</v>
      </c>
      <c r="N227" s="305">
        <f t="shared" si="204"/>
        <v>0</v>
      </c>
      <c r="O227" s="305">
        <f t="shared" si="205"/>
        <v>0</v>
      </c>
      <c r="P227" s="358">
        <f t="shared" si="206"/>
        <v>0</v>
      </c>
      <c r="Q227" s="359"/>
      <c r="R227" s="305">
        <f t="shared" si="207"/>
        <v>0</v>
      </c>
      <c r="S227" s="294"/>
      <c r="T227" s="295"/>
      <c r="U227" s="9"/>
      <c r="V227" s="9"/>
      <c r="W227" s="9"/>
      <c r="X227" s="9"/>
      <c r="Y227" s="9"/>
      <c r="Z227" s="298"/>
      <c r="AA227" s="298"/>
    </row>
    <row r="228" spans="1:27" ht="13.5" customHeight="1" x14ac:dyDescent="0.25">
      <c r="A228" s="9"/>
      <c r="B228" s="9"/>
      <c r="C228" s="175"/>
      <c r="D228" s="176"/>
      <c r="E228" s="121"/>
      <c r="F228" s="112"/>
      <c r="G228" s="112"/>
      <c r="H228" s="238"/>
      <c r="I228" s="114"/>
      <c r="J228" s="115"/>
      <c r="K228" s="304"/>
      <c r="L228" s="305">
        <f t="shared" si="202"/>
        <v>0</v>
      </c>
      <c r="M228" s="305">
        <f t="shared" si="203"/>
        <v>0</v>
      </c>
      <c r="N228" s="305">
        <f t="shared" si="204"/>
        <v>0</v>
      </c>
      <c r="O228" s="305">
        <f t="shared" si="205"/>
        <v>0</v>
      </c>
      <c r="P228" s="358">
        <f t="shared" si="206"/>
        <v>0</v>
      </c>
      <c r="Q228" s="359"/>
      <c r="R228" s="305">
        <f t="shared" si="207"/>
        <v>0</v>
      </c>
      <c r="S228" s="294"/>
      <c r="T228" s="295"/>
      <c r="U228" s="9"/>
      <c r="V228" s="9"/>
      <c r="W228" s="9"/>
      <c r="X228" s="9"/>
      <c r="Y228" s="9"/>
      <c r="Z228" s="298"/>
      <c r="AA228" s="298"/>
    </row>
    <row r="229" spans="1:27" ht="13.5" customHeight="1" x14ac:dyDescent="0.25">
      <c r="A229" s="9"/>
      <c r="B229" s="9"/>
      <c r="C229" s="175"/>
      <c r="D229" s="176"/>
      <c r="E229" s="121"/>
      <c r="F229" s="112"/>
      <c r="G229" s="112"/>
      <c r="H229" s="177"/>
      <c r="I229" s="114"/>
      <c r="J229" s="115"/>
      <c r="K229" s="304"/>
      <c r="L229" s="305">
        <f t="shared" si="202"/>
        <v>0</v>
      </c>
      <c r="M229" s="305">
        <f t="shared" si="203"/>
        <v>0</v>
      </c>
      <c r="N229" s="305">
        <f t="shared" si="204"/>
        <v>0</v>
      </c>
      <c r="O229" s="305">
        <f t="shared" si="205"/>
        <v>0</v>
      </c>
      <c r="P229" s="358">
        <f t="shared" si="206"/>
        <v>0</v>
      </c>
      <c r="Q229" s="359"/>
      <c r="R229" s="305">
        <f t="shared" si="207"/>
        <v>0</v>
      </c>
      <c r="S229" s="294"/>
      <c r="T229" s="295"/>
      <c r="U229" s="9"/>
      <c r="V229" s="9"/>
      <c r="W229" s="9"/>
      <c r="X229" s="9"/>
      <c r="Y229" s="9"/>
      <c r="Z229" s="298"/>
      <c r="AA229" s="298"/>
    </row>
    <row r="230" spans="1:27" ht="13.5" customHeight="1" x14ac:dyDescent="0.25">
      <c r="A230" s="9"/>
      <c r="B230" s="9"/>
      <c r="C230" s="54"/>
      <c r="D230" s="55"/>
      <c r="E230" s="56"/>
      <c r="F230" s="112"/>
      <c r="G230" s="112"/>
      <c r="H230" s="177"/>
      <c r="I230" s="114"/>
      <c r="J230" s="115"/>
      <c r="K230" s="304"/>
      <c r="L230" s="305">
        <f t="shared" si="202"/>
        <v>0</v>
      </c>
      <c r="M230" s="305">
        <f t="shared" si="203"/>
        <v>0</v>
      </c>
      <c r="N230" s="305">
        <f t="shared" si="204"/>
        <v>0</v>
      </c>
      <c r="O230" s="305">
        <f t="shared" si="205"/>
        <v>0</v>
      </c>
      <c r="P230" s="358">
        <f t="shared" si="206"/>
        <v>0</v>
      </c>
      <c r="Q230" s="359"/>
      <c r="R230" s="305">
        <f t="shared" si="207"/>
        <v>0</v>
      </c>
      <c r="S230" s="294"/>
      <c r="T230" s="295"/>
      <c r="U230" s="9"/>
      <c r="V230" s="9"/>
      <c r="W230" s="9"/>
      <c r="X230" s="9"/>
      <c r="Y230" s="9"/>
      <c r="Z230" s="298"/>
      <c r="AA230" s="298"/>
    </row>
    <row r="231" spans="1:27" ht="13.5" customHeight="1" x14ac:dyDescent="0.25">
      <c r="A231" s="9"/>
      <c r="B231" s="9"/>
      <c r="C231" s="175"/>
      <c r="D231" s="176"/>
      <c r="E231" s="121"/>
      <c r="F231" s="112"/>
      <c r="G231" s="112"/>
      <c r="H231" s="113"/>
      <c r="I231" s="114"/>
      <c r="J231" s="115"/>
      <c r="K231" s="304"/>
      <c r="L231" s="305">
        <f t="shared" si="202"/>
        <v>0</v>
      </c>
      <c r="M231" s="305">
        <f t="shared" si="203"/>
        <v>0</v>
      </c>
      <c r="N231" s="305">
        <f t="shared" si="204"/>
        <v>0</v>
      </c>
      <c r="O231" s="305">
        <f t="shared" si="205"/>
        <v>0</v>
      </c>
      <c r="P231" s="358">
        <f t="shared" si="206"/>
        <v>0</v>
      </c>
      <c r="Q231" s="359"/>
      <c r="R231" s="305">
        <f t="shared" si="207"/>
        <v>0</v>
      </c>
      <c r="S231" s="294"/>
      <c r="T231" s="295"/>
      <c r="U231" s="9"/>
      <c r="V231" s="9"/>
      <c r="W231" s="9"/>
      <c r="X231" s="9"/>
      <c r="Y231" s="9"/>
      <c r="Z231" s="298"/>
      <c r="AA231" s="298"/>
    </row>
    <row r="232" spans="1:27" ht="13.5" customHeight="1" x14ac:dyDescent="0.25">
      <c r="A232" s="9"/>
      <c r="B232" s="9"/>
      <c r="C232" s="54"/>
      <c r="D232" s="55"/>
      <c r="E232" s="56"/>
      <c r="F232" s="112"/>
      <c r="G232" s="112"/>
      <c r="H232" s="177"/>
      <c r="I232" s="114"/>
      <c r="J232" s="115"/>
      <c r="K232" s="307"/>
      <c r="L232" s="305">
        <f t="shared" si="202"/>
        <v>0</v>
      </c>
      <c r="M232" s="305">
        <f t="shared" si="203"/>
        <v>0</v>
      </c>
      <c r="N232" s="305">
        <f t="shared" si="204"/>
        <v>0</v>
      </c>
      <c r="O232" s="305">
        <f t="shared" si="205"/>
        <v>0</v>
      </c>
      <c r="P232" s="358">
        <f t="shared" si="206"/>
        <v>0</v>
      </c>
      <c r="Q232" s="359"/>
      <c r="R232" s="305">
        <f t="shared" si="207"/>
        <v>0</v>
      </c>
      <c r="S232" s="294"/>
      <c r="T232" s="295"/>
      <c r="U232" s="9"/>
      <c r="V232" s="9"/>
      <c r="W232" s="9"/>
      <c r="X232" s="9"/>
      <c r="Y232" s="9"/>
      <c r="Z232" s="298"/>
      <c r="AA232" s="298"/>
    </row>
    <row r="233" spans="1:27" ht="13.5" customHeight="1" x14ac:dyDescent="0.25">
      <c r="A233" s="9"/>
      <c r="B233" s="9"/>
      <c r="C233" s="54"/>
      <c r="D233" s="55"/>
      <c r="E233" s="56"/>
      <c r="F233" s="112"/>
      <c r="G233" s="112"/>
      <c r="H233" s="177"/>
      <c r="I233" s="114"/>
      <c r="J233" s="115"/>
      <c r="K233" s="307"/>
      <c r="L233" s="305">
        <f t="shared" si="202"/>
        <v>0</v>
      </c>
      <c r="M233" s="305">
        <f t="shared" si="203"/>
        <v>0</v>
      </c>
      <c r="N233" s="305">
        <f t="shared" si="204"/>
        <v>0</v>
      </c>
      <c r="O233" s="305">
        <f t="shared" si="205"/>
        <v>0</v>
      </c>
      <c r="P233" s="358">
        <f t="shared" si="206"/>
        <v>0</v>
      </c>
      <c r="Q233" s="359"/>
      <c r="R233" s="305">
        <f t="shared" si="207"/>
        <v>0</v>
      </c>
      <c r="S233" s="294"/>
      <c r="T233" s="295"/>
      <c r="U233" s="9"/>
      <c r="V233" s="9"/>
      <c r="W233" s="9"/>
      <c r="X233" s="9"/>
      <c r="Y233" s="9"/>
      <c r="Z233" s="298"/>
      <c r="AA233" s="298"/>
    </row>
    <row r="234" spans="1:27" ht="13.5" customHeight="1" x14ac:dyDescent="0.25">
      <c r="A234" s="9"/>
      <c r="B234" s="9"/>
      <c r="C234" s="360" t="s">
        <v>13</v>
      </c>
      <c r="D234" s="361"/>
      <c r="E234" s="361"/>
      <c r="F234" s="361"/>
      <c r="G234" s="361"/>
      <c r="H234" s="361"/>
      <c r="I234" s="361"/>
      <c r="J234" s="361"/>
      <c r="K234" s="359"/>
      <c r="L234" s="308">
        <f t="shared" ref="L234:M234" si="208">SUM(L225:L233)</f>
        <v>0</v>
      </c>
      <c r="M234" s="308">
        <f t="shared" si="208"/>
        <v>0</v>
      </c>
      <c r="N234" s="308">
        <f t="shared" ref="N234:O234" si="209">MAX(N225:N233)</f>
        <v>0</v>
      </c>
      <c r="O234" s="308">
        <f t="shared" si="209"/>
        <v>0</v>
      </c>
      <c r="P234" s="362">
        <f>SUM(P225:P233)</f>
        <v>0</v>
      </c>
      <c r="Q234" s="359"/>
      <c r="R234" s="308">
        <f>SUM(R225:R233)</f>
        <v>0</v>
      </c>
      <c r="S234" s="294"/>
      <c r="T234" s="295"/>
      <c r="U234" s="9"/>
      <c r="V234" s="9"/>
      <c r="W234" s="9"/>
      <c r="X234" s="9"/>
      <c r="Y234" s="9"/>
      <c r="Z234" s="298"/>
      <c r="AA234" s="298"/>
    </row>
    <row r="235" spans="1:27" ht="13.5" customHeight="1" x14ac:dyDescent="0.25">
      <c r="A235" s="9"/>
      <c r="B235" s="9"/>
      <c r="C235" s="9"/>
      <c r="D235" s="9"/>
      <c r="E235" s="9"/>
      <c r="F235" s="185"/>
      <c r="G235" s="185"/>
      <c r="H235" s="9"/>
      <c r="I235" s="311"/>
      <c r="J235" s="310"/>
      <c r="K235" s="291" t="s">
        <v>113</v>
      </c>
      <c r="L235" s="309"/>
      <c r="M235" s="9"/>
      <c r="N235" s="9"/>
      <c r="O235" s="42"/>
      <c r="P235" s="310"/>
      <c r="Q235" s="293"/>
      <c r="R235" s="291"/>
      <c r="S235" s="294"/>
      <c r="T235" s="295"/>
      <c r="U235" s="9"/>
      <c r="V235" s="9"/>
      <c r="W235" s="9"/>
      <c r="X235" s="9"/>
      <c r="Y235" s="9"/>
      <c r="Z235" s="298"/>
      <c r="AA235" s="298"/>
    </row>
    <row r="236" spans="1:27" ht="13.5" customHeight="1" x14ac:dyDescent="0.25">
      <c r="A236" s="9"/>
      <c r="B236" s="9"/>
      <c r="C236" s="9"/>
      <c r="D236" s="9"/>
      <c r="E236" s="9"/>
      <c r="F236" s="185"/>
      <c r="G236" s="185"/>
      <c r="H236" s="9"/>
      <c r="I236" s="311"/>
      <c r="J236" s="310"/>
      <c r="K236" s="291" t="s">
        <v>115</v>
      </c>
      <c r="L236" s="309">
        <f>L234+L235</f>
        <v>0</v>
      </c>
      <c r="M236" s="9"/>
      <c r="N236" s="9"/>
      <c r="O236" s="42"/>
      <c r="P236" s="310"/>
      <c r="Q236" s="293"/>
      <c r="R236" s="291"/>
      <c r="S236" s="294"/>
      <c r="T236" s="295"/>
      <c r="U236" s="9"/>
      <c r="V236" s="9"/>
      <c r="W236" s="9"/>
      <c r="X236" s="9"/>
      <c r="Y236" s="9"/>
      <c r="Z236" s="298"/>
      <c r="AA236" s="298"/>
    </row>
    <row r="237" spans="1:27" ht="13.5" customHeight="1" x14ac:dyDescent="0.25">
      <c r="A237" s="9"/>
      <c r="B237" s="9"/>
      <c r="C237" s="9"/>
      <c r="D237" s="9"/>
      <c r="E237" s="9"/>
      <c r="F237" s="185"/>
      <c r="G237" s="185"/>
      <c r="H237" s="9"/>
      <c r="I237" s="311"/>
      <c r="J237" s="310"/>
      <c r="K237" s="291"/>
      <c r="L237" s="309"/>
      <c r="M237" s="9"/>
      <c r="N237" s="9"/>
      <c r="O237" s="42"/>
      <c r="P237" s="310"/>
      <c r="Q237" s="293"/>
      <c r="R237" s="291"/>
      <c r="S237" s="294"/>
      <c r="T237" s="295"/>
      <c r="U237" s="9"/>
      <c r="V237" s="9"/>
      <c r="W237" s="9"/>
      <c r="X237" s="9"/>
      <c r="Y237" s="9"/>
      <c r="Z237" s="298"/>
      <c r="AA237" s="298"/>
    </row>
    <row r="238" spans="1:27" ht="13.5" customHeight="1" x14ac:dyDescent="0.25">
      <c r="A238" s="9"/>
      <c r="B238" s="9"/>
      <c r="C238" s="363" t="s">
        <v>107</v>
      </c>
      <c r="D238" s="361"/>
      <c r="E238" s="361"/>
      <c r="F238" s="361"/>
      <c r="G238" s="361"/>
      <c r="H238" s="361"/>
      <c r="I238" s="361"/>
      <c r="J238" s="361"/>
      <c r="K238" s="361"/>
      <c r="L238" s="359"/>
      <c r="M238" s="363" t="s">
        <v>108</v>
      </c>
      <c r="N238" s="361"/>
      <c r="O238" s="361"/>
      <c r="P238" s="361"/>
      <c r="Q238" s="361"/>
      <c r="R238" s="359"/>
      <c r="S238" s="294"/>
      <c r="T238" s="295"/>
      <c r="U238" s="9"/>
      <c r="V238" s="9"/>
      <c r="W238" s="9"/>
      <c r="X238" s="9"/>
      <c r="Y238" s="9"/>
      <c r="Z238" s="298"/>
      <c r="AA238" s="298"/>
    </row>
    <row r="239" spans="1:27" ht="13.5" customHeight="1" x14ac:dyDescent="0.25">
      <c r="A239" s="9"/>
      <c r="B239" s="9"/>
      <c r="C239" s="299" t="s">
        <v>35</v>
      </c>
      <c r="D239" s="299" t="s">
        <v>24</v>
      </c>
      <c r="E239" s="299" t="s">
        <v>25</v>
      </c>
      <c r="F239" s="299" t="s">
        <v>36</v>
      </c>
      <c r="G239" s="300" t="s">
        <v>37</v>
      </c>
      <c r="H239" s="299"/>
      <c r="I239" s="301" t="s">
        <v>26</v>
      </c>
      <c r="J239" s="302" t="s">
        <v>27</v>
      </c>
      <c r="K239" s="303" t="s">
        <v>109</v>
      </c>
      <c r="L239" s="303" t="s">
        <v>110</v>
      </c>
      <c r="M239" s="299" t="s">
        <v>35</v>
      </c>
      <c r="N239" s="299" t="s">
        <v>24</v>
      </c>
      <c r="O239" s="299" t="s">
        <v>25</v>
      </c>
      <c r="P239" s="364" t="s">
        <v>111</v>
      </c>
      <c r="Q239" s="359"/>
      <c r="R239" s="303" t="s">
        <v>112</v>
      </c>
      <c r="S239" s="294"/>
      <c r="T239" s="295"/>
      <c r="U239" s="9"/>
      <c r="V239" s="9"/>
      <c r="W239" s="9"/>
      <c r="X239" s="9"/>
      <c r="Y239" s="9"/>
      <c r="Z239" s="298"/>
      <c r="AA239" s="298"/>
    </row>
    <row r="240" spans="1:27" ht="13.5" customHeight="1" x14ac:dyDescent="0.25">
      <c r="A240" s="9"/>
      <c r="B240" s="9"/>
      <c r="C240" s="175">
        <v>0.1</v>
      </c>
      <c r="D240" s="176">
        <v>0.1</v>
      </c>
      <c r="E240" s="121">
        <v>6</v>
      </c>
      <c r="F240" s="112">
        <f>C240*D240*E240</f>
        <v>6.0000000000000012E-2</v>
      </c>
      <c r="G240" s="112">
        <f>D240*E240</f>
        <v>0.60000000000000009</v>
      </c>
      <c r="H240" s="238">
        <v>240</v>
      </c>
      <c r="I240" s="114">
        <f>ROUND(H240*1.1667,0)</f>
        <v>280</v>
      </c>
      <c r="J240" s="115">
        <f>ROUND((I240*0.992)*1.21,0)*(C240*D240*E240)</f>
        <v>20.160000000000004</v>
      </c>
      <c r="K240" s="304">
        <v>35</v>
      </c>
      <c r="L240" s="305">
        <f t="shared" ref="L240:L248" si="210">IF($P$249&gt;=1,I240*((C240*D240*E240)*K240),J240*K240)</f>
        <v>588.00000000000011</v>
      </c>
      <c r="M240" s="305">
        <f t="shared" ref="M240:M248" si="211">IF(C240=0,0,C240*MAX(1,ROUNDUP(K240/INT(1.1/D240),0)))</f>
        <v>0.4</v>
      </c>
      <c r="N240" s="305">
        <f t="shared" ref="N240:N248" si="212">IF(D240=0,0,IF(D240*K240&lt;=1.1,D240*K240,INT(1.1/D240)*D240))</f>
        <v>1.1000000000000001</v>
      </c>
      <c r="O240" s="305">
        <f t="shared" ref="O240:O248" si="213">E240</f>
        <v>6</v>
      </c>
      <c r="P240" s="358">
        <f t="shared" ref="P240:P248" si="214">ROUND((C240*D240*E240)*K240,2)</f>
        <v>2.1</v>
      </c>
      <c r="Q240" s="359"/>
      <c r="R240" s="305">
        <f t="shared" ref="R240:R248" si="215">P240*480</f>
        <v>1008</v>
      </c>
      <c r="S240" s="294">
        <f>L240*1.21</f>
        <v>711.48000000000013</v>
      </c>
      <c r="T240" s="295">
        <f>2690/300</f>
        <v>8.9666666666666668</v>
      </c>
      <c r="U240" s="9"/>
      <c r="V240" s="9"/>
      <c r="W240" s="9"/>
      <c r="X240" s="9"/>
      <c r="Y240" s="9"/>
      <c r="Z240" s="298"/>
      <c r="AA240" s="298"/>
    </row>
    <row r="241" spans="1:27" ht="13.5" customHeight="1" x14ac:dyDescent="0.25">
      <c r="A241" s="9"/>
      <c r="B241" s="9"/>
      <c r="C241" s="175"/>
      <c r="D241" s="176"/>
      <c r="E241" s="121"/>
      <c r="F241" s="112"/>
      <c r="G241" s="112"/>
      <c r="H241" s="238"/>
      <c r="I241" s="114"/>
      <c r="J241" s="115"/>
      <c r="K241" s="304"/>
      <c r="L241" s="305">
        <f t="shared" si="210"/>
        <v>0</v>
      </c>
      <c r="M241" s="305">
        <f t="shared" si="211"/>
        <v>0</v>
      </c>
      <c r="N241" s="305">
        <f t="shared" si="212"/>
        <v>0</v>
      </c>
      <c r="O241" s="305">
        <f t="shared" si="213"/>
        <v>0</v>
      </c>
      <c r="P241" s="358">
        <f t="shared" si="214"/>
        <v>0</v>
      </c>
      <c r="Q241" s="359"/>
      <c r="R241" s="305">
        <f t="shared" si="215"/>
        <v>0</v>
      </c>
      <c r="S241" s="9">
        <f>53/15</f>
        <v>3.5333333333333332</v>
      </c>
      <c r="T241" s="295"/>
      <c r="U241" s="9"/>
      <c r="V241" s="9"/>
      <c r="W241" s="9"/>
      <c r="X241" s="9"/>
      <c r="Y241" s="9"/>
      <c r="Z241" s="298"/>
      <c r="AA241" s="298"/>
    </row>
    <row r="242" spans="1:27" ht="13.5" customHeight="1" x14ac:dyDescent="0.25">
      <c r="A242" s="9"/>
      <c r="B242" s="9"/>
      <c r="C242" s="175"/>
      <c r="D242" s="176"/>
      <c r="E242" s="121"/>
      <c r="F242" s="112"/>
      <c r="G242" s="112"/>
      <c r="H242" s="177"/>
      <c r="I242" s="114"/>
      <c r="J242" s="115"/>
      <c r="K242" s="304"/>
      <c r="L242" s="305">
        <f t="shared" si="210"/>
        <v>0</v>
      </c>
      <c r="M242" s="305">
        <f t="shared" si="211"/>
        <v>0</v>
      </c>
      <c r="N242" s="305">
        <f t="shared" si="212"/>
        <v>0</v>
      </c>
      <c r="O242" s="305">
        <f t="shared" si="213"/>
        <v>0</v>
      </c>
      <c r="P242" s="358">
        <f t="shared" si="214"/>
        <v>0</v>
      </c>
      <c r="Q242" s="359"/>
      <c r="R242" s="305">
        <f t="shared" si="215"/>
        <v>0</v>
      </c>
      <c r="S242" s="294">
        <f>15*3.5</f>
        <v>52.5</v>
      </c>
      <c r="T242" s="295"/>
      <c r="U242" s="9"/>
      <c r="V242" s="9"/>
      <c r="W242" s="9"/>
      <c r="X242" s="9"/>
      <c r="Y242" s="9"/>
      <c r="Z242" s="298"/>
      <c r="AA242" s="298"/>
    </row>
    <row r="243" spans="1:27" ht="13.5" customHeight="1" x14ac:dyDescent="0.25">
      <c r="A243" s="9"/>
      <c r="B243" s="9"/>
      <c r="C243" s="175"/>
      <c r="D243" s="176"/>
      <c r="E243" s="121"/>
      <c r="F243" s="112"/>
      <c r="G243" s="112"/>
      <c r="H243" s="177"/>
      <c r="I243" s="114"/>
      <c r="J243" s="115"/>
      <c r="K243" s="304"/>
      <c r="L243" s="305">
        <f t="shared" si="210"/>
        <v>0</v>
      </c>
      <c r="M243" s="305">
        <f t="shared" si="211"/>
        <v>0</v>
      </c>
      <c r="N243" s="305">
        <f t="shared" si="212"/>
        <v>0</v>
      </c>
      <c r="O243" s="305">
        <f t="shared" si="213"/>
        <v>0</v>
      </c>
      <c r="P243" s="358">
        <f t="shared" si="214"/>
        <v>0</v>
      </c>
      <c r="Q243" s="359"/>
      <c r="R243" s="305">
        <f t="shared" si="215"/>
        <v>0</v>
      </c>
      <c r="S243" s="294"/>
      <c r="T243" s="295"/>
      <c r="U243" s="9"/>
      <c r="V243" s="9"/>
      <c r="W243" s="9"/>
      <c r="X243" s="9"/>
      <c r="Y243" s="9"/>
      <c r="Z243" s="298"/>
      <c r="AA243" s="298"/>
    </row>
    <row r="244" spans="1:27" ht="13.5" customHeight="1" x14ac:dyDescent="0.25">
      <c r="A244" s="9"/>
      <c r="B244" s="9"/>
      <c r="C244" s="175"/>
      <c r="D244" s="176"/>
      <c r="E244" s="121"/>
      <c r="F244" s="112"/>
      <c r="G244" s="112"/>
      <c r="H244" s="177"/>
      <c r="I244" s="114"/>
      <c r="J244" s="115"/>
      <c r="K244" s="304"/>
      <c r="L244" s="305">
        <f t="shared" si="210"/>
        <v>0</v>
      </c>
      <c r="M244" s="305">
        <f t="shared" si="211"/>
        <v>0</v>
      </c>
      <c r="N244" s="305">
        <f t="shared" si="212"/>
        <v>0</v>
      </c>
      <c r="O244" s="305">
        <f t="shared" si="213"/>
        <v>0</v>
      </c>
      <c r="P244" s="358">
        <f t="shared" si="214"/>
        <v>0</v>
      </c>
      <c r="Q244" s="359"/>
      <c r="R244" s="305">
        <f t="shared" si="215"/>
        <v>0</v>
      </c>
      <c r="S244" s="9">
        <f>770/250</f>
        <v>3.08</v>
      </c>
      <c r="T244" s="295"/>
      <c r="U244" s="9"/>
      <c r="V244" s="9"/>
      <c r="W244" s="9"/>
      <c r="X244" s="9"/>
      <c r="Y244" s="9"/>
      <c r="Z244" s="298"/>
      <c r="AA244" s="298"/>
    </row>
    <row r="245" spans="1:27" ht="13.5" customHeight="1" x14ac:dyDescent="0.25">
      <c r="A245" s="9"/>
      <c r="B245" s="9"/>
      <c r="C245" s="175"/>
      <c r="D245" s="176"/>
      <c r="E245" s="121"/>
      <c r="F245" s="112"/>
      <c r="G245" s="112"/>
      <c r="H245" s="177"/>
      <c r="I245" s="114"/>
      <c r="J245" s="115"/>
      <c r="K245" s="304"/>
      <c r="L245" s="305">
        <f t="shared" si="210"/>
        <v>0</v>
      </c>
      <c r="M245" s="305">
        <f t="shared" si="211"/>
        <v>0</v>
      </c>
      <c r="N245" s="305">
        <f t="shared" si="212"/>
        <v>0</v>
      </c>
      <c r="O245" s="305">
        <f t="shared" si="213"/>
        <v>0</v>
      </c>
      <c r="P245" s="358">
        <f t="shared" si="214"/>
        <v>0</v>
      </c>
      <c r="Q245" s="359"/>
      <c r="R245" s="305">
        <f t="shared" si="215"/>
        <v>0</v>
      </c>
      <c r="S245" s="9">
        <f>1235/400</f>
        <v>3.0874999999999999</v>
      </c>
      <c r="T245" s="295"/>
      <c r="U245" s="9"/>
      <c r="V245" s="9"/>
      <c r="W245" s="9"/>
      <c r="X245" s="9"/>
      <c r="Y245" s="9"/>
      <c r="Z245" s="298"/>
      <c r="AA245" s="298"/>
    </row>
    <row r="246" spans="1:27" ht="13.5" customHeight="1" x14ac:dyDescent="0.25">
      <c r="A246" s="9"/>
      <c r="B246" s="9"/>
      <c r="C246" s="175"/>
      <c r="D246" s="176"/>
      <c r="E246" s="121"/>
      <c r="F246" s="112"/>
      <c r="G246" s="112"/>
      <c r="H246" s="177"/>
      <c r="I246" s="114"/>
      <c r="J246" s="115"/>
      <c r="K246" s="304"/>
      <c r="L246" s="305">
        <f t="shared" si="210"/>
        <v>0</v>
      </c>
      <c r="M246" s="305">
        <f t="shared" si="211"/>
        <v>0</v>
      </c>
      <c r="N246" s="305">
        <f t="shared" si="212"/>
        <v>0</v>
      </c>
      <c r="O246" s="305">
        <f t="shared" si="213"/>
        <v>0</v>
      </c>
      <c r="P246" s="358">
        <f t="shared" si="214"/>
        <v>0</v>
      </c>
      <c r="Q246" s="359"/>
      <c r="R246" s="305">
        <f t="shared" si="215"/>
        <v>0</v>
      </c>
      <c r="S246" s="9">
        <f>100/120</f>
        <v>0.83333333333333337</v>
      </c>
      <c r="T246" s="295"/>
      <c r="U246" s="9"/>
      <c r="V246" s="9"/>
      <c r="W246" s="9"/>
      <c r="X246" s="9"/>
      <c r="Y246" s="9"/>
      <c r="Z246" s="298"/>
      <c r="AA246" s="298"/>
    </row>
    <row r="247" spans="1:27" ht="13.5" customHeight="1" x14ac:dyDescent="0.25">
      <c r="A247" s="9"/>
      <c r="B247" s="9"/>
      <c r="C247" s="175"/>
      <c r="D247" s="176"/>
      <c r="E247" s="121"/>
      <c r="F247" s="112"/>
      <c r="G247" s="112"/>
      <c r="H247" s="177"/>
      <c r="I247" s="114"/>
      <c r="J247" s="115"/>
      <c r="K247" s="304"/>
      <c r="L247" s="305">
        <f t="shared" si="210"/>
        <v>0</v>
      </c>
      <c r="M247" s="305">
        <f t="shared" si="211"/>
        <v>0</v>
      </c>
      <c r="N247" s="305">
        <f t="shared" si="212"/>
        <v>0</v>
      </c>
      <c r="O247" s="305">
        <f t="shared" si="213"/>
        <v>0</v>
      </c>
      <c r="P247" s="358">
        <f t="shared" si="214"/>
        <v>0</v>
      </c>
      <c r="Q247" s="359"/>
      <c r="R247" s="305">
        <f t="shared" si="215"/>
        <v>0</v>
      </c>
      <c r="S247" s="294"/>
      <c r="T247" s="295"/>
      <c r="U247" s="9"/>
      <c r="V247" s="9"/>
      <c r="W247" s="9"/>
      <c r="X247" s="9"/>
      <c r="Y247" s="9"/>
      <c r="Z247" s="298"/>
      <c r="AA247" s="298"/>
    </row>
    <row r="248" spans="1:27" ht="13.5" customHeight="1" x14ac:dyDescent="0.25">
      <c r="A248" s="9"/>
      <c r="B248" s="9"/>
      <c r="C248" s="175"/>
      <c r="D248" s="176"/>
      <c r="E248" s="121"/>
      <c r="F248" s="112"/>
      <c r="G248" s="112"/>
      <c r="H248" s="177"/>
      <c r="I248" s="114"/>
      <c r="J248" s="115"/>
      <c r="K248" s="304"/>
      <c r="L248" s="305">
        <f t="shared" si="210"/>
        <v>0</v>
      </c>
      <c r="M248" s="305">
        <f t="shared" si="211"/>
        <v>0</v>
      </c>
      <c r="N248" s="305">
        <f t="shared" si="212"/>
        <v>0</v>
      </c>
      <c r="O248" s="305">
        <f t="shared" si="213"/>
        <v>0</v>
      </c>
      <c r="P248" s="358">
        <f t="shared" si="214"/>
        <v>0</v>
      </c>
      <c r="Q248" s="359"/>
      <c r="R248" s="305">
        <f t="shared" si="215"/>
        <v>0</v>
      </c>
      <c r="S248" s="294"/>
      <c r="T248" s="295"/>
      <c r="U248" s="9"/>
      <c r="V248" s="9"/>
      <c r="W248" s="9"/>
      <c r="X248" s="9"/>
      <c r="Y248" s="9"/>
      <c r="Z248" s="298"/>
      <c r="AA248" s="298"/>
    </row>
    <row r="249" spans="1:27" ht="13.5" customHeight="1" x14ac:dyDescent="0.25">
      <c r="A249" s="9"/>
      <c r="B249" s="9"/>
      <c r="C249" s="360" t="s">
        <v>13</v>
      </c>
      <c r="D249" s="361"/>
      <c r="E249" s="361"/>
      <c r="F249" s="361"/>
      <c r="G249" s="361"/>
      <c r="H249" s="361"/>
      <c r="I249" s="361"/>
      <c r="J249" s="361"/>
      <c r="K249" s="359"/>
      <c r="L249" s="308">
        <f t="shared" ref="L249:M249" si="216">SUM(L240:L248)</f>
        <v>588.00000000000011</v>
      </c>
      <c r="M249" s="308">
        <f t="shared" si="216"/>
        <v>0.4</v>
      </c>
      <c r="N249" s="308">
        <f t="shared" ref="N249:O249" si="217">MAX(N240:N248)</f>
        <v>1.1000000000000001</v>
      </c>
      <c r="O249" s="308">
        <f t="shared" si="217"/>
        <v>6</v>
      </c>
      <c r="P249" s="362">
        <f>SUM(P240:P248)</f>
        <v>2.1</v>
      </c>
      <c r="Q249" s="359"/>
      <c r="R249" s="308">
        <f>SUM(R240:R248)</f>
        <v>1008</v>
      </c>
      <c r="S249" s="294"/>
      <c r="T249" s="295"/>
      <c r="U249" s="9"/>
      <c r="V249" s="9"/>
      <c r="W249" s="9"/>
      <c r="X249" s="9"/>
      <c r="Y249" s="9"/>
      <c r="Z249" s="298"/>
      <c r="AA249" s="298"/>
    </row>
    <row r="250" spans="1:27" ht="13.5" customHeight="1" x14ac:dyDescent="0.25">
      <c r="A250" s="9"/>
      <c r="B250" s="9"/>
      <c r="C250" s="9"/>
      <c r="D250" s="9"/>
      <c r="E250" s="9"/>
      <c r="F250" s="185"/>
      <c r="G250" s="185"/>
      <c r="H250" s="9"/>
      <c r="I250" s="311"/>
      <c r="J250" s="310"/>
      <c r="K250" s="291" t="s">
        <v>113</v>
      </c>
      <c r="L250" s="309">
        <v>120</v>
      </c>
      <c r="M250" s="9"/>
      <c r="N250" s="9"/>
      <c r="O250" s="42"/>
      <c r="P250" s="310"/>
      <c r="Q250" s="293"/>
      <c r="R250" s="291"/>
      <c r="S250" s="294"/>
      <c r="T250" s="295"/>
      <c r="U250" s="9"/>
      <c r="V250" s="9"/>
      <c r="W250" s="9"/>
      <c r="X250" s="9"/>
      <c r="Y250" s="9"/>
      <c r="Z250" s="298"/>
      <c r="AA250" s="298"/>
    </row>
    <row r="251" spans="1:27" ht="13.5" customHeight="1" x14ac:dyDescent="0.25">
      <c r="A251" s="9"/>
      <c r="B251" s="9"/>
      <c r="C251" s="9"/>
      <c r="D251" s="9"/>
      <c r="E251" s="9"/>
      <c r="F251" s="185"/>
      <c r="G251" s="185"/>
      <c r="H251" s="9"/>
      <c r="I251" s="311"/>
      <c r="J251" s="310"/>
      <c r="K251" s="291" t="s">
        <v>115</v>
      </c>
      <c r="L251" s="309">
        <f>L249+L250</f>
        <v>708.00000000000011</v>
      </c>
      <c r="M251" s="9"/>
      <c r="N251" s="9"/>
      <c r="O251" s="42"/>
      <c r="P251" s="310"/>
      <c r="Q251" s="293"/>
      <c r="R251" s="291"/>
      <c r="S251" s="294"/>
      <c r="T251" s="295"/>
      <c r="U251" s="9"/>
      <c r="V251" s="9"/>
      <c r="W251" s="9"/>
      <c r="X251" s="9"/>
      <c r="Y251" s="9"/>
      <c r="Z251" s="298"/>
      <c r="AA251" s="298"/>
    </row>
    <row r="252" spans="1:27" ht="13.5" customHeight="1" x14ac:dyDescent="0.25">
      <c r="A252" s="9"/>
      <c r="B252" s="9"/>
      <c r="C252" s="312"/>
      <c r="D252" s="312"/>
      <c r="E252" s="313"/>
      <c r="F252" s="314"/>
      <c r="G252" s="314"/>
      <c r="H252" s="315"/>
      <c r="I252" s="316"/>
      <c r="J252" s="317"/>
      <c r="K252" s="318"/>
      <c r="L252" s="309"/>
      <c r="M252" s="9"/>
      <c r="N252" s="9"/>
      <c r="O252" s="42"/>
      <c r="P252" s="310"/>
      <c r="Q252" s="293"/>
      <c r="R252" s="291"/>
      <c r="S252" s="294"/>
      <c r="T252" s="295"/>
      <c r="U252" s="9"/>
      <c r="V252" s="9"/>
      <c r="W252" s="9"/>
      <c r="X252" s="9"/>
      <c r="Y252" s="9"/>
      <c r="Z252" s="298"/>
      <c r="AA252" s="298"/>
    </row>
    <row r="253" spans="1:27" ht="13.5" customHeight="1" x14ac:dyDescent="0.25">
      <c r="A253" s="9"/>
      <c r="B253" s="9"/>
      <c r="C253" s="312"/>
      <c r="D253" s="312"/>
      <c r="E253" s="313"/>
      <c r="F253" s="314"/>
      <c r="G253" s="314"/>
      <c r="H253" s="315"/>
      <c r="I253" s="316"/>
      <c r="J253" s="317"/>
      <c r="K253" s="318"/>
      <c r="L253" s="309"/>
      <c r="M253" s="9"/>
      <c r="N253" s="9"/>
      <c r="O253" s="42"/>
      <c r="P253" s="310"/>
      <c r="Q253" s="293"/>
      <c r="R253" s="291"/>
      <c r="S253" s="294"/>
      <c r="T253" s="295"/>
      <c r="U253" s="9"/>
      <c r="V253" s="9"/>
      <c r="W253" s="9"/>
      <c r="X253" s="9"/>
      <c r="Y253" s="9"/>
      <c r="Z253" s="298"/>
      <c r="AA253" s="298"/>
    </row>
    <row r="254" spans="1:27" ht="13.5" customHeight="1" x14ac:dyDescent="0.25">
      <c r="A254" s="9"/>
      <c r="B254" s="9"/>
      <c r="C254" s="312"/>
      <c r="D254" s="312"/>
      <c r="E254" s="313"/>
      <c r="F254" s="314"/>
      <c r="G254" s="314"/>
      <c r="H254" s="315"/>
      <c r="I254" s="316"/>
      <c r="J254" s="317"/>
      <c r="K254" s="318"/>
      <c r="L254" s="309"/>
      <c r="M254" s="9"/>
      <c r="N254" s="9"/>
      <c r="O254" s="42"/>
      <c r="P254" s="310"/>
      <c r="Q254" s="293"/>
      <c r="R254" s="291"/>
      <c r="S254" s="294"/>
      <c r="T254" s="295"/>
      <c r="U254" s="9"/>
      <c r="V254" s="9"/>
      <c r="W254" s="9"/>
      <c r="X254" s="9"/>
      <c r="Y254" s="9"/>
      <c r="Z254" s="298"/>
      <c r="AA254" s="298"/>
    </row>
    <row r="255" spans="1:27" ht="13.5" customHeight="1" x14ac:dyDescent="0.25">
      <c r="A255" s="9"/>
      <c r="B255" s="9"/>
      <c r="C255" s="312"/>
      <c r="D255" s="312"/>
      <c r="E255" s="313"/>
      <c r="F255" s="314"/>
      <c r="G255" s="314"/>
      <c r="H255" s="315"/>
      <c r="I255" s="316" t="s">
        <v>116</v>
      </c>
      <c r="J255" s="317" t="s">
        <v>117</v>
      </c>
      <c r="K255" s="318"/>
      <c r="L255" s="309"/>
      <c r="M255" s="9"/>
      <c r="N255" s="9"/>
      <c r="O255" s="42"/>
      <c r="P255" s="310"/>
      <c r="Q255" s="293"/>
      <c r="R255" s="291"/>
      <c r="S255" s="294"/>
      <c r="T255" s="295"/>
      <c r="U255" s="9"/>
      <c r="V255" s="9"/>
      <c r="W255" s="9"/>
      <c r="X255" s="9"/>
      <c r="Y255" s="9"/>
      <c r="Z255" s="298"/>
      <c r="AA255" s="298"/>
    </row>
    <row r="256" spans="1:27" ht="13.5" customHeight="1" x14ac:dyDescent="0.25">
      <c r="A256" s="9"/>
      <c r="B256" s="9"/>
      <c r="C256" s="110">
        <f t="shared" ref="C256:D256" si="218">C258+0.004</f>
        <v>2.5000000000000001E-2</v>
      </c>
      <c r="D256" s="110">
        <f t="shared" si="218"/>
        <v>0.17400000000000002</v>
      </c>
      <c r="E256" s="56">
        <f>E258</f>
        <v>6</v>
      </c>
      <c r="F256" s="112"/>
      <c r="G256" s="112"/>
      <c r="H256" s="113"/>
      <c r="I256" s="319">
        <v>300</v>
      </c>
      <c r="J256" s="320">
        <f>J258</f>
        <v>46.685340802987852</v>
      </c>
      <c r="K256" s="116">
        <f>J256*(C256*D256*E256)</f>
        <v>1.2184873949579831</v>
      </c>
      <c r="L256" s="309">
        <f>I256*K256</f>
        <v>365.54621848739492</v>
      </c>
      <c r="M256" s="9"/>
      <c r="N256" s="9"/>
      <c r="O256" s="42"/>
      <c r="P256" s="310"/>
      <c r="Q256" s="293"/>
      <c r="R256" s="291"/>
      <c r="S256" s="294"/>
      <c r="T256" s="295"/>
      <c r="U256" s="9"/>
      <c r="V256" s="9"/>
      <c r="W256" s="9"/>
      <c r="X256" s="9"/>
      <c r="Y256" s="9"/>
      <c r="Z256" s="298"/>
      <c r="AA256" s="298"/>
    </row>
    <row r="257" spans="1:27" ht="13.5" customHeight="1" x14ac:dyDescent="0.25">
      <c r="A257" s="9"/>
      <c r="B257" s="9"/>
      <c r="C257" s="312"/>
      <c r="D257" s="321"/>
      <c r="E257" s="313"/>
      <c r="F257" s="314"/>
      <c r="G257" s="314"/>
      <c r="H257" s="315"/>
      <c r="I257" s="322"/>
      <c r="J257" s="323"/>
      <c r="K257" s="318"/>
      <c r="L257" s="309"/>
      <c r="M257" s="9"/>
      <c r="N257" s="9"/>
      <c r="O257" s="42"/>
      <c r="P257" s="310"/>
      <c r="Q257" s="293"/>
      <c r="R257" s="291"/>
      <c r="S257" s="294"/>
      <c r="T257" s="295"/>
      <c r="U257" s="9"/>
      <c r="V257" s="9"/>
      <c r="W257" s="9"/>
      <c r="X257" s="9"/>
      <c r="Y257" s="9"/>
      <c r="Z257" s="298"/>
      <c r="AA257" s="298"/>
    </row>
    <row r="258" spans="1:27" ht="13.5" customHeight="1" x14ac:dyDescent="0.25">
      <c r="A258" s="9"/>
      <c r="B258" s="9"/>
      <c r="C258" s="175">
        <v>2.1000000000000001E-2</v>
      </c>
      <c r="D258" s="176">
        <v>0.17</v>
      </c>
      <c r="E258" s="121">
        <v>6</v>
      </c>
      <c r="F258" s="112"/>
      <c r="G258" s="112"/>
      <c r="H258" s="113"/>
      <c r="I258" s="319">
        <f>L256+L258</f>
        <v>465.54621848739492</v>
      </c>
      <c r="J258" s="320">
        <f>1/(C258*D258*E258)</f>
        <v>46.685340802987852</v>
      </c>
      <c r="K258" s="116"/>
      <c r="L258" s="309">
        <v>100</v>
      </c>
      <c r="M258" s="9"/>
      <c r="N258" s="9"/>
      <c r="O258" s="42"/>
      <c r="P258" s="310"/>
      <c r="Q258" s="293"/>
      <c r="R258" s="291"/>
      <c r="S258" s="294"/>
      <c r="T258" s="295"/>
      <c r="U258" s="9"/>
      <c r="V258" s="9"/>
      <c r="W258" s="9"/>
      <c r="X258" s="9"/>
      <c r="Y258" s="9"/>
      <c r="Z258" s="298"/>
      <c r="AA258" s="298"/>
    </row>
    <row r="259" spans="1:27" ht="13.5" customHeight="1" x14ac:dyDescent="0.25">
      <c r="A259" s="9"/>
      <c r="B259" s="9"/>
      <c r="C259" s="9"/>
      <c r="D259" s="9"/>
      <c r="E259" s="9"/>
      <c r="F259" s="185"/>
      <c r="G259" s="185"/>
      <c r="H259" s="9"/>
      <c r="I259" s="311"/>
      <c r="J259" s="310"/>
      <c r="K259" s="291"/>
      <c r="L259" s="309"/>
      <c r="M259" s="9"/>
      <c r="N259" s="9"/>
      <c r="O259" s="42"/>
      <c r="P259" s="310"/>
      <c r="Q259" s="293"/>
      <c r="R259" s="291"/>
      <c r="S259" s="294"/>
      <c r="T259" s="295"/>
      <c r="U259" s="9"/>
      <c r="V259" s="9"/>
      <c r="W259" s="9"/>
      <c r="X259" s="9"/>
      <c r="Y259" s="9"/>
      <c r="Z259" s="298"/>
      <c r="AA259" s="298"/>
    </row>
    <row r="260" spans="1:27" ht="13.5" customHeight="1" x14ac:dyDescent="0.25">
      <c r="A260" s="9"/>
      <c r="B260" s="9"/>
      <c r="C260" s="9"/>
      <c r="D260" s="9"/>
      <c r="E260" s="9"/>
      <c r="F260" s="185"/>
      <c r="G260" s="185"/>
      <c r="H260" s="9"/>
      <c r="I260" s="311"/>
      <c r="J260" s="310"/>
      <c r="K260" s="291"/>
      <c r="L260" s="309"/>
      <c r="M260" s="9"/>
      <c r="N260" s="9"/>
      <c r="O260" s="42"/>
      <c r="P260" s="310"/>
      <c r="Q260" s="293"/>
      <c r="R260" s="291"/>
      <c r="S260" s="294"/>
      <c r="T260" s="295"/>
      <c r="U260" s="9"/>
      <c r="V260" s="9"/>
      <c r="W260" s="9"/>
      <c r="X260" s="9"/>
      <c r="Y260" s="9"/>
      <c r="Z260" s="298"/>
      <c r="AA260" s="298"/>
    </row>
    <row r="261" spans="1:27" ht="13.5" customHeight="1" x14ac:dyDescent="0.25">
      <c r="A261" s="9"/>
      <c r="B261" s="76">
        <v>2.5000000000000001E-2</v>
      </c>
      <c r="C261" s="77">
        <v>0.1</v>
      </c>
      <c r="D261" s="78">
        <v>6</v>
      </c>
      <c r="E261" s="327">
        <v>385</v>
      </c>
      <c r="F261" s="185"/>
      <c r="G261" s="185"/>
      <c r="H261" s="9"/>
      <c r="I261" s="311"/>
      <c r="J261" s="310"/>
      <c r="K261" s="291"/>
      <c r="L261" s="309"/>
      <c r="M261" s="9"/>
      <c r="N261" s="9"/>
      <c r="O261" s="42"/>
      <c r="P261" s="310"/>
      <c r="Q261" s="293"/>
      <c r="R261" s="291"/>
      <c r="S261" s="294"/>
      <c r="T261" s="295"/>
      <c r="U261" s="9"/>
      <c r="V261" s="9"/>
      <c r="W261" s="9"/>
      <c r="X261" s="9"/>
      <c r="Y261" s="9"/>
      <c r="Z261" s="298"/>
      <c r="AA261" s="298"/>
    </row>
    <row r="262" spans="1:27" ht="13.5" customHeight="1" x14ac:dyDescent="0.25">
      <c r="A262" s="9"/>
      <c r="B262" s="76">
        <v>0.05</v>
      </c>
      <c r="C262" s="77">
        <v>0.1</v>
      </c>
      <c r="D262" s="78">
        <v>6</v>
      </c>
      <c r="E262" s="327">
        <v>828</v>
      </c>
      <c r="F262" s="185"/>
      <c r="G262" s="185"/>
      <c r="H262" s="9"/>
      <c r="I262" s="311"/>
      <c r="J262" s="310"/>
      <c r="K262" s="291"/>
      <c r="L262" s="309"/>
      <c r="M262" s="9"/>
      <c r="N262" s="9"/>
      <c r="O262" s="42"/>
      <c r="P262" s="310"/>
      <c r="Q262" s="293"/>
      <c r="R262" s="291"/>
      <c r="S262" s="294"/>
      <c r="T262" s="295"/>
      <c r="U262" s="9"/>
      <c r="V262" s="9"/>
      <c r="W262" s="9"/>
      <c r="X262" s="9"/>
      <c r="Y262" s="9"/>
      <c r="Z262" s="298"/>
      <c r="AA262" s="298"/>
    </row>
    <row r="263" spans="1:27" ht="13.5" customHeight="1" x14ac:dyDescent="0.25">
      <c r="A263" s="9"/>
      <c r="B263" s="76">
        <v>0.05</v>
      </c>
      <c r="C263" s="77">
        <v>0.05</v>
      </c>
      <c r="D263" s="78">
        <v>6</v>
      </c>
      <c r="E263" s="327">
        <v>481</v>
      </c>
      <c r="F263" s="185"/>
      <c r="G263" s="185"/>
      <c r="H263" s="9"/>
      <c r="I263" s="311"/>
      <c r="J263" s="310"/>
      <c r="K263" s="291"/>
      <c r="L263" s="309"/>
      <c r="M263" s="9"/>
      <c r="N263" s="9"/>
      <c r="O263" s="42"/>
      <c r="P263" s="310"/>
      <c r="Q263" s="293"/>
      <c r="R263" s="291"/>
      <c r="S263" s="294"/>
      <c r="T263" s="295"/>
      <c r="U263" s="9"/>
      <c r="V263" s="9"/>
      <c r="W263" s="9"/>
      <c r="X263" s="9"/>
      <c r="Y263" s="9"/>
      <c r="Z263" s="298"/>
      <c r="AA263" s="298"/>
    </row>
    <row r="264" spans="1:27" ht="13.5" customHeight="1" x14ac:dyDescent="0.25">
      <c r="A264" s="9"/>
      <c r="B264" s="76">
        <v>0.05</v>
      </c>
      <c r="C264" s="77">
        <v>0.05</v>
      </c>
      <c r="D264" s="78">
        <v>2.5</v>
      </c>
      <c r="E264" s="327">
        <v>340</v>
      </c>
      <c r="F264" s="185"/>
      <c r="G264" s="185"/>
      <c r="H264" s="9"/>
      <c r="I264" s="311"/>
      <c r="J264" s="310"/>
      <c r="K264" s="291"/>
      <c r="L264" s="309"/>
      <c r="M264" s="9"/>
      <c r="N264" s="9"/>
      <c r="O264" s="42"/>
      <c r="P264" s="310"/>
      <c r="Q264" s="293"/>
      <c r="R264" s="291"/>
      <c r="S264" s="294"/>
      <c r="T264" s="295"/>
      <c r="U264" s="9"/>
      <c r="V264" s="9"/>
      <c r="W264" s="9"/>
      <c r="X264" s="9"/>
      <c r="Y264" s="9"/>
      <c r="Z264" s="298"/>
      <c r="AA264" s="298"/>
    </row>
    <row r="265" spans="1:27" ht="13.5" customHeight="1" x14ac:dyDescent="0.25">
      <c r="A265" s="9"/>
      <c r="B265" s="76">
        <v>0.05</v>
      </c>
      <c r="C265" s="77">
        <v>0.05</v>
      </c>
      <c r="D265" s="78">
        <v>3.7</v>
      </c>
      <c r="E265" s="327">
        <v>130</v>
      </c>
      <c r="F265" s="185"/>
      <c r="G265" s="185"/>
      <c r="H265" s="9"/>
      <c r="I265" s="311"/>
      <c r="J265" s="310"/>
      <c r="K265" s="291"/>
      <c r="L265" s="309"/>
      <c r="M265" s="9"/>
      <c r="N265" s="9"/>
      <c r="O265" s="42"/>
      <c r="P265" s="310"/>
      <c r="Q265" s="293"/>
      <c r="R265" s="291"/>
      <c r="S265" s="294"/>
      <c r="T265" s="295"/>
      <c r="U265" s="9"/>
      <c r="V265" s="9"/>
      <c r="W265" s="9"/>
      <c r="X265" s="9"/>
      <c r="Y265" s="9"/>
      <c r="Z265" s="298"/>
      <c r="AA265" s="298"/>
    </row>
    <row r="266" spans="1:27" ht="13.5" customHeight="1" x14ac:dyDescent="0.25">
      <c r="A266" s="9"/>
      <c r="B266" s="76">
        <v>0.05</v>
      </c>
      <c r="C266" s="77">
        <v>0.05</v>
      </c>
      <c r="D266" s="78">
        <v>6</v>
      </c>
      <c r="E266" s="327">
        <v>481</v>
      </c>
      <c r="F266" s="185"/>
      <c r="G266" s="185"/>
      <c r="H266" s="9"/>
      <c r="I266" s="311"/>
      <c r="J266" s="310"/>
      <c r="K266" s="291"/>
      <c r="L266" s="309"/>
      <c r="M266" s="9"/>
      <c r="N266" s="9"/>
      <c r="O266" s="42"/>
      <c r="P266" s="310"/>
      <c r="Q266" s="293"/>
      <c r="R266" s="291"/>
      <c r="S266" s="294"/>
      <c r="T266" s="295"/>
      <c r="U266" s="9"/>
      <c r="V266" s="9"/>
      <c r="W266" s="9"/>
      <c r="X266" s="9"/>
      <c r="Y266" s="9"/>
      <c r="Z266" s="298"/>
      <c r="AA266" s="298"/>
    </row>
    <row r="267" spans="1:27" ht="13.5" customHeight="1" x14ac:dyDescent="0.25">
      <c r="A267" s="9"/>
      <c r="B267" s="9"/>
      <c r="C267" s="9"/>
      <c r="D267" s="9"/>
      <c r="E267" s="9"/>
      <c r="F267" s="185"/>
      <c r="G267" s="185"/>
      <c r="H267" s="9"/>
      <c r="I267" s="311"/>
      <c r="J267" s="310"/>
      <c r="K267" s="291"/>
      <c r="L267" s="309"/>
      <c r="M267" s="9"/>
      <c r="N267" s="9"/>
      <c r="O267" s="42"/>
      <c r="P267" s="310"/>
      <c r="Q267" s="293"/>
      <c r="R267" s="291"/>
      <c r="S267" s="294"/>
      <c r="T267" s="295"/>
      <c r="U267" s="9"/>
      <c r="V267" s="9"/>
      <c r="W267" s="9"/>
      <c r="X267" s="9"/>
      <c r="Y267" s="9"/>
      <c r="Z267" s="298"/>
      <c r="AA267" s="298"/>
    </row>
    <row r="268" spans="1:27" ht="13.5" customHeight="1" x14ac:dyDescent="0.25">
      <c r="A268" s="9"/>
      <c r="B268" s="9"/>
      <c r="C268" s="9"/>
      <c r="D268" s="9"/>
      <c r="E268" s="9"/>
      <c r="F268" s="185"/>
      <c r="G268" s="185"/>
      <c r="H268" s="9"/>
      <c r="I268" s="311"/>
      <c r="J268" s="310"/>
      <c r="K268" s="291"/>
      <c r="L268" s="309"/>
      <c r="M268" s="9"/>
      <c r="N268" s="9"/>
      <c r="O268" s="42"/>
      <c r="P268" s="310"/>
      <c r="Q268" s="293"/>
      <c r="R268" s="291"/>
      <c r="S268" s="294"/>
      <c r="T268" s="295"/>
      <c r="U268" s="9"/>
      <c r="V268" s="9"/>
      <c r="W268" s="9"/>
      <c r="X268" s="9"/>
      <c r="Y268" s="9"/>
      <c r="Z268" s="298"/>
      <c r="AA268" s="298"/>
    </row>
    <row r="269" spans="1:27" ht="13.5" customHeight="1" x14ac:dyDescent="0.25">
      <c r="A269" s="9"/>
      <c r="B269" s="9"/>
      <c r="C269" s="9"/>
      <c r="D269" s="9"/>
      <c r="E269" s="9"/>
      <c r="F269" s="185"/>
      <c r="G269" s="185"/>
      <c r="H269" s="9"/>
      <c r="I269" s="311"/>
      <c r="J269" s="310"/>
      <c r="K269" s="291"/>
      <c r="L269" s="309"/>
      <c r="M269" s="9"/>
      <c r="N269" s="9"/>
      <c r="O269" s="42"/>
      <c r="P269" s="310"/>
      <c r="Q269" s="293"/>
      <c r="R269" s="291"/>
      <c r="S269" s="294"/>
      <c r="T269" s="295"/>
      <c r="U269" s="9"/>
      <c r="V269" s="9"/>
      <c r="W269" s="9"/>
      <c r="X269" s="9"/>
      <c r="Y269" s="9"/>
      <c r="Z269" s="298"/>
      <c r="AA269" s="298"/>
    </row>
    <row r="270" spans="1:27" ht="13.5" customHeight="1" x14ac:dyDescent="0.25">
      <c r="A270" s="9"/>
      <c r="B270" s="9"/>
      <c r="C270" s="9"/>
      <c r="D270" s="9"/>
      <c r="E270" s="9"/>
      <c r="F270" s="185"/>
      <c r="G270" s="185"/>
      <c r="H270" s="9"/>
      <c r="I270" s="311"/>
      <c r="J270" s="310"/>
      <c r="K270" s="291"/>
      <c r="L270" s="309"/>
      <c r="M270" s="9"/>
      <c r="N270" s="9"/>
      <c r="O270" s="42"/>
      <c r="P270" s="310"/>
      <c r="Q270" s="293"/>
      <c r="R270" s="291"/>
      <c r="S270" s="294"/>
      <c r="T270" s="295"/>
      <c r="U270" s="9"/>
      <c r="V270" s="9"/>
      <c r="W270" s="9"/>
      <c r="X270" s="9"/>
      <c r="Y270" s="9"/>
      <c r="Z270" s="298"/>
      <c r="AA270" s="298"/>
    </row>
    <row r="271" spans="1:27" ht="13.5" customHeight="1" x14ac:dyDescent="0.25">
      <c r="A271" s="9"/>
      <c r="B271" s="9"/>
      <c r="C271" s="9"/>
      <c r="D271" s="9"/>
      <c r="E271" s="9"/>
      <c r="F271" s="185"/>
      <c r="G271" s="185"/>
      <c r="H271" s="9"/>
      <c r="I271" s="311"/>
      <c r="J271" s="310"/>
      <c r="K271" s="291"/>
      <c r="L271" s="309"/>
      <c r="M271" s="9"/>
      <c r="N271" s="9"/>
      <c r="O271" s="42"/>
      <c r="P271" s="310"/>
      <c r="Q271" s="293"/>
      <c r="R271" s="291"/>
      <c r="S271" s="294"/>
      <c r="T271" s="295"/>
      <c r="U271" s="9"/>
      <c r="V271" s="9"/>
      <c r="W271" s="9"/>
      <c r="X271" s="9"/>
      <c r="Y271" s="9"/>
      <c r="Z271" s="298"/>
      <c r="AA271" s="298"/>
    </row>
    <row r="272" spans="1:27" ht="13.5" customHeight="1" x14ac:dyDescent="0.25">
      <c r="A272" s="9"/>
      <c r="B272" s="9"/>
      <c r="C272" s="9"/>
      <c r="D272" s="9"/>
      <c r="E272" s="9"/>
      <c r="F272" s="185"/>
      <c r="G272" s="185"/>
      <c r="H272" s="9"/>
      <c r="I272" s="311"/>
      <c r="J272" s="310"/>
      <c r="K272" s="291"/>
      <c r="L272" s="309"/>
      <c r="M272" s="9"/>
      <c r="N272" s="9"/>
      <c r="O272" s="42"/>
      <c r="P272" s="310"/>
      <c r="Q272" s="293"/>
      <c r="R272" s="291"/>
      <c r="S272" s="294"/>
      <c r="T272" s="295"/>
      <c r="U272" s="9"/>
      <c r="V272" s="9"/>
      <c r="W272" s="9"/>
      <c r="X272" s="9"/>
      <c r="Y272" s="9"/>
      <c r="Z272" s="298"/>
      <c r="AA272" s="298"/>
    </row>
    <row r="273" spans="1:27" ht="13.5" customHeight="1" x14ac:dyDescent="0.25">
      <c r="A273" s="9"/>
      <c r="B273" s="9"/>
      <c r="C273" s="9"/>
      <c r="D273" s="9"/>
      <c r="E273" s="9"/>
      <c r="F273" s="185"/>
      <c r="G273" s="185"/>
      <c r="H273" s="9"/>
      <c r="I273" s="311"/>
      <c r="J273" s="310"/>
      <c r="K273" s="291"/>
      <c r="L273" s="309"/>
      <c r="M273" s="9"/>
      <c r="N273" s="9"/>
      <c r="O273" s="42"/>
      <c r="P273" s="310"/>
      <c r="Q273" s="293"/>
      <c r="R273" s="291"/>
      <c r="S273" s="294"/>
      <c r="T273" s="295"/>
      <c r="U273" s="9"/>
      <c r="V273" s="9"/>
      <c r="W273" s="9"/>
      <c r="X273" s="9"/>
      <c r="Y273" s="9"/>
      <c r="Z273" s="298"/>
      <c r="AA273" s="298"/>
    </row>
    <row r="274" spans="1:27" ht="13.5" customHeight="1" x14ac:dyDescent="0.25">
      <c r="A274" s="9"/>
      <c r="B274" s="9"/>
      <c r="C274" s="9"/>
      <c r="D274" s="9"/>
      <c r="E274" s="9"/>
      <c r="F274" s="185"/>
      <c r="G274" s="185"/>
      <c r="H274" s="9"/>
      <c r="I274" s="311"/>
      <c r="J274" s="310"/>
      <c r="K274" s="291"/>
      <c r="L274" s="309"/>
      <c r="M274" s="9"/>
      <c r="N274" s="9"/>
      <c r="O274" s="42"/>
      <c r="P274" s="310"/>
      <c r="Q274" s="293"/>
      <c r="R274" s="291"/>
      <c r="S274" s="294"/>
      <c r="T274" s="295"/>
      <c r="U274" s="9"/>
      <c r="V274" s="9"/>
      <c r="W274" s="9"/>
      <c r="X274" s="9"/>
      <c r="Y274" s="9"/>
      <c r="Z274" s="298"/>
      <c r="AA274" s="298"/>
    </row>
    <row r="275" spans="1:27" ht="13.5" customHeight="1" x14ac:dyDescent="0.25">
      <c r="A275" s="9"/>
      <c r="B275" s="9"/>
      <c r="C275" s="9"/>
      <c r="D275" s="9"/>
      <c r="E275" s="9"/>
      <c r="F275" s="185"/>
      <c r="G275" s="185"/>
      <c r="H275" s="9"/>
      <c r="I275" s="311"/>
      <c r="J275" s="310"/>
      <c r="K275" s="291"/>
      <c r="L275" s="309"/>
      <c r="M275" s="9"/>
      <c r="N275" s="9"/>
      <c r="O275" s="42"/>
      <c r="P275" s="310"/>
      <c r="Q275" s="293"/>
      <c r="R275" s="291"/>
      <c r="S275" s="294"/>
      <c r="T275" s="295"/>
      <c r="U275" s="9"/>
      <c r="V275" s="9"/>
      <c r="W275" s="9"/>
      <c r="X275" s="9"/>
      <c r="Y275" s="9"/>
      <c r="Z275" s="298"/>
      <c r="AA275" s="298"/>
    </row>
    <row r="276" spans="1:27" ht="13.5" customHeight="1" x14ac:dyDescent="0.25">
      <c r="A276" s="9"/>
      <c r="B276" s="9"/>
      <c r="C276" s="9"/>
      <c r="D276" s="9"/>
      <c r="E276" s="9"/>
      <c r="F276" s="185"/>
      <c r="G276" s="185"/>
      <c r="H276" s="9"/>
      <c r="I276" s="311"/>
      <c r="J276" s="310"/>
      <c r="K276" s="291"/>
      <c r="L276" s="309"/>
      <c r="M276" s="9"/>
      <c r="N276" s="9"/>
      <c r="O276" s="42"/>
      <c r="P276" s="310"/>
      <c r="Q276" s="293"/>
      <c r="R276" s="291"/>
      <c r="S276" s="294"/>
      <c r="T276" s="295"/>
      <c r="U276" s="9"/>
      <c r="V276" s="9"/>
      <c r="W276" s="9"/>
      <c r="X276" s="9"/>
      <c r="Y276" s="9"/>
      <c r="Z276" s="298"/>
      <c r="AA276" s="298"/>
    </row>
    <row r="277" spans="1:27" ht="13.5" customHeight="1" x14ac:dyDescent="0.25">
      <c r="A277" s="9"/>
      <c r="B277" s="9"/>
      <c r="C277" s="9"/>
      <c r="D277" s="9"/>
      <c r="E277" s="9"/>
      <c r="F277" s="185"/>
      <c r="G277" s="185"/>
      <c r="H277" s="9"/>
      <c r="I277" s="311"/>
      <c r="J277" s="310"/>
      <c r="K277" s="291"/>
      <c r="L277" s="309"/>
      <c r="M277" s="9"/>
      <c r="N277" s="9"/>
      <c r="O277" s="42"/>
      <c r="P277" s="310"/>
      <c r="Q277" s="293"/>
      <c r="R277" s="291"/>
      <c r="S277" s="294"/>
      <c r="T277" s="295"/>
      <c r="U277" s="9"/>
      <c r="V277" s="9"/>
      <c r="W277" s="9"/>
      <c r="X277" s="9"/>
      <c r="Y277" s="9"/>
      <c r="Z277" s="298"/>
      <c r="AA277" s="298"/>
    </row>
    <row r="278" spans="1:27" ht="13.5" customHeight="1" x14ac:dyDescent="0.25">
      <c r="A278" s="9"/>
      <c r="B278" s="9"/>
      <c r="C278" s="9"/>
      <c r="D278" s="9"/>
      <c r="E278" s="9"/>
      <c r="F278" s="185"/>
      <c r="G278" s="185"/>
      <c r="H278" s="9"/>
      <c r="I278" s="311"/>
      <c r="J278" s="310"/>
      <c r="K278" s="291"/>
      <c r="L278" s="309"/>
      <c r="M278" s="9"/>
      <c r="N278" s="9"/>
      <c r="O278" s="42"/>
      <c r="P278" s="310"/>
      <c r="Q278" s="293"/>
      <c r="R278" s="291"/>
      <c r="S278" s="294"/>
      <c r="T278" s="295"/>
      <c r="U278" s="9"/>
      <c r="V278" s="9"/>
      <c r="W278" s="9"/>
      <c r="X278" s="9"/>
      <c r="Y278" s="9"/>
      <c r="Z278" s="298"/>
      <c r="AA278" s="298"/>
    </row>
    <row r="279" spans="1:27" ht="13.5" customHeight="1" x14ac:dyDescent="0.25">
      <c r="A279" s="9"/>
      <c r="B279" s="9"/>
      <c r="C279" s="9"/>
      <c r="D279" s="9"/>
      <c r="E279" s="9"/>
      <c r="F279" s="185"/>
      <c r="G279" s="185"/>
      <c r="H279" s="9"/>
      <c r="I279" s="311"/>
      <c r="J279" s="310"/>
      <c r="K279" s="291"/>
      <c r="L279" s="309"/>
      <c r="M279" s="9"/>
      <c r="N279" s="9"/>
      <c r="O279" s="42"/>
      <c r="P279" s="310"/>
      <c r="Q279" s="293"/>
      <c r="R279" s="291"/>
      <c r="S279" s="294"/>
      <c r="T279" s="295"/>
      <c r="U279" s="9"/>
      <c r="V279" s="9"/>
      <c r="W279" s="9"/>
      <c r="X279" s="9"/>
      <c r="Y279" s="9"/>
      <c r="Z279" s="298"/>
      <c r="AA279" s="298"/>
    </row>
    <row r="280" spans="1:27" ht="13.5" customHeight="1" x14ac:dyDescent="0.25">
      <c r="A280" s="9"/>
      <c r="B280" s="9"/>
      <c r="C280" s="9"/>
      <c r="D280" s="9"/>
      <c r="E280" s="9"/>
      <c r="F280" s="185"/>
      <c r="G280" s="185"/>
      <c r="H280" s="9"/>
      <c r="I280" s="311"/>
      <c r="J280" s="310"/>
      <c r="K280" s="291"/>
      <c r="L280" s="309"/>
      <c r="M280" s="9"/>
      <c r="N280" s="9"/>
      <c r="O280" s="42"/>
      <c r="P280" s="310"/>
      <c r="Q280" s="293"/>
      <c r="R280" s="291"/>
      <c r="S280" s="294"/>
      <c r="T280" s="295"/>
      <c r="U280" s="9"/>
      <c r="V280" s="9"/>
      <c r="W280" s="9"/>
      <c r="X280" s="9"/>
      <c r="Y280" s="9"/>
      <c r="Z280" s="298"/>
      <c r="AA280" s="298"/>
    </row>
    <row r="281" spans="1:27" ht="13.5" customHeight="1" x14ac:dyDescent="0.25">
      <c r="A281" s="9"/>
      <c r="B281" s="9"/>
      <c r="C281" s="9"/>
      <c r="D281" s="9"/>
      <c r="E281" s="9"/>
      <c r="F281" s="185"/>
      <c r="G281" s="185"/>
      <c r="H281" s="9"/>
      <c r="I281" s="311"/>
      <c r="J281" s="310"/>
      <c r="K281" s="291"/>
      <c r="L281" s="309"/>
      <c r="M281" s="9"/>
      <c r="N281" s="9"/>
      <c r="O281" s="42"/>
      <c r="P281" s="310"/>
      <c r="Q281" s="293"/>
      <c r="R281" s="291"/>
      <c r="S281" s="294"/>
      <c r="T281" s="295"/>
      <c r="U281" s="9"/>
      <c r="V281" s="9"/>
      <c r="W281" s="9"/>
      <c r="X281" s="9"/>
      <c r="Y281" s="9"/>
      <c r="Z281" s="298"/>
      <c r="AA281" s="298"/>
    </row>
    <row r="282" spans="1:27" ht="13.5" customHeight="1" x14ac:dyDescent="0.25">
      <c r="A282" s="9"/>
      <c r="B282" s="9"/>
      <c r="C282" s="9"/>
      <c r="D282" s="9"/>
      <c r="E282" s="9"/>
      <c r="F282" s="185"/>
      <c r="G282" s="185"/>
      <c r="H282" s="9"/>
      <c r="I282" s="311"/>
      <c r="J282" s="310"/>
      <c r="K282" s="291"/>
      <c r="L282" s="309"/>
      <c r="M282" s="9"/>
      <c r="N282" s="9"/>
      <c r="O282" s="42"/>
      <c r="P282" s="310"/>
      <c r="Q282" s="293"/>
      <c r="R282" s="291"/>
      <c r="S282" s="294"/>
      <c r="T282" s="295"/>
      <c r="U282" s="9"/>
      <c r="V282" s="9"/>
      <c r="W282" s="9"/>
      <c r="X282" s="9"/>
      <c r="Y282" s="9"/>
      <c r="Z282" s="298"/>
      <c r="AA282" s="298"/>
    </row>
    <row r="283" spans="1:27" ht="13.5" customHeight="1" x14ac:dyDescent="0.25">
      <c r="A283" s="9"/>
      <c r="B283" s="9"/>
      <c r="C283" s="9"/>
      <c r="D283" s="9"/>
      <c r="E283" s="9"/>
      <c r="F283" s="185"/>
      <c r="G283" s="185"/>
      <c r="H283" s="9"/>
      <c r="I283" s="311"/>
      <c r="J283" s="310"/>
      <c r="K283" s="291"/>
      <c r="L283" s="309"/>
      <c r="M283" s="9"/>
      <c r="N283" s="9"/>
      <c r="O283" s="42"/>
      <c r="P283" s="310"/>
      <c r="Q283" s="293"/>
      <c r="R283" s="291"/>
      <c r="S283" s="294"/>
      <c r="T283" s="295"/>
      <c r="U283" s="9"/>
      <c r="V283" s="9"/>
      <c r="W283" s="9"/>
      <c r="X283" s="9"/>
      <c r="Y283" s="9"/>
      <c r="Z283" s="298"/>
      <c r="AA283" s="298"/>
    </row>
    <row r="284" spans="1:27" ht="13.5" customHeight="1" x14ac:dyDescent="0.25">
      <c r="A284" s="9"/>
      <c r="B284" s="9"/>
      <c r="C284" s="9"/>
      <c r="D284" s="9"/>
      <c r="E284" s="9"/>
      <c r="F284" s="185"/>
      <c r="G284" s="185"/>
      <c r="H284" s="9"/>
      <c r="I284" s="311"/>
      <c r="J284" s="310"/>
      <c r="K284" s="291"/>
      <c r="L284" s="309"/>
      <c r="M284" s="9"/>
      <c r="N284" s="9"/>
      <c r="O284" s="42"/>
      <c r="P284" s="310"/>
      <c r="Q284" s="293"/>
      <c r="R284" s="291"/>
      <c r="S284" s="294"/>
      <c r="T284" s="295"/>
      <c r="U284" s="9"/>
      <c r="V284" s="9"/>
      <c r="W284" s="9"/>
      <c r="X284" s="9"/>
      <c r="Y284" s="9"/>
      <c r="Z284" s="298"/>
      <c r="AA284" s="298"/>
    </row>
    <row r="285" spans="1:27" ht="13.5" customHeight="1" x14ac:dyDescent="0.25">
      <c r="A285" s="9"/>
      <c r="B285" s="9"/>
      <c r="C285" s="9"/>
      <c r="D285" s="9"/>
      <c r="E285" s="9"/>
      <c r="F285" s="185"/>
      <c r="G285" s="185"/>
      <c r="H285" s="9"/>
      <c r="I285" s="311"/>
      <c r="J285" s="310"/>
      <c r="K285" s="291"/>
      <c r="L285" s="309"/>
      <c r="M285" s="9"/>
      <c r="N285" s="9"/>
      <c r="O285" s="42"/>
      <c r="P285" s="310"/>
      <c r="Q285" s="293"/>
      <c r="R285" s="291"/>
      <c r="S285" s="294"/>
      <c r="T285" s="295"/>
      <c r="U285" s="9"/>
      <c r="V285" s="9"/>
      <c r="W285" s="9"/>
      <c r="X285" s="9"/>
      <c r="Y285" s="9"/>
      <c r="Z285" s="298"/>
      <c r="AA285" s="298"/>
    </row>
    <row r="286" spans="1:27" ht="13.5" customHeight="1" x14ac:dyDescent="0.25">
      <c r="A286" s="9"/>
      <c r="B286" s="9"/>
      <c r="C286" s="9"/>
      <c r="D286" s="9"/>
      <c r="E286" s="9"/>
      <c r="F286" s="185"/>
      <c r="G286" s="185"/>
      <c r="H286" s="9"/>
      <c r="I286" s="311"/>
      <c r="J286" s="310"/>
      <c r="K286" s="291"/>
      <c r="L286" s="309"/>
      <c r="M286" s="9"/>
      <c r="N286" s="9"/>
      <c r="O286" s="42"/>
      <c r="P286" s="310"/>
      <c r="Q286" s="293"/>
      <c r="R286" s="291"/>
      <c r="S286" s="294"/>
      <c r="T286" s="295"/>
      <c r="U286" s="9"/>
      <c r="V286" s="9"/>
      <c r="W286" s="9"/>
      <c r="X286" s="9"/>
      <c r="Y286" s="9"/>
      <c r="Z286" s="298"/>
      <c r="AA286" s="298"/>
    </row>
    <row r="287" spans="1:27" ht="13.5" customHeight="1" x14ac:dyDescent="0.25">
      <c r="A287" s="9"/>
      <c r="B287" s="9"/>
      <c r="C287" s="9"/>
      <c r="D287" s="9"/>
      <c r="E287" s="9"/>
      <c r="F287" s="185"/>
      <c r="G287" s="185"/>
      <c r="H287" s="9"/>
      <c r="I287" s="311"/>
      <c r="J287" s="310"/>
      <c r="K287" s="291"/>
      <c r="L287" s="309"/>
      <c r="M287" s="9"/>
      <c r="N287" s="9"/>
      <c r="O287" s="42"/>
      <c r="P287" s="310"/>
      <c r="Q287" s="293"/>
      <c r="R287" s="291"/>
      <c r="S287" s="294"/>
      <c r="T287" s="295"/>
      <c r="U287" s="9"/>
      <c r="V287" s="9"/>
      <c r="W287" s="9"/>
      <c r="X287" s="9"/>
      <c r="Y287" s="9"/>
      <c r="Z287" s="298"/>
      <c r="AA287" s="298"/>
    </row>
    <row r="288" spans="1:27" ht="13.5" customHeight="1" x14ac:dyDescent="0.25">
      <c r="A288" s="9"/>
      <c r="B288" s="9"/>
      <c r="C288" s="9"/>
      <c r="D288" s="9"/>
      <c r="E288" s="9"/>
      <c r="F288" s="185"/>
      <c r="G288" s="185"/>
      <c r="H288" s="9"/>
      <c r="I288" s="311"/>
      <c r="J288" s="310"/>
      <c r="K288" s="291"/>
      <c r="L288" s="309"/>
      <c r="M288" s="9"/>
      <c r="N288" s="9"/>
      <c r="O288" s="42"/>
      <c r="P288" s="310"/>
      <c r="Q288" s="293"/>
      <c r="R288" s="291"/>
      <c r="S288" s="294"/>
      <c r="T288" s="295"/>
      <c r="U288" s="9"/>
      <c r="V288" s="9"/>
      <c r="W288" s="9"/>
      <c r="X288" s="9"/>
      <c r="Y288" s="9"/>
      <c r="Z288" s="298"/>
      <c r="AA288" s="298"/>
    </row>
    <row r="289" spans="1:27" ht="13.5" customHeight="1" x14ac:dyDescent="0.25">
      <c r="A289" s="9"/>
      <c r="B289" s="9"/>
      <c r="C289" s="9"/>
      <c r="D289" s="9"/>
      <c r="E289" s="9"/>
      <c r="F289" s="185"/>
      <c r="G289" s="185"/>
      <c r="H289" s="9"/>
      <c r="I289" s="311"/>
      <c r="J289" s="310"/>
      <c r="K289" s="291"/>
      <c r="L289" s="309"/>
      <c r="M289" s="9"/>
      <c r="N289" s="9"/>
      <c r="O289" s="42"/>
      <c r="P289" s="310"/>
      <c r="Q289" s="293"/>
      <c r="R289" s="291"/>
      <c r="S289" s="294"/>
      <c r="T289" s="295"/>
      <c r="U289" s="9"/>
      <c r="V289" s="9"/>
      <c r="W289" s="9"/>
      <c r="X289" s="9"/>
      <c r="Y289" s="9"/>
      <c r="Z289" s="298"/>
      <c r="AA289" s="298"/>
    </row>
    <row r="290" spans="1:27" ht="13.5" customHeight="1" x14ac:dyDescent="0.25">
      <c r="A290" s="9"/>
      <c r="B290" s="9"/>
      <c r="C290" s="9"/>
      <c r="D290" s="9"/>
      <c r="E290" s="9"/>
      <c r="F290" s="185"/>
      <c r="G290" s="185"/>
      <c r="H290" s="9"/>
      <c r="I290" s="311"/>
      <c r="J290" s="310"/>
      <c r="K290" s="291"/>
      <c r="L290" s="309"/>
      <c r="M290" s="9"/>
      <c r="N290" s="9"/>
      <c r="O290" s="42"/>
      <c r="P290" s="310"/>
      <c r="Q290" s="293"/>
      <c r="R290" s="291"/>
      <c r="S290" s="294"/>
      <c r="T290" s="295"/>
      <c r="U290" s="9"/>
      <c r="V290" s="9"/>
      <c r="W290" s="9"/>
      <c r="X290" s="9"/>
      <c r="Y290" s="9"/>
      <c r="Z290" s="298"/>
      <c r="AA290" s="298"/>
    </row>
    <row r="291" spans="1:27" ht="13.5" customHeight="1" x14ac:dyDescent="0.25">
      <c r="A291" s="9"/>
      <c r="B291" s="9"/>
      <c r="C291" s="9"/>
      <c r="D291" s="9"/>
      <c r="E291" s="9"/>
      <c r="F291" s="185"/>
      <c r="G291" s="185"/>
      <c r="H291" s="9"/>
      <c r="I291" s="311"/>
      <c r="J291" s="310"/>
      <c r="K291" s="291"/>
      <c r="L291" s="309"/>
      <c r="M291" s="9"/>
      <c r="N291" s="9"/>
      <c r="O291" s="42"/>
      <c r="P291" s="310"/>
      <c r="Q291" s="293"/>
      <c r="R291" s="291"/>
      <c r="S291" s="294"/>
      <c r="T291" s="295"/>
      <c r="U291" s="9"/>
      <c r="V291" s="9"/>
      <c r="W291" s="9"/>
      <c r="X291" s="9"/>
      <c r="Y291" s="9"/>
      <c r="Z291" s="298"/>
      <c r="AA291" s="298"/>
    </row>
    <row r="292" spans="1:27" ht="13.5" customHeight="1" x14ac:dyDescent="0.25">
      <c r="A292" s="9"/>
      <c r="B292" s="9"/>
      <c r="C292" s="9"/>
      <c r="D292" s="9"/>
      <c r="E292" s="9"/>
      <c r="F292" s="185"/>
      <c r="G292" s="185"/>
      <c r="H292" s="9"/>
      <c r="I292" s="311"/>
      <c r="J292" s="310"/>
      <c r="K292" s="291"/>
      <c r="L292" s="309"/>
      <c r="M292" s="9"/>
      <c r="N292" s="9"/>
      <c r="O292" s="42"/>
      <c r="P292" s="310"/>
      <c r="Q292" s="293"/>
      <c r="R292" s="291"/>
      <c r="S292" s="294"/>
      <c r="T292" s="295"/>
      <c r="U292" s="9"/>
      <c r="V292" s="9"/>
      <c r="W292" s="9"/>
      <c r="X292" s="9"/>
      <c r="Y292" s="9"/>
      <c r="Z292" s="298"/>
      <c r="AA292" s="298"/>
    </row>
    <row r="293" spans="1:27" ht="13.5" customHeight="1" x14ac:dyDescent="0.25">
      <c r="A293" s="9"/>
      <c r="B293" s="9"/>
      <c r="C293" s="9"/>
      <c r="D293" s="9"/>
      <c r="E293" s="9"/>
      <c r="F293" s="185"/>
      <c r="G293" s="185"/>
      <c r="H293" s="9"/>
      <c r="I293" s="311"/>
      <c r="J293" s="310"/>
      <c r="K293" s="291"/>
      <c r="L293" s="309"/>
      <c r="M293" s="9"/>
      <c r="N293" s="9"/>
      <c r="O293" s="42"/>
      <c r="P293" s="310"/>
      <c r="Q293" s="293"/>
      <c r="R293" s="291"/>
      <c r="S293" s="294"/>
      <c r="T293" s="295"/>
      <c r="U293" s="9"/>
      <c r="V293" s="9"/>
      <c r="W293" s="9"/>
      <c r="X293" s="9"/>
      <c r="Y293" s="9"/>
      <c r="Z293" s="298"/>
      <c r="AA293" s="298"/>
    </row>
    <row r="294" spans="1:27" ht="13.5" customHeight="1" x14ac:dyDescent="0.25">
      <c r="A294" s="9"/>
      <c r="B294" s="9"/>
      <c r="C294" s="9"/>
      <c r="D294" s="9"/>
      <c r="E294" s="9"/>
      <c r="F294" s="185"/>
      <c r="G294" s="185"/>
      <c r="H294" s="9"/>
      <c r="I294" s="311"/>
      <c r="J294" s="310"/>
      <c r="K294" s="291"/>
      <c r="L294" s="309"/>
      <c r="M294" s="9"/>
      <c r="N294" s="9"/>
      <c r="O294" s="42"/>
      <c r="P294" s="310"/>
      <c r="Q294" s="293"/>
      <c r="R294" s="291"/>
      <c r="S294" s="294"/>
      <c r="T294" s="295"/>
      <c r="U294" s="9"/>
      <c r="V294" s="9"/>
      <c r="W294" s="9"/>
      <c r="X294" s="9"/>
      <c r="Y294" s="9"/>
      <c r="Z294" s="298"/>
      <c r="AA294" s="298"/>
    </row>
    <row r="295" spans="1:27" ht="13.5" customHeight="1" x14ac:dyDescent="0.25">
      <c r="A295" s="9"/>
      <c r="B295" s="9"/>
      <c r="C295" s="9"/>
      <c r="D295" s="9"/>
      <c r="E295" s="9"/>
      <c r="F295" s="185"/>
      <c r="G295" s="185"/>
      <c r="H295" s="9"/>
      <c r="I295" s="311"/>
      <c r="J295" s="310"/>
      <c r="K295" s="291"/>
      <c r="L295" s="309"/>
      <c r="M295" s="9"/>
      <c r="N295" s="9"/>
      <c r="O295" s="42"/>
      <c r="P295" s="310"/>
      <c r="Q295" s="293"/>
      <c r="R295" s="291"/>
      <c r="S295" s="294"/>
      <c r="T295" s="295"/>
      <c r="U295" s="9"/>
      <c r="V295" s="9"/>
      <c r="W295" s="9"/>
      <c r="X295" s="9"/>
      <c r="Y295" s="9"/>
      <c r="Z295" s="298"/>
      <c r="AA295" s="298"/>
    </row>
    <row r="296" spans="1:27" ht="13.5" customHeight="1" x14ac:dyDescent="0.25">
      <c r="A296" s="9"/>
      <c r="B296" s="9"/>
      <c r="C296" s="9"/>
      <c r="D296" s="9"/>
      <c r="E296" s="9"/>
      <c r="F296" s="185"/>
      <c r="G296" s="185"/>
      <c r="H296" s="9"/>
      <c r="I296" s="311"/>
      <c r="J296" s="310"/>
      <c r="K296" s="291"/>
      <c r="L296" s="309"/>
      <c r="M296" s="9"/>
      <c r="N296" s="9"/>
      <c r="O296" s="42"/>
      <c r="P296" s="310"/>
      <c r="Q296" s="293"/>
      <c r="R296" s="291"/>
      <c r="S296" s="294"/>
      <c r="T296" s="295"/>
      <c r="U296" s="9"/>
      <c r="V296" s="9"/>
      <c r="W296" s="9"/>
      <c r="X296" s="9"/>
      <c r="Y296" s="9"/>
      <c r="Z296" s="298"/>
      <c r="AA296" s="298"/>
    </row>
    <row r="297" spans="1:27" ht="13.5" customHeight="1" x14ac:dyDescent="0.25">
      <c r="A297" s="9"/>
      <c r="B297" s="9"/>
      <c r="C297" s="9"/>
      <c r="D297" s="9"/>
      <c r="E297" s="9"/>
      <c r="F297" s="185"/>
      <c r="G297" s="185"/>
      <c r="H297" s="9"/>
      <c r="I297" s="311"/>
      <c r="J297" s="310"/>
      <c r="K297" s="291"/>
      <c r="L297" s="309"/>
      <c r="M297" s="9"/>
      <c r="N297" s="9"/>
      <c r="O297" s="42"/>
      <c r="P297" s="310"/>
      <c r="Q297" s="293"/>
      <c r="R297" s="291"/>
      <c r="S297" s="294"/>
      <c r="T297" s="295"/>
      <c r="U297" s="9"/>
      <c r="V297" s="9"/>
      <c r="W297" s="9"/>
      <c r="X297" s="9"/>
      <c r="Y297" s="9"/>
      <c r="Z297" s="298"/>
      <c r="AA297" s="298"/>
    </row>
    <row r="298" spans="1:27" ht="13.5" customHeight="1" x14ac:dyDescent="0.25">
      <c r="A298" s="9"/>
      <c r="B298" s="9"/>
      <c r="C298" s="9"/>
      <c r="D298" s="9"/>
      <c r="E298" s="9"/>
      <c r="F298" s="185"/>
      <c r="G298" s="185"/>
      <c r="H298" s="9"/>
      <c r="I298" s="311"/>
      <c r="J298" s="310"/>
      <c r="K298" s="291"/>
      <c r="L298" s="309"/>
      <c r="M298" s="9"/>
      <c r="N298" s="9"/>
      <c r="O298" s="42"/>
      <c r="P298" s="310"/>
      <c r="Q298" s="293"/>
      <c r="R298" s="291"/>
      <c r="S298" s="294"/>
      <c r="T298" s="295"/>
      <c r="U298" s="9"/>
      <c r="V298" s="9"/>
      <c r="W298" s="9"/>
      <c r="X298" s="9"/>
      <c r="Y298" s="9"/>
      <c r="Z298" s="298"/>
      <c r="AA298" s="298"/>
    </row>
    <row r="299" spans="1:27" ht="13.5" customHeight="1" x14ac:dyDescent="0.25">
      <c r="A299" s="9"/>
      <c r="B299" s="9"/>
      <c r="C299" s="9"/>
      <c r="D299" s="9"/>
      <c r="E299" s="9"/>
      <c r="F299" s="185"/>
      <c r="G299" s="185"/>
      <c r="H299" s="9"/>
      <c r="I299" s="311"/>
      <c r="J299" s="310"/>
      <c r="K299" s="291"/>
      <c r="L299" s="309"/>
      <c r="M299" s="9"/>
      <c r="N299" s="9"/>
      <c r="O299" s="42"/>
      <c r="P299" s="310"/>
      <c r="Q299" s="293"/>
      <c r="R299" s="291"/>
      <c r="S299" s="294"/>
      <c r="T299" s="295"/>
      <c r="U299" s="9"/>
      <c r="V299" s="9"/>
      <c r="W299" s="9"/>
      <c r="X299" s="9"/>
      <c r="Y299" s="9"/>
      <c r="Z299" s="298"/>
      <c r="AA299" s="298"/>
    </row>
    <row r="300" spans="1:27" ht="13.5" customHeight="1" x14ac:dyDescent="0.25">
      <c r="A300" s="9"/>
      <c r="B300" s="9"/>
      <c r="C300" s="9"/>
      <c r="D300" s="9"/>
      <c r="E300" s="9"/>
      <c r="F300" s="185"/>
      <c r="G300" s="185"/>
      <c r="H300" s="9"/>
      <c r="I300" s="311"/>
      <c r="J300" s="310"/>
      <c r="K300" s="291"/>
      <c r="L300" s="309"/>
      <c r="M300" s="9"/>
      <c r="N300" s="9"/>
      <c r="O300" s="42"/>
      <c r="P300" s="310"/>
      <c r="Q300" s="293"/>
      <c r="R300" s="291"/>
      <c r="S300" s="294"/>
      <c r="T300" s="295"/>
      <c r="U300" s="9"/>
      <c r="V300" s="9"/>
      <c r="W300" s="9"/>
      <c r="X300" s="9"/>
      <c r="Y300" s="9"/>
      <c r="Z300" s="298"/>
      <c r="AA300" s="298"/>
    </row>
    <row r="301" spans="1:27" ht="13.5" customHeight="1" x14ac:dyDescent="0.25">
      <c r="A301" s="9"/>
      <c r="B301" s="9"/>
      <c r="C301" s="9"/>
      <c r="D301" s="9"/>
      <c r="E301" s="9"/>
      <c r="F301" s="185"/>
      <c r="G301" s="185"/>
      <c r="H301" s="9"/>
      <c r="I301" s="311"/>
      <c r="J301" s="310"/>
      <c r="K301" s="291"/>
      <c r="L301" s="309"/>
      <c r="M301" s="9"/>
      <c r="N301" s="9"/>
      <c r="O301" s="42"/>
      <c r="P301" s="310"/>
      <c r="Q301" s="293"/>
      <c r="R301" s="291"/>
      <c r="S301" s="294"/>
      <c r="T301" s="295"/>
      <c r="U301" s="9"/>
      <c r="V301" s="9"/>
      <c r="W301" s="9"/>
      <c r="X301" s="9"/>
      <c r="Y301" s="9"/>
      <c r="Z301" s="298"/>
      <c r="AA301" s="298"/>
    </row>
    <row r="302" spans="1:27" ht="13.5" customHeight="1" x14ac:dyDescent="0.25">
      <c r="A302" s="9"/>
      <c r="B302" s="9"/>
      <c r="C302" s="9"/>
      <c r="D302" s="9"/>
      <c r="E302" s="9"/>
      <c r="F302" s="185"/>
      <c r="G302" s="185"/>
      <c r="H302" s="9"/>
      <c r="I302" s="311"/>
      <c r="J302" s="310"/>
      <c r="K302" s="291"/>
      <c r="L302" s="309"/>
      <c r="M302" s="9"/>
      <c r="N302" s="9"/>
      <c r="O302" s="42"/>
      <c r="P302" s="310"/>
      <c r="Q302" s="293"/>
      <c r="R302" s="291"/>
      <c r="S302" s="294"/>
      <c r="T302" s="295"/>
      <c r="U302" s="9"/>
      <c r="V302" s="9"/>
      <c r="W302" s="9"/>
      <c r="X302" s="9"/>
      <c r="Y302" s="9"/>
      <c r="Z302" s="298"/>
      <c r="AA302" s="298"/>
    </row>
    <row r="303" spans="1:27" ht="13.5" customHeight="1" x14ac:dyDescent="0.25">
      <c r="A303" s="9"/>
      <c r="B303" s="9"/>
      <c r="C303" s="9"/>
      <c r="D303" s="9"/>
      <c r="E303" s="9"/>
      <c r="F303" s="185"/>
      <c r="G303" s="185"/>
      <c r="H303" s="9"/>
      <c r="I303" s="311"/>
      <c r="J303" s="310"/>
      <c r="K303" s="291"/>
      <c r="L303" s="309"/>
      <c r="M303" s="9"/>
      <c r="N303" s="9"/>
      <c r="O303" s="42"/>
      <c r="P303" s="310"/>
      <c r="Q303" s="293"/>
      <c r="R303" s="291"/>
      <c r="S303" s="294"/>
      <c r="T303" s="295"/>
      <c r="U303" s="9"/>
      <c r="V303" s="9"/>
      <c r="W303" s="9"/>
      <c r="X303" s="9"/>
      <c r="Y303" s="9"/>
      <c r="Z303" s="298"/>
      <c r="AA303" s="298"/>
    </row>
    <row r="304" spans="1:27" ht="13.5" customHeight="1" x14ac:dyDescent="0.25">
      <c r="A304" s="9"/>
      <c r="B304" s="9"/>
      <c r="C304" s="9"/>
      <c r="D304" s="9"/>
      <c r="E304" s="9"/>
      <c r="F304" s="185"/>
      <c r="G304" s="185"/>
      <c r="H304" s="9"/>
      <c r="I304" s="311"/>
      <c r="J304" s="310"/>
      <c r="K304" s="291"/>
      <c r="L304" s="309"/>
      <c r="M304" s="9"/>
      <c r="N304" s="9"/>
      <c r="O304" s="42"/>
      <c r="P304" s="310"/>
      <c r="Q304" s="293"/>
      <c r="R304" s="291"/>
      <c r="S304" s="294"/>
      <c r="T304" s="295"/>
      <c r="U304" s="9"/>
      <c r="V304" s="9"/>
      <c r="W304" s="9"/>
      <c r="X304" s="9"/>
      <c r="Y304" s="9"/>
      <c r="Z304" s="298"/>
      <c r="AA304" s="298"/>
    </row>
    <row r="305" spans="1:27" ht="13.5" customHeight="1" x14ac:dyDescent="0.25">
      <c r="A305" s="9"/>
      <c r="B305" s="9"/>
      <c r="C305" s="9"/>
      <c r="D305" s="9"/>
      <c r="E305" s="9"/>
      <c r="F305" s="185"/>
      <c r="G305" s="185"/>
      <c r="H305" s="9"/>
      <c r="I305" s="311"/>
      <c r="J305" s="310"/>
      <c r="K305" s="291"/>
      <c r="L305" s="309"/>
      <c r="M305" s="9"/>
      <c r="N305" s="9"/>
      <c r="O305" s="42"/>
      <c r="P305" s="310"/>
      <c r="Q305" s="293"/>
      <c r="R305" s="291"/>
      <c r="S305" s="294"/>
      <c r="T305" s="295"/>
      <c r="U305" s="9"/>
      <c r="V305" s="9"/>
      <c r="W305" s="9"/>
      <c r="X305" s="9"/>
      <c r="Y305" s="9"/>
      <c r="Z305" s="298"/>
      <c r="AA305" s="298"/>
    </row>
    <row r="306" spans="1:27" ht="13.5" customHeight="1" x14ac:dyDescent="0.25">
      <c r="A306" s="9"/>
      <c r="B306" s="9"/>
      <c r="C306" s="9"/>
      <c r="D306" s="9"/>
      <c r="E306" s="9"/>
      <c r="F306" s="185"/>
      <c r="G306" s="185"/>
      <c r="H306" s="9"/>
      <c r="I306" s="311"/>
      <c r="J306" s="310"/>
      <c r="K306" s="291"/>
      <c r="L306" s="309"/>
      <c r="M306" s="9"/>
      <c r="N306" s="9"/>
      <c r="O306" s="42"/>
      <c r="P306" s="310"/>
      <c r="Q306" s="293"/>
      <c r="R306" s="291"/>
      <c r="S306" s="294"/>
      <c r="T306" s="295"/>
      <c r="U306" s="9"/>
      <c r="V306" s="9"/>
      <c r="W306" s="9"/>
      <c r="X306" s="9"/>
      <c r="Y306" s="9"/>
      <c r="Z306" s="298"/>
      <c r="AA306" s="298"/>
    </row>
    <row r="307" spans="1:27" ht="13.5" customHeight="1" x14ac:dyDescent="0.25">
      <c r="A307" s="9"/>
      <c r="B307" s="9"/>
      <c r="C307" s="9"/>
      <c r="D307" s="9"/>
      <c r="E307" s="9"/>
      <c r="F307" s="185"/>
      <c r="G307" s="185"/>
      <c r="H307" s="9"/>
      <c r="I307" s="311"/>
      <c r="J307" s="310"/>
      <c r="K307" s="291"/>
      <c r="L307" s="309"/>
      <c r="M307" s="9"/>
      <c r="N307" s="9"/>
      <c r="O307" s="42"/>
      <c r="P307" s="310"/>
      <c r="Q307" s="293"/>
      <c r="R307" s="291"/>
      <c r="S307" s="294"/>
      <c r="T307" s="295"/>
      <c r="U307" s="9"/>
      <c r="V307" s="9"/>
      <c r="W307" s="9"/>
      <c r="X307" s="9"/>
      <c r="Y307" s="9"/>
      <c r="Z307" s="298"/>
      <c r="AA307" s="298"/>
    </row>
    <row r="308" spans="1:27" ht="13.5" customHeight="1" x14ac:dyDescent="0.25">
      <c r="A308" s="9"/>
      <c r="B308" s="9"/>
      <c r="C308" s="9"/>
      <c r="D308" s="9"/>
      <c r="E308" s="9"/>
      <c r="F308" s="185"/>
      <c r="G308" s="185"/>
      <c r="H308" s="9"/>
      <c r="I308" s="311"/>
      <c r="J308" s="310"/>
      <c r="K308" s="291"/>
      <c r="L308" s="309"/>
      <c r="M308" s="9"/>
      <c r="N308" s="9"/>
      <c r="O308" s="42"/>
      <c r="P308" s="310"/>
      <c r="Q308" s="293"/>
      <c r="R308" s="291"/>
      <c r="S308" s="294"/>
      <c r="T308" s="295"/>
      <c r="U308" s="9"/>
      <c r="V308" s="9"/>
      <c r="W308" s="9"/>
      <c r="X308" s="9"/>
      <c r="Y308" s="9"/>
      <c r="Z308" s="298"/>
      <c r="AA308" s="298"/>
    </row>
    <row r="309" spans="1:27" ht="13.5" customHeight="1" x14ac:dyDescent="0.25">
      <c r="A309" s="9"/>
      <c r="B309" s="9"/>
      <c r="C309" s="9"/>
      <c r="D309" s="9"/>
      <c r="E309" s="9"/>
      <c r="F309" s="185"/>
      <c r="G309" s="185"/>
      <c r="H309" s="9"/>
      <c r="I309" s="311"/>
      <c r="J309" s="310"/>
      <c r="K309" s="291"/>
      <c r="L309" s="309"/>
      <c r="M309" s="9"/>
      <c r="N309" s="9"/>
      <c r="O309" s="42"/>
      <c r="P309" s="310"/>
      <c r="Q309" s="293"/>
      <c r="R309" s="291"/>
      <c r="S309" s="294"/>
      <c r="T309" s="295"/>
      <c r="U309" s="9"/>
      <c r="V309" s="9"/>
      <c r="W309" s="9"/>
      <c r="X309" s="9"/>
      <c r="Y309" s="9"/>
      <c r="Z309" s="298"/>
      <c r="AA309" s="298"/>
    </row>
    <row r="310" spans="1:27" ht="13.5" customHeight="1" x14ac:dyDescent="0.25">
      <c r="A310" s="9"/>
      <c r="B310" s="9"/>
      <c r="C310" s="9"/>
      <c r="D310" s="9"/>
      <c r="E310" s="9"/>
      <c r="F310" s="185"/>
      <c r="G310" s="185"/>
      <c r="H310" s="9"/>
      <c r="I310" s="311"/>
      <c r="J310" s="310"/>
      <c r="K310" s="291"/>
      <c r="L310" s="309"/>
      <c r="M310" s="9"/>
      <c r="N310" s="9"/>
      <c r="O310" s="42"/>
      <c r="P310" s="310"/>
      <c r="Q310" s="293"/>
      <c r="R310" s="291"/>
      <c r="S310" s="294"/>
      <c r="T310" s="295"/>
      <c r="U310" s="9"/>
      <c r="V310" s="9"/>
      <c r="W310" s="9"/>
      <c r="X310" s="9"/>
      <c r="Y310" s="9"/>
      <c r="Z310" s="298"/>
      <c r="AA310" s="298"/>
    </row>
    <row r="311" spans="1:27" ht="13.5" customHeight="1" x14ac:dyDescent="0.25">
      <c r="A311" s="9"/>
      <c r="B311" s="9"/>
      <c r="C311" s="9"/>
      <c r="D311" s="9"/>
      <c r="E311" s="9"/>
      <c r="F311" s="185"/>
      <c r="G311" s="185"/>
      <c r="H311" s="9"/>
      <c r="I311" s="311"/>
      <c r="J311" s="310"/>
      <c r="K311" s="291"/>
      <c r="L311" s="309"/>
      <c r="M311" s="9"/>
      <c r="N311" s="9"/>
      <c r="O311" s="42"/>
      <c r="P311" s="310"/>
      <c r="Q311" s="293"/>
      <c r="R311" s="291"/>
      <c r="S311" s="294"/>
      <c r="T311" s="295"/>
      <c r="U311" s="9"/>
      <c r="V311" s="9"/>
      <c r="W311" s="9"/>
      <c r="X311" s="9"/>
      <c r="Y311" s="9"/>
      <c r="Z311" s="298"/>
      <c r="AA311" s="298"/>
    </row>
    <row r="312" spans="1:27" ht="13.5" customHeight="1" x14ac:dyDescent="0.25">
      <c r="A312" s="9"/>
      <c r="B312" s="9"/>
      <c r="C312" s="9"/>
      <c r="D312" s="9"/>
      <c r="E312" s="9"/>
      <c r="F312" s="185"/>
      <c r="G312" s="185"/>
      <c r="H312" s="9"/>
      <c r="I312" s="311"/>
      <c r="J312" s="310"/>
      <c r="K312" s="291"/>
      <c r="L312" s="309"/>
      <c r="M312" s="9"/>
      <c r="N312" s="9"/>
      <c r="O312" s="42"/>
      <c r="P312" s="310"/>
      <c r="Q312" s="293"/>
      <c r="R312" s="291"/>
      <c r="S312" s="294"/>
      <c r="T312" s="295"/>
      <c r="U312" s="9"/>
      <c r="V312" s="9"/>
      <c r="W312" s="9"/>
      <c r="X312" s="9"/>
      <c r="Y312" s="9"/>
      <c r="Z312" s="298"/>
      <c r="AA312" s="298"/>
    </row>
    <row r="313" spans="1:27" ht="13.5" customHeight="1" x14ac:dyDescent="0.25">
      <c r="A313" s="9"/>
      <c r="B313" s="9"/>
      <c r="C313" s="9"/>
      <c r="D313" s="9"/>
      <c r="E313" s="9"/>
      <c r="F313" s="185"/>
      <c r="G313" s="185"/>
      <c r="H313" s="9"/>
      <c r="I313" s="311"/>
      <c r="J313" s="310"/>
      <c r="K313" s="291"/>
      <c r="L313" s="309"/>
      <c r="M313" s="9"/>
      <c r="N313" s="9"/>
      <c r="O313" s="42"/>
      <c r="P313" s="310"/>
      <c r="Q313" s="293"/>
      <c r="R313" s="291"/>
      <c r="S313" s="294"/>
      <c r="T313" s="295"/>
      <c r="U313" s="9"/>
      <c r="V313" s="9"/>
      <c r="W313" s="9"/>
      <c r="X313" s="9"/>
      <c r="Y313" s="9"/>
      <c r="Z313" s="298"/>
      <c r="AA313" s="298"/>
    </row>
    <row r="314" spans="1:27" ht="13.5" customHeight="1" x14ac:dyDescent="0.25">
      <c r="A314" s="9"/>
      <c r="B314" s="9"/>
      <c r="C314" s="9"/>
      <c r="D314" s="9"/>
      <c r="E314" s="9"/>
      <c r="F314" s="185"/>
      <c r="G314" s="185"/>
      <c r="H314" s="9"/>
      <c r="I314" s="311"/>
      <c r="J314" s="310"/>
      <c r="K314" s="291"/>
      <c r="L314" s="309"/>
      <c r="M314" s="9"/>
      <c r="N314" s="9"/>
      <c r="O314" s="42"/>
      <c r="P314" s="310"/>
      <c r="Q314" s="293"/>
      <c r="R314" s="291"/>
      <c r="S314" s="294"/>
      <c r="T314" s="295"/>
      <c r="U314" s="9"/>
      <c r="V314" s="9"/>
      <c r="W314" s="9"/>
      <c r="X314" s="9"/>
      <c r="Y314" s="9"/>
      <c r="Z314" s="298"/>
      <c r="AA314" s="298"/>
    </row>
    <row r="315" spans="1:27" ht="13.5" customHeight="1" x14ac:dyDescent="0.25">
      <c r="A315" s="9"/>
      <c r="B315" s="9"/>
      <c r="C315" s="9"/>
      <c r="D315" s="9"/>
      <c r="E315" s="9"/>
      <c r="F315" s="185"/>
      <c r="G315" s="185"/>
      <c r="H315" s="9"/>
      <c r="I315" s="311"/>
      <c r="J315" s="310"/>
      <c r="K315" s="291"/>
      <c r="L315" s="309"/>
      <c r="M315" s="9"/>
      <c r="N315" s="9"/>
      <c r="O315" s="42"/>
      <c r="P315" s="310"/>
      <c r="Q315" s="293"/>
      <c r="R315" s="291"/>
      <c r="S315" s="294"/>
      <c r="T315" s="295"/>
      <c r="U315" s="9"/>
      <c r="V315" s="9"/>
      <c r="W315" s="9"/>
      <c r="X315" s="9"/>
      <c r="Y315" s="9"/>
      <c r="Z315" s="298"/>
      <c r="AA315" s="298"/>
    </row>
    <row r="316" spans="1:27" ht="13.5" customHeight="1" x14ac:dyDescent="0.25">
      <c r="A316" s="9"/>
      <c r="B316" s="9"/>
      <c r="C316" s="9"/>
      <c r="D316" s="9"/>
      <c r="E316" s="9"/>
      <c r="F316" s="185"/>
      <c r="G316" s="185"/>
      <c r="H316" s="9"/>
      <c r="I316" s="311"/>
      <c r="J316" s="310"/>
      <c r="K316" s="291"/>
      <c r="L316" s="309"/>
      <c r="M316" s="9"/>
      <c r="N316" s="9"/>
      <c r="O316" s="42"/>
      <c r="P316" s="310"/>
      <c r="Q316" s="293"/>
      <c r="R316" s="291"/>
      <c r="S316" s="294"/>
      <c r="T316" s="295"/>
      <c r="U316" s="9"/>
      <c r="V316" s="9"/>
      <c r="W316" s="9"/>
      <c r="X316" s="9"/>
      <c r="Y316" s="9"/>
      <c r="Z316" s="298"/>
      <c r="AA316" s="298"/>
    </row>
    <row r="317" spans="1:27" ht="13.5" customHeight="1" x14ac:dyDescent="0.25">
      <c r="A317" s="9"/>
      <c r="B317" s="9"/>
      <c r="C317" s="9"/>
      <c r="D317" s="9"/>
      <c r="E317" s="9"/>
      <c r="F317" s="185"/>
      <c r="G317" s="185"/>
      <c r="H317" s="9"/>
      <c r="I317" s="311"/>
      <c r="J317" s="310"/>
      <c r="K317" s="291"/>
      <c r="L317" s="309"/>
      <c r="M317" s="9"/>
      <c r="N317" s="9"/>
      <c r="O317" s="42"/>
      <c r="P317" s="310"/>
      <c r="Q317" s="293"/>
      <c r="R317" s="291"/>
      <c r="S317" s="294"/>
      <c r="T317" s="295"/>
      <c r="U317" s="9"/>
      <c r="V317" s="9"/>
      <c r="W317" s="9"/>
      <c r="X317" s="9"/>
      <c r="Y317" s="9"/>
      <c r="Z317" s="298"/>
      <c r="AA317" s="298"/>
    </row>
    <row r="318" spans="1:27" ht="13.5" customHeight="1" x14ac:dyDescent="0.25">
      <c r="A318" s="9"/>
      <c r="B318" s="9"/>
      <c r="C318" s="9"/>
      <c r="D318" s="9"/>
      <c r="E318" s="9"/>
      <c r="F318" s="185"/>
      <c r="G318" s="185"/>
      <c r="H318" s="9"/>
      <c r="I318" s="311"/>
      <c r="J318" s="310"/>
      <c r="K318" s="291"/>
      <c r="L318" s="309"/>
      <c r="M318" s="9"/>
      <c r="N318" s="9"/>
      <c r="O318" s="42"/>
      <c r="P318" s="310"/>
      <c r="Q318" s="293"/>
      <c r="R318" s="291"/>
      <c r="S318" s="294"/>
      <c r="T318" s="295"/>
      <c r="U318" s="9"/>
      <c r="V318" s="9"/>
      <c r="W318" s="9"/>
      <c r="X318" s="9"/>
      <c r="Y318" s="9"/>
      <c r="Z318" s="298"/>
      <c r="AA318" s="298"/>
    </row>
    <row r="319" spans="1:27" ht="13.5" customHeight="1" x14ac:dyDescent="0.25">
      <c r="A319" s="9"/>
      <c r="B319" s="9"/>
      <c r="C319" s="9"/>
      <c r="D319" s="9"/>
      <c r="E319" s="9"/>
      <c r="F319" s="185"/>
      <c r="G319" s="185"/>
      <c r="H319" s="9"/>
      <c r="I319" s="311"/>
      <c r="J319" s="310"/>
      <c r="K319" s="291"/>
      <c r="L319" s="309"/>
      <c r="M319" s="9"/>
      <c r="N319" s="9"/>
      <c r="O319" s="42"/>
      <c r="P319" s="310"/>
      <c r="Q319" s="293"/>
      <c r="R319" s="291"/>
      <c r="S319" s="294"/>
      <c r="T319" s="295"/>
      <c r="U319" s="9"/>
      <c r="V319" s="9"/>
      <c r="W319" s="9"/>
      <c r="X319" s="9"/>
      <c r="Y319" s="9"/>
      <c r="Z319" s="298"/>
      <c r="AA319" s="298"/>
    </row>
    <row r="320" spans="1:27" ht="13.5" customHeight="1" x14ac:dyDescent="0.25">
      <c r="A320" s="9"/>
      <c r="B320" s="9"/>
      <c r="C320" s="9"/>
      <c r="D320" s="9"/>
      <c r="E320" s="9"/>
      <c r="F320" s="185"/>
      <c r="G320" s="185"/>
      <c r="H320" s="9"/>
      <c r="I320" s="311"/>
      <c r="J320" s="310"/>
      <c r="K320" s="291"/>
      <c r="L320" s="309"/>
      <c r="M320" s="9"/>
      <c r="N320" s="9"/>
      <c r="O320" s="42"/>
      <c r="P320" s="310"/>
      <c r="Q320" s="293"/>
      <c r="R320" s="291"/>
      <c r="S320" s="294"/>
      <c r="T320" s="295"/>
      <c r="U320" s="9"/>
      <c r="V320" s="9"/>
      <c r="W320" s="9"/>
      <c r="X320" s="9"/>
      <c r="Y320" s="9"/>
      <c r="Z320" s="298"/>
      <c r="AA320" s="298"/>
    </row>
    <row r="321" spans="1:27" ht="13.5" customHeight="1" x14ac:dyDescent="0.25">
      <c r="A321" s="9"/>
      <c r="B321" s="9"/>
      <c r="C321" s="9"/>
      <c r="D321" s="9"/>
      <c r="E321" s="9"/>
      <c r="F321" s="185"/>
      <c r="G321" s="185"/>
      <c r="H321" s="9"/>
      <c r="I321" s="311"/>
      <c r="J321" s="310"/>
      <c r="K321" s="291"/>
      <c r="L321" s="309"/>
      <c r="M321" s="9"/>
      <c r="N321" s="9"/>
      <c r="O321" s="42"/>
      <c r="P321" s="310"/>
      <c r="Q321" s="293"/>
      <c r="R321" s="291"/>
      <c r="S321" s="294"/>
      <c r="T321" s="295"/>
      <c r="U321" s="9"/>
      <c r="V321" s="9"/>
      <c r="W321" s="9"/>
      <c r="X321" s="9"/>
      <c r="Y321" s="9"/>
      <c r="Z321" s="298"/>
      <c r="AA321" s="298"/>
    </row>
    <row r="322" spans="1:27" ht="13.5" customHeight="1" x14ac:dyDescent="0.25">
      <c r="A322" s="9"/>
      <c r="B322" s="9"/>
      <c r="C322" s="9"/>
      <c r="D322" s="9"/>
      <c r="E322" s="9"/>
      <c r="F322" s="185"/>
      <c r="G322" s="185"/>
      <c r="H322" s="9"/>
      <c r="I322" s="311"/>
      <c r="J322" s="310"/>
      <c r="K322" s="291"/>
      <c r="L322" s="309"/>
      <c r="M322" s="9"/>
      <c r="N322" s="9"/>
      <c r="O322" s="42"/>
      <c r="P322" s="310"/>
      <c r="Q322" s="293"/>
      <c r="R322" s="291"/>
      <c r="S322" s="294"/>
      <c r="T322" s="295"/>
      <c r="U322" s="9"/>
      <c r="V322" s="9"/>
      <c r="W322" s="9"/>
      <c r="X322" s="9"/>
      <c r="Y322" s="9"/>
      <c r="Z322" s="298"/>
      <c r="AA322" s="298"/>
    </row>
    <row r="323" spans="1:27" ht="13.5" customHeight="1" x14ac:dyDescent="0.25">
      <c r="A323" s="9"/>
      <c r="B323" s="9"/>
      <c r="C323" s="9"/>
      <c r="D323" s="9"/>
      <c r="E323" s="9"/>
      <c r="F323" s="185"/>
      <c r="G323" s="185"/>
      <c r="H323" s="9"/>
      <c r="I323" s="311"/>
      <c r="J323" s="310"/>
      <c r="K323" s="291"/>
      <c r="L323" s="309"/>
      <c r="M323" s="9"/>
      <c r="N323" s="9"/>
      <c r="O323" s="42"/>
      <c r="P323" s="310"/>
      <c r="Q323" s="293"/>
      <c r="R323" s="291"/>
      <c r="S323" s="294"/>
      <c r="T323" s="295"/>
      <c r="U323" s="9"/>
      <c r="V323" s="9"/>
      <c r="W323" s="9"/>
      <c r="X323" s="9"/>
      <c r="Y323" s="9"/>
      <c r="Z323" s="298"/>
      <c r="AA323" s="298"/>
    </row>
    <row r="324" spans="1:27" ht="13.5" customHeight="1" x14ac:dyDescent="0.25">
      <c r="A324" s="9"/>
      <c r="B324" s="9"/>
      <c r="C324" s="9"/>
      <c r="D324" s="9"/>
      <c r="E324" s="9"/>
      <c r="F324" s="185"/>
      <c r="G324" s="185"/>
      <c r="H324" s="9"/>
      <c r="I324" s="311"/>
      <c r="J324" s="310"/>
      <c r="K324" s="291"/>
      <c r="L324" s="309"/>
      <c r="M324" s="9"/>
      <c r="N324" s="9"/>
      <c r="O324" s="42"/>
      <c r="P324" s="310"/>
      <c r="Q324" s="293"/>
      <c r="R324" s="291"/>
      <c r="S324" s="294"/>
      <c r="T324" s="295"/>
      <c r="U324" s="9"/>
      <c r="V324" s="9"/>
      <c r="W324" s="9"/>
      <c r="X324" s="9"/>
      <c r="Y324" s="9"/>
      <c r="Z324" s="298"/>
      <c r="AA324" s="298"/>
    </row>
    <row r="325" spans="1:27" ht="13.5" customHeight="1" x14ac:dyDescent="0.25">
      <c r="A325" s="9"/>
      <c r="B325" s="9"/>
      <c r="C325" s="9"/>
      <c r="D325" s="9"/>
      <c r="E325" s="9"/>
      <c r="F325" s="185"/>
      <c r="G325" s="185"/>
      <c r="H325" s="9"/>
      <c r="I325" s="311"/>
      <c r="J325" s="310"/>
      <c r="K325" s="291"/>
      <c r="L325" s="309"/>
      <c r="M325" s="9"/>
      <c r="N325" s="9"/>
      <c r="O325" s="42"/>
      <c r="P325" s="310"/>
      <c r="Q325" s="293"/>
      <c r="R325" s="291"/>
      <c r="S325" s="294"/>
      <c r="T325" s="295"/>
      <c r="U325" s="9"/>
      <c r="V325" s="9"/>
      <c r="W325" s="9"/>
      <c r="X325" s="9"/>
      <c r="Y325" s="9"/>
      <c r="Z325" s="298"/>
      <c r="AA325" s="298"/>
    </row>
    <row r="326" spans="1:27" ht="13.5" customHeight="1" x14ac:dyDescent="0.25">
      <c r="A326" s="9"/>
      <c r="B326" s="9"/>
      <c r="C326" s="9"/>
      <c r="D326" s="9"/>
      <c r="E326" s="9"/>
      <c r="F326" s="185"/>
      <c r="G326" s="185"/>
      <c r="H326" s="9"/>
      <c r="I326" s="311"/>
      <c r="J326" s="310"/>
      <c r="K326" s="291"/>
      <c r="L326" s="309"/>
      <c r="M326" s="9"/>
      <c r="N326" s="9"/>
      <c r="O326" s="42"/>
      <c r="P326" s="310"/>
      <c r="Q326" s="293"/>
      <c r="R326" s="291"/>
      <c r="S326" s="294"/>
      <c r="T326" s="295"/>
      <c r="U326" s="9"/>
      <c r="V326" s="9"/>
      <c r="W326" s="9"/>
      <c r="X326" s="9"/>
      <c r="Y326" s="9"/>
      <c r="Z326" s="298"/>
      <c r="AA326" s="298"/>
    </row>
    <row r="327" spans="1:27" ht="13.5" customHeight="1" x14ac:dyDescent="0.25">
      <c r="A327" s="9"/>
      <c r="B327" s="9"/>
      <c r="C327" s="9"/>
      <c r="D327" s="9"/>
      <c r="E327" s="9"/>
      <c r="F327" s="185"/>
      <c r="G327" s="185"/>
      <c r="H327" s="9"/>
      <c r="I327" s="311"/>
      <c r="J327" s="310"/>
      <c r="K327" s="291"/>
      <c r="L327" s="309"/>
      <c r="M327" s="9"/>
      <c r="N327" s="9"/>
      <c r="O327" s="42"/>
      <c r="P327" s="310"/>
      <c r="Q327" s="293"/>
      <c r="R327" s="291"/>
      <c r="S327" s="294"/>
      <c r="T327" s="295"/>
      <c r="U327" s="9"/>
      <c r="V327" s="9"/>
      <c r="W327" s="9"/>
      <c r="X327" s="9"/>
      <c r="Y327" s="9"/>
      <c r="Z327" s="298"/>
      <c r="AA327" s="298"/>
    </row>
    <row r="328" spans="1:27" ht="13.5" customHeight="1" x14ac:dyDescent="0.25">
      <c r="A328" s="9"/>
      <c r="B328" s="9"/>
      <c r="C328" s="9"/>
      <c r="D328" s="9"/>
      <c r="E328" s="9"/>
      <c r="F328" s="185"/>
      <c r="G328" s="185"/>
      <c r="H328" s="9"/>
      <c r="I328" s="311"/>
      <c r="J328" s="310"/>
      <c r="K328" s="291"/>
      <c r="L328" s="309"/>
      <c r="M328" s="9"/>
      <c r="N328" s="9"/>
      <c r="O328" s="42"/>
      <c r="P328" s="310"/>
      <c r="Q328" s="293"/>
      <c r="R328" s="291"/>
      <c r="S328" s="294"/>
      <c r="T328" s="295"/>
      <c r="U328" s="9"/>
      <c r="V328" s="9"/>
      <c r="W328" s="9"/>
      <c r="X328" s="9"/>
      <c r="Y328" s="9"/>
      <c r="Z328" s="298"/>
      <c r="AA328" s="298"/>
    </row>
    <row r="329" spans="1:27" ht="13.5" customHeight="1" x14ac:dyDescent="0.25">
      <c r="A329" s="9"/>
      <c r="B329" s="9"/>
      <c r="C329" s="9"/>
      <c r="D329" s="9"/>
      <c r="E329" s="9"/>
      <c r="F329" s="185"/>
      <c r="G329" s="185"/>
      <c r="H329" s="9"/>
      <c r="I329" s="311"/>
      <c r="J329" s="310"/>
      <c r="K329" s="291"/>
      <c r="L329" s="309"/>
      <c r="M329" s="9"/>
      <c r="N329" s="9"/>
      <c r="O329" s="42"/>
      <c r="P329" s="310"/>
      <c r="Q329" s="293"/>
      <c r="R329" s="291"/>
      <c r="S329" s="294"/>
      <c r="T329" s="295"/>
      <c r="U329" s="9"/>
      <c r="V329" s="9"/>
      <c r="W329" s="9"/>
      <c r="X329" s="9"/>
      <c r="Y329" s="9"/>
      <c r="Z329" s="298"/>
      <c r="AA329" s="298"/>
    </row>
    <row r="330" spans="1:27" ht="13.5" customHeight="1" x14ac:dyDescent="0.25">
      <c r="A330" s="9"/>
      <c r="B330" s="9"/>
      <c r="C330" s="9"/>
      <c r="D330" s="9"/>
      <c r="E330" s="9"/>
      <c r="F330" s="185"/>
      <c r="G330" s="185"/>
      <c r="H330" s="9"/>
      <c r="I330" s="311"/>
      <c r="J330" s="310"/>
      <c r="K330" s="291"/>
      <c r="L330" s="309"/>
      <c r="M330" s="9"/>
      <c r="N330" s="9"/>
      <c r="O330" s="42"/>
      <c r="P330" s="310"/>
      <c r="Q330" s="293"/>
      <c r="R330" s="291"/>
      <c r="S330" s="294"/>
      <c r="T330" s="295"/>
      <c r="U330" s="9"/>
      <c r="V330" s="9"/>
      <c r="W330" s="9"/>
      <c r="X330" s="9"/>
      <c r="Y330" s="9"/>
      <c r="Z330" s="298"/>
      <c r="AA330" s="298"/>
    </row>
    <row r="331" spans="1:27" ht="13.5" customHeight="1" x14ac:dyDescent="0.25">
      <c r="A331" s="9"/>
      <c r="B331" s="9"/>
      <c r="C331" s="9"/>
      <c r="D331" s="9"/>
      <c r="E331" s="9"/>
      <c r="F331" s="185"/>
      <c r="G331" s="185"/>
      <c r="H331" s="9"/>
      <c r="I331" s="311"/>
      <c r="J331" s="310"/>
      <c r="K331" s="291"/>
      <c r="L331" s="309"/>
      <c r="M331" s="9"/>
      <c r="N331" s="9"/>
      <c r="O331" s="42"/>
      <c r="P331" s="310"/>
      <c r="Q331" s="293"/>
      <c r="R331" s="291"/>
      <c r="S331" s="294"/>
      <c r="T331" s="295"/>
      <c r="U331" s="9"/>
      <c r="V331" s="9"/>
      <c r="W331" s="9"/>
      <c r="X331" s="9"/>
      <c r="Y331" s="9"/>
      <c r="Z331" s="298"/>
      <c r="AA331" s="298"/>
    </row>
    <row r="332" spans="1:27" ht="13.5" customHeight="1" x14ac:dyDescent="0.25">
      <c r="A332" s="9"/>
      <c r="B332" s="9"/>
      <c r="C332" s="9"/>
      <c r="D332" s="9"/>
      <c r="E332" s="9"/>
      <c r="F332" s="185"/>
      <c r="G332" s="185"/>
      <c r="H332" s="9"/>
      <c r="I332" s="311"/>
      <c r="J332" s="310"/>
      <c r="K332" s="291"/>
      <c r="L332" s="309"/>
      <c r="M332" s="9"/>
      <c r="N332" s="9"/>
      <c r="O332" s="42"/>
      <c r="P332" s="310"/>
      <c r="Q332" s="293"/>
      <c r="R332" s="291"/>
      <c r="S332" s="294"/>
      <c r="T332" s="295"/>
      <c r="U332" s="9"/>
      <c r="V332" s="9"/>
      <c r="W332" s="9"/>
      <c r="X332" s="9"/>
      <c r="Y332" s="9"/>
      <c r="Z332" s="298"/>
      <c r="AA332" s="298"/>
    </row>
    <row r="333" spans="1:27" ht="13.5" customHeight="1" x14ac:dyDescent="0.25">
      <c r="A333" s="9"/>
      <c r="B333" s="9"/>
      <c r="C333" s="9"/>
      <c r="D333" s="9"/>
      <c r="E333" s="9"/>
      <c r="F333" s="185"/>
      <c r="G333" s="185"/>
      <c r="H333" s="9"/>
      <c r="I333" s="311"/>
      <c r="J333" s="310"/>
      <c r="K333" s="291"/>
      <c r="L333" s="309"/>
      <c r="M333" s="9"/>
      <c r="N333" s="9"/>
      <c r="O333" s="42"/>
      <c r="P333" s="310"/>
      <c r="Q333" s="293"/>
      <c r="R333" s="291"/>
      <c r="S333" s="294"/>
      <c r="T333" s="295"/>
      <c r="U333" s="9"/>
      <c r="V333" s="9"/>
      <c r="W333" s="9"/>
      <c r="X333" s="9"/>
      <c r="Y333" s="9"/>
      <c r="Z333" s="298"/>
      <c r="AA333" s="298"/>
    </row>
    <row r="334" spans="1:27" ht="13.5" customHeight="1" x14ac:dyDescent="0.25">
      <c r="A334" s="9"/>
      <c r="B334" s="9"/>
      <c r="C334" s="9"/>
      <c r="D334" s="9"/>
      <c r="E334" s="9"/>
      <c r="F334" s="185"/>
      <c r="G334" s="185"/>
      <c r="H334" s="9"/>
      <c r="I334" s="311"/>
      <c r="J334" s="310"/>
      <c r="K334" s="291"/>
      <c r="L334" s="309"/>
      <c r="M334" s="9"/>
      <c r="N334" s="9"/>
      <c r="O334" s="42"/>
      <c r="P334" s="310"/>
      <c r="Q334" s="293"/>
      <c r="R334" s="291"/>
      <c r="S334" s="294"/>
      <c r="T334" s="295"/>
      <c r="U334" s="9"/>
      <c r="V334" s="9"/>
      <c r="W334" s="9"/>
      <c r="X334" s="9"/>
      <c r="Y334" s="9"/>
      <c r="Z334" s="298"/>
      <c r="AA334" s="298"/>
    </row>
    <row r="335" spans="1:27" ht="13.5" customHeight="1" x14ac:dyDescent="0.25">
      <c r="A335" s="9"/>
      <c r="B335" s="9"/>
      <c r="C335" s="9"/>
      <c r="D335" s="9"/>
      <c r="E335" s="9"/>
      <c r="F335" s="185"/>
      <c r="G335" s="185"/>
      <c r="H335" s="9"/>
      <c r="I335" s="311"/>
      <c r="J335" s="310"/>
      <c r="K335" s="291"/>
      <c r="L335" s="309"/>
      <c r="M335" s="9"/>
      <c r="N335" s="9"/>
      <c r="O335" s="42"/>
      <c r="P335" s="310"/>
      <c r="Q335" s="293"/>
      <c r="R335" s="291"/>
      <c r="S335" s="294"/>
      <c r="T335" s="295"/>
      <c r="U335" s="9"/>
      <c r="V335" s="9"/>
      <c r="W335" s="9"/>
      <c r="X335" s="9"/>
      <c r="Y335" s="9"/>
      <c r="Z335" s="298"/>
      <c r="AA335" s="298"/>
    </row>
    <row r="336" spans="1:27" ht="13.5" customHeight="1" x14ac:dyDescent="0.25">
      <c r="A336" s="9"/>
      <c r="B336" s="9"/>
      <c r="C336" s="9"/>
      <c r="D336" s="9"/>
      <c r="E336" s="9"/>
      <c r="F336" s="185"/>
      <c r="G336" s="185"/>
      <c r="H336" s="9"/>
      <c r="I336" s="311"/>
      <c r="J336" s="310"/>
      <c r="K336" s="291"/>
      <c r="L336" s="309"/>
      <c r="M336" s="9"/>
      <c r="N336" s="9"/>
      <c r="O336" s="42"/>
      <c r="P336" s="310"/>
      <c r="Q336" s="293"/>
      <c r="R336" s="291"/>
      <c r="S336" s="294"/>
      <c r="T336" s="295"/>
      <c r="U336" s="9"/>
      <c r="V336" s="9"/>
      <c r="W336" s="9"/>
      <c r="X336" s="9"/>
      <c r="Y336" s="9"/>
      <c r="Z336" s="298"/>
      <c r="AA336" s="298"/>
    </row>
    <row r="337" spans="1:27" ht="13.5" customHeight="1" x14ac:dyDescent="0.25">
      <c r="A337" s="9"/>
      <c r="B337" s="9"/>
      <c r="C337" s="9"/>
      <c r="D337" s="9"/>
      <c r="E337" s="9"/>
      <c r="F337" s="185"/>
      <c r="G337" s="185"/>
      <c r="H337" s="9"/>
      <c r="I337" s="311"/>
      <c r="J337" s="310"/>
      <c r="K337" s="291"/>
      <c r="L337" s="309"/>
      <c r="M337" s="9"/>
      <c r="N337" s="9"/>
      <c r="O337" s="42"/>
      <c r="P337" s="310"/>
      <c r="Q337" s="293"/>
      <c r="R337" s="291"/>
      <c r="S337" s="294"/>
      <c r="T337" s="295"/>
      <c r="U337" s="9"/>
      <c r="V337" s="9"/>
      <c r="W337" s="9"/>
      <c r="X337" s="9"/>
      <c r="Y337" s="9"/>
      <c r="Z337" s="298"/>
      <c r="AA337" s="298"/>
    </row>
    <row r="338" spans="1:27" ht="13.5" customHeight="1" x14ac:dyDescent="0.25">
      <c r="A338" s="9"/>
      <c r="B338" s="9"/>
      <c r="C338" s="9"/>
      <c r="D338" s="9"/>
      <c r="E338" s="9"/>
      <c r="F338" s="185"/>
      <c r="G338" s="185"/>
      <c r="H338" s="9"/>
      <c r="I338" s="311"/>
      <c r="J338" s="310"/>
      <c r="K338" s="291"/>
      <c r="L338" s="309"/>
      <c r="M338" s="9"/>
      <c r="N338" s="9"/>
      <c r="O338" s="42"/>
      <c r="P338" s="310"/>
      <c r="Q338" s="293"/>
      <c r="R338" s="291"/>
      <c r="S338" s="294"/>
      <c r="T338" s="295"/>
      <c r="U338" s="9"/>
      <c r="V338" s="9"/>
      <c r="W338" s="9"/>
      <c r="X338" s="9"/>
      <c r="Y338" s="9"/>
      <c r="Z338" s="298"/>
      <c r="AA338" s="298"/>
    </row>
    <row r="339" spans="1:27" ht="13.5" customHeight="1" x14ac:dyDescent="0.25">
      <c r="A339" s="9"/>
      <c r="B339" s="9"/>
      <c r="C339" s="9"/>
      <c r="D339" s="9"/>
      <c r="E339" s="9"/>
      <c r="F339" s="185"/>
      <c r="G339" s="185"/>
      <c r="H339" s="9"/>
      <c r="I339" s="311"/>
      <c r="J339" s="310"/>
      <c r="K339" s="291"/>
      <c r="L339" s="309"/>
      <c r="M339" s="9"/>
      <c r="N339" s="9"/>
      <c r="O339" s="42"/>
      <c r="P339" s="310"/>
      <c r="Q339" s="293"/>
      <c r="R339" s="291"/>
      <c r="S339" s="294"/>
      <c r="T339" s="295"/>
      <c r="U339" s="9"/>
      <c r="V339" s="9"/>
      <c r="W339" s="9"/>
      <c r="X339" s="9"/>
      <c r="Y339" s="9"/>
      <c r="Z339" s="298"/>
      <c r="AA339" s="298"/>
    </row>
    <row r="340" spans="1:27" ht="13.5" customHeight="1" x14ac:dyDescent="0.25">
      <c r="A340" s="9"/>
      <c r="B340" s="9"/>
      <c r="C340" s="9"/>
      <c r="D340" s="9"/>
      <c r="E340" s="9"/>
      <c r="F340" s="185"/>
      <c r="G340" s="185"/>
      <c r="H340" s="9"/>
      <c r="I340" s="311"/>
      <c r="J340" s="310"/>
      <c r="K340" s="291"/>
      <c r="L340" s="309"/>
      <c r="M340" s="9"/>
      <c r="N340" s="9"/>
      <c r="O340" s="42"/>
      <c r="P340" s="310"/>
      <c r="Q340" s="293"/>
      <c r="R340" s="291"/>
      <c r="S340" s="294"/>
      <c r="T340" s="295"/>
      <c r="U340" s="9"/>
      <c r="V340" s="9"/>
      <c r="W340" s="9"/>
      <c r="X340" s="9"/>
      <c r="Y340" s="9"/>
      <c r="Z340" s="298"/>
      <c r="AA340" s="298"/>
    </row>
    <row r="341" spans="1:27" ht="13.5" customHeight="1" x14ac:dyDescent="0.25">
      <c r="A341" s="9"/>
      <c r="B341" s="9"/>
      <c r="C341" s="9"/>
      <c r="D341" s="9"/>
      <c r="E341" s="9"/>
      <c r="F341" s="185"/>
      <c r="G341" s="185"/>
      <c r="H341" s="9"/>
      <c r="I341" s="311"/>
      <c r="J341" s="310"/>
      <c r="K341" s="291"/>
      <c r="L341" s="309"/>
      <c r="M341" s="9"/>
      <c r="N341" s="9"/>
      <c r="O341" s="42"/>
      <c r="P341" s="310"/>
      <c r="Q341" s="293"/>
      <c r="R341" s="291"/>
      <c r="S341" s="294"/>
      <c r="T341" s="295"/>
      <c r="U341" s="9"/>
      <c r="V341" s="9"/>
      <c r="W341" s="9"/>
      <c r="X341" s="9"/>
      <c r="Y341" s="9"/>
      <c r="Z341" s="298"/>
      <c r="AA341" s="298"/>
    </row>
    <row r="342" spans="1:27" ht="13.5" customHeight="1" x14ac:dyDescent="0.25">
      <c r="A342" s="9"/>
      <c r="B342" s="9"/>
      <c r="C342" s="9"/>
      <c r="D342" s="9"/>
      <c r="E342" s="9"/>
      <c r="F342" s="185"/>
      <c r="G342" s="185"/>
      <c r="H342" s="9"/>
      <c r="I342" s="311"/>
      <c r="J342" s="310"/>
      <c r="K342" s="291"/>
      <c r="L342" s="309"/>
      <c r="M342" s="9"/>
      <c r="N342" s="9"/>
      <c r="O342" s="42"/>
      <c r="P342" s="310"/>
      <c r="Q342" s="293"/>
      <c r="R342" s="291"/>
      <c r="S342" s="294"/>
      <c r="T342" s="295"/>
      <c r="U342" s="9"/>
      <c r="V342" s="9"/>
      <c r="W342" s="9"/>
      <c r="X342" s="9"/>
      <c r="Y342" s="9"/>
      <c r="Z342" s="298"/>
      <c r="AA342" s="298"/>
    </row>
    <row r="343" spans="1:27" ht="13.5" customHeight="1" x14ac:dyDescent="0.25">
      <c r="A343" s="9"/>
      <c r="B343" s="9"/>
      <c r="C343" s="9"/>
      <c r="D343" s="9"/>
      <c r="E343" s="9"/>
      <c r="F343" s="185"/>
      <c r="G343" s="185"/>
      <c r="H343" s="9"/>
      <c r="I343" s="311"/>
      <c r="J343" s="310"/>
      <c r="K343" s="291"/>
      <c r="L343" s="309"/>
      <c r="M343" s="9"/>
      <c r="N343" s="9"/>
      <c r="O343" s="42"/>
      <c r="P343" s="310"/>
      <c r="Q343" s="293"/>
      <c r="R343" s="291"/>
      <c r="S343" s="294"/>
      <c r="T343" s="295"/>
      <c r="U343" s="9"/>
      <c r="V343" s="9"/>
      <c r="W343" s="9"/>
      <c r="X343" s="9"/>
      <c r="Y343" s="9"/>
      <c r="Z343" s="298"/>
      <c r="AA343" s="298"/>
    </row>
    <row r="344" spans="1:27" ht="13.5" customHeight="1" x14ac:dyDescent="0.25">
      <c r="A344" s="9"/>
      <c r="B344" s="9"/>
      <c r="C344" s="9"/>
      <c r="D344" s="9"/>
      <c r="E344" s="9"/>
      <c r="F344" s="185"/>
      <c r="G344" s="185"/>
      <c r="H344" s="9"/>
      <c r="I344" s="311"/>
      <c r="J344" s="310"/>
      <c r="K344" s="291"/>
      <c r="L344" s="309"/>
      <c r="M344" s="9"/>
      <c r="N344" s="9"/>
      <c r="O344" s="42"/>
      <c r="P344" s="310"/>
      <c r="Q344" s="293"/>
      <c r="R344" s="291"/>
      <c r="S344" s="294"/>
      <c r="T344" s="295"/>
      <c r="U344" s="9"/>
      <c r="V344" s="9"/>
      <c r="W344" s="9"/>
      <c r="X344" s="9"/>
      <c r="Y344" s="9"/>
      <c r="Z344" s="298"/>
      <c r="AA344" s="298"/>
    </row>
    <row r="345" spans="1:27" ht="13.5" customHeight="1" x14ac:dyDescent="0.25">
      <c r="A345" s="9"/>
      <c r="B345" s="9"/>
      <c r="C345" s="9"/>
      <c r="D345" s="9"/>
      <c r="E345" s="9"/>
      <c r="F345" s="185"/>
      <c r="G345" s="185"/>
      <c r="H345" s="9"/>
      <c r="I345" s="311"/>
      <c r="J345" s="310"/>
      <c r="K345" s="291"/>
      <c r="L345" s="309"/>
      <c r="M345" s="9"/>
      <c r="N345" s="9"/>
      <c r="O345" s="42"/>
      <c r="P345" s="310"/>
      <c r="Q345" s="293"/>
      <c r="R345" s="291"/>
      <c r="S345" s="294"/>
      <c r="T345" s="295"/>
      <c r="U345" s="9"/>
      <c r="V345" s="9"/>
      <c r="W345" s="9"/>
      <c r="X345" s="9"/>
      <c r="Y345" s="9"/>
      <c r="Z345" s="298"/>
      <c r="AA345" s="298"/>
    </row>
    <row r="346" spans="1:27" ht="13.5" customHeight="1" x14ac:dyDescent="0.25">
      <c r="A346" s="9"/>
      <c r="B346" s="9"/>
      <c r="C346" s="9"/>
      <c r="D346" s="9"/>
      <c r="E346" s="9"/>
      <c r="F346" s="185"/>
      <c r="G346" s="185"/>
      <c r="H346" s="9"/>
      <c r="I346" s="311"/>
      <c r="J346" s="310"/>
      <c r="K346" s="291"/>
      <c r="L346" s="309"/>
      <c r="M346" s="9"/>
      <c r="N346" s="9"/>
      <c r="O346" s="42"/>
      <c r="P346" s="310"/>
      <c r="Q346" s="293"/>
      <c r="R346" s="291"/>
      <c r="S346" s="294"/>
      <c r="T346" s="295"/>
      <c r="U346" s="9"/>
      <c r="V346" s="9"/>
      <c r="W346" s="9"/>
      <c r="X346" s="9"/>
      <c r="Y346" s="9"/>
      <c r="Z346" s="298"/>
      <c r="AA346" s="298"/>
    </row>
    <row r="347" spans="1:27" ht="13.5" customHeight="1" x14ac:dyDescent="0.25">
      <c r="A347" s="9"/>
      <c r="B347" s="9"/>
      <c r="C347" s="9"/>
      <c r="D347" s="9"/>
      <c r="E347" s="9"/>
      <c r="F347" s="185"/>
      <c r="G347" s="185"/>
      <c r="H347" s="9"/>
      <c r="I347" s="311"/>
      <c r="J347" s="310"/>
      <c r="K347" s="291"/>
      <c r="L347" s="309"/>
      <c r="M347" s="9"/>
      <c r="N347" s="9"/>
      <c r="O347" s="42"/>
      <c r="P347" s="310"/>
      <c r="Q347" s="293"/>
      <c r="R347" s="291"/>
      <c r="S347" s="294"/>
      <c r="T347" s="295"/>
      <c r="U347" s="9"/>
      <c r="V347" s="9"/>
      <c r="W347" s="9"/>
      <c r="X347" s="9"/>
      <c r="Y347" s="9"/>
      <c r="Z347" s="298"/>
      <c r="AA347" s="298"/>
    </row>
    <row r="348" spans="1:27" ht="13.5" customHeight="1" x14ac:dyDescent="0.25">
      <c r="A348" s="9"/>
      <c r="B348" s="9"/>
      <c r="C348" s="9"/>
      <c r="D348" s="9"/>
      <c r="E348" s="9"/>
      <c r="F348" s="185"/>
      <c r="G348" s="185"/>
      <c r="H348" s="9"/>
      <c r="I348" s="311"/>
      <c r="J348" s="310"/>
      <c r="K348" s="291"/>
      <c r="L348" s="309"/>
      <c r="M348" s="9"/>
      <c r="N348" s="9"/>
      <c r="O348" s="42"/>
      <c r="P348" s="310"/>
      <c r="Q348" s="293"/>
      <c r="R348" s="291"/>
      <c r="S348" s="294"/>
      <c r="T348" s="295"/>
      <c r="U348" s="9"/>
      <c r="V348" s="9"/>
      <c r="W348" s="9"/>
      <c r="X348" s="9"/>
      <c r="Y348" s="9"/>
      <c r="Z348" s="298"/>
      <c r="AA348" s="298"/>
    </row>
    <row r="349" spans="1:27" ht="13.5" customHeight="1" x14ac:dyDescent="0.25">
      <c r="A349" s="9"/>
      <c r="B349" s="9"/>
      <c r="C349" s="9"/>
      <c r="D349" s="9"/>
      <c r="E349" s="9"/>
      <c r="F349" s="185"/>
      <c r="G349" s="185"/>
      <c r="H349" s="9"/>
      <c r="I349" s="311"/>
      <c r="J349" s="310"/>
      <c r="K349" s="291"/>
      <c r="L349" s="309"/>
      <c r="M349" s="9"/>
      <c r="N349" s="9"/>
      <c r="O349" s="42"/>
      <c r="P349" s="310"/>
      <c r="Q349" s="293"/>
      <c r="R349" s="291"/>
      <c r="S349" s="294"/>
      <c r="T349" s="295"/>
      <c r="U349" s="9"/>
      <c r="V349" s="9"/>
      <c r="W349" s="9"/>
      <c r="X349" s="9"/>
      <c r="Y349" s="9"/>
      <c r="Z349" s="298"/>
      <c r="AA349" s="298"/>
    </row>
    <row r="350" spans="1:27" ht="13.5" customHeight="1" x14ac:dyDescent="0.25">
      <c r="A350" s="9"/>
      <c r="B350" s="9"/>
      <c r="C350" s="9"/>
      <c r="D350" s="9"/>
      <c r="E350" s="9"/>
      <c r="F350" s="185"/>
      <c r="G350" s="185"/>
      <c r="H350" s="9"/>
      <c r="I350" s="311"/>
      <c r="J350" s="310"/>
      <c r="K350" s="291"/>
      <c r="L350" s="309"/>
      <c r="M350" s="9"/>
      <c r="N350" s="9"/>
      <c r="O350" s="42"/>
      <c r="P350" s="310"/>
      <c r="Q350" s="293"/>
      <c r="R350" s="291"/>
      <c r="S350" s="294"/>
      <c r="T350" s="295"/>
      <c r="U350" s="9"/>
      <c r="V350" s="9"/>
      <c r="W350" s="9"/>
      <c r="X350" s="9"/>
      <c r="Y350" s="9"/>
      <c r="Z350" s="298"/>
      <c r="AA350" s="298"/>
    </row>
    <row r="351" spans="1:27" ht="13.5" customHeight="1" x14ac:dyDescent="0.25">
      <c r="A351" s="9"/>
      <c r="B351" s="9"/>
      <c r="C351" s="9"/>
      <c r="D351" s="9"/>
      <c r="E351" s="9"/>
      <c r="F351" s="185"/>
      <c r="G351" s="185"/>
      <c r="H351" s="9"/>
      <c r="I351" s="311"/>
      <c r="J351" s="310"/>
      <c r="K351" s="291"/>
      <c r="L351" s="309"/>
      <c r="M351" s="9"/>
      <c r="N351" s="9"/>
      <c r="O351" s="42"/>
      <c r="P351" s="310"/>
      <c r="Q351" s="293"/>
      <c r="R351" s="291"/>
      <c r="S351" s="294"/>
      <c r="T351" s="295"/>
      <c r="U351" s="9"/>
      <c r="V351" s="9"/>
      <c r="W351" s="9"/>
      <c r="X351" s="9"/>
      <c r="Y351" s="9"/>
      <c r="Z351" s="298"/>
      <c r="AA351" s="298"/>
    </row>
    <row r="352" spans="1:27" ht="13.5" customHeight="1" x14ac:dyDescent="0.25">
      <c r="A352" s="9"/>
      <c r="B352" s="9"/>
      <c r="C352" s="9"/>
      <c r="D352" s="9"/>
      <c r="E352" s="9"/>
      <c r="F352" s="185"/>
      <c r="G352" s="185"/>
      <c r="H352" s="9"/>
      <c r="I352" s="311"/>
      <c r="J352" s="310"/>
      <c r="K352" s="291"/>
      <c r="L352" s="309"/>
      <c r="M352" s="9"/>
      <c r="N352" s="9"/>
      <c r="O352" s="42"/>
      <c r="P352" s="310"/>
      <c r="Q352" s="293"/>
      <c r="R352" s="291"/>
      <c r="S352" s="294"/>
      <c r="T352" s="295"/>
      <c r="U352" s="9"/>
      <c r="V352" s="9"/>
      <c r="W352" s="9"/>
      <c r="X352" s="9"/>
      <c r="Y352" s="9"/>
      <c r="Z352" s="298"/>
      <c r="AA352" s="298"/>
    </row>
    <row r="353" spans="1:27" ht="13.5" customHeight="1" x14ac:dyDescent="0.25">
      <c r="A353" s="9"/>
      <c r="B353" s="9"/>
      <c r="C353" s="9"/>
      <c r="D353" s="9"/>
      <c r="E353" s="9"/>
      <c r="F353" s="185"/>
      <c r="G353" s="185"/>
      <c r="H353" s="9"/>
      <c r="I353" s="311"/>
      <c r="J353" s="310"/>
      <c r="K353" s="291"/>
      <c r="L353" s="309"/>
      <c r="M353" s="9"/>
      <c r="N353" s="9"/>
      <c r="O353" s="42"/>
      <c r="P353" s="310"/>
      <c r="Q353" s="293"/>
      <c r="R353" s="291"/>
      <c r="S353" s="294"/>
      <c r="T353" s="295"/>
      <c r="U353" s="9"/>
      <c r="V353" s="9"/>
      <c r="W353" s="9"/>
      <c r="X353" s="9"/>
      <c r="Y353" s="9"/>
      <c r="Z353" s="298"/>
      <c r="AA353" s="298"/>
    </row>
    <row r="354" spans="1:27" ht="13.5" customHeight="1" x14ac:dyDescent="0.25">
      <c r="A354" s="9"/>
      <c r="B354" s="9"/>
      <c r="C354" s="9"/>
      <c r="D354" s="9"/>
      <c r="E354" s="9"/>
      <c r="F354" s="185"/>
      <c r="G354" s="185"/>
      <c r="H354" s="9"/>
      <c r="I354" s="311"/>
      <c r="J354" s="310"/>
      <c r="K354" s="291"/>
      <c r="L354" s="309"/>
      <c r="M354" s="9"/>
      <c r="N354" s="9"/>
      <c r="O354" s="42"/>
      <c r="P354" s="310"/>
      <c r="Q354" s="293"/>
      <c r="R354" s="291"/>
      <c r="S354" s="294"/>
      <c r="T354" s="295"/>
      <c r="U354" s="9"/>
      <c r="V354" s="9"/>
      <c r="W354" s="9"/>
      <c r="X354" s="9"/>
      <c r="Y354" s="9"/>
      <c r="Z354" s="298"/>
      <c r="AA354" s="298"/>
    </row>
    <row r="355" spans="1:27" ht="13.5" customHeight="1" x14ac:dyDescent="0.25">
      <c r="A355" s="9"/>
      <c r="B355" s="9"/>
      <c r="C355" s="9"/>
      <c r="D355" s="9"/>
      <c r="E355" s="9"/>
      <c r="F355" s="185"/>
      <c r="G355" s="185"/>
      <c r="H355" s="9"/>
      <c r="I355" s="311"/>
      <c r="J355" s="310"/>
      <c r="K355" s="291"/>
      <c r="L355" s="309"/>
      <c r="M355" s="9"/>
      <c r="N355" s="9"/>
      <c r="O355" s="42"/>
      <c r="P355" s="310"/>
      <c r="Q355" s="293"/>
      <c r="R355" s="291"/>
      <c r="S355" s="294"/>
      <c r="T355" s="295"/>
      <c r="U355" s="9"/>
      <c r="V355" s="9"/>
      <c r="W355" s="9"/>
      <c r="X355" s="9"/>
      <c r="Y355" s="9"/>
      <c r="Z355" s="298"/>
      <c r="AA355" s="298"/>
    </row>
    <row r="356" spans="1:27" ht="13.5" customHeight="1" x14ac:dyDescent="0.25">
      <c r="A356" s="9"/>
      <c r="B356" s="9"/>
      <c r="C356" s="9"/>
      <c r="D356" s="9"/>
      <c r="E356" s="9"/>
      <c r="F356" s="185"/>
      <c r="G356" s="185"/>
      <c r="H356" s="9"/>
      <c r="I356" s="311"/>
      <c r="J356" s="310"/>
      <c r="K356" s="291"/>
      <c r="L356" s="309"/>
      <c r="M356" s="9"/>
      <c r="N356" s="9"/>
      <c r="O356" s="42"/>
      <c r="P356" s="310"/>
      <c r="Q356" s="293"/>
      <c r="R356" s="291"/>
      <c r="S356" s="294"/>
      <c r="T356" s="295"/>
      <c r="U356" s="9"/>
      <c r="V356" s="9"/>
      <c r="W356" s="9"/>
      <c r="X356" s="9"/>
      <c r="Y356" s="9"/>
      <c r="Z356" s="298"/>
      <c r="AA356" s="298"/>
    </row>
    <row r="357" spans="1:27" ht="13.5" customHeight="1" x14ac:dyDescent="0.25">
      <c r="A357" s="9"/>
      <c r="B357" s="9"/>
      <c r="C357" s="9"/>
      <c r="D357" s="9"/>
      <c r="E357" s="9"/>
      <c r="F357" s="185"/>
      <c r="G357" s="185"/>
      <c r="H357" s="9"/>
      <c r="I357" s="311"/>
      <c r="J357" s="310"/>
      <c r="K357" s="291"/>
      <c r="L357" s="309"/>
      <c r="M357" s="9"/>
      <c r="N357" s="9"/>
      <c r="O357" s="42"/>
      <c r="P357" s="310"/>
      <c r="Q357" s="293"/>
      <c r="R357" s="291"/>
      <c r="S357" s="294"/>
      <c r="T357" s="295"/>
      <c r="U357" s="9"/>
      <c r="V357" s="9"/>
      <c r="W357" s="9"/>
      <c r="X357" s="9"/>
      <c r="Y357" s="9"/>
      <c r="Z357" s="298"/>
      <c r="AA357" s="298"/>
    </row>
    <row r="358" spans="1:27" ht="13.5" customHeight="1" x14ac:dyDescent="0.25">
      <c r="A358" s="9"/>
      <c r="B358" s="9"/>
      <c r="C358" s="9"/>
      <c r="D358" s="9"/>
      <c r="E358" s="9"/>
      <c r="F358" s="185"/>
      <c r="G358" s="185"/>
      <c r="H358" s="9"/>
      <c r="I358" s="311"/>
      <c r="J358" s="310"/>
      <c r="K358" s="291"/>
      <c r="L358" s="309"/>
      <c r="M358" s="9"/>
      <c r="N358" s="9"/>
      <c r="O358" s="42"/>
      <c r="P358" s="310"/>
      <c r="Q358" s="293"/>
      <c r="R358" s="291"/>
      <c r="S358" s="294"/>
      <c r="T358" s="295"/>
      <c r="U358" s="9"/>
      <c r="V358" s="9"/>
      <c r="W358" s="9"/>
      <c r="X358" s="9"/>
      <c r="Y358" s="9"/>
      <c r="Z358" s="298"/>
      <c r="AA358" s="298"/>
    </row>
    <row r="359" spans="1:27" ht="13.5" customHeight="1" x14ac:dyDescent="0.25">
      <c r="A359" s="9"/>
      <c r="B359" s="9"/>
      <c r="C359" s="9"/>
      <c r="D359" s="9"/>
      <c r="E359" s="9"/>
      <c r="F359" s="185"/>
      <c r="G359" s="185"/>
      <c r="H359" s="9"/>
      <c r="I359" s="311"/>
      <c r="J359" s="310"/>
      <c r="K359" s="291"/>
      <c r="L359" s="309"/>
      <c r="M359" s="9"/>
      <c r="N359" s="9"/>
      <c r="O359" s="42"/>
      <c r="P359" s="310"/>
      <c r="Q359" s="293"/>
      <c r="R359" s="291"/>
      <c r="S359" s="294"/>
      <c r="T359" s="295"/>
      <c r="U359" s="9"/>
      <c r="V359" s="9"/>
      <c r="W359" s="9"/>
      <c r="X359" s="9"/>
      <c r="Y359" s="9"/>
      <c r="Z359" s="298"/>
      <c r="AA359" s="298"/>
    </row>
    <row r="360" spans="1:27" ht="13.5" customHeight="1" x14ac:dyDescent="0.25">
      <c r="A360" s="9"/>
      <c r="B360" s="9"/>
      <c r="C360" s="9"/>
      <c r="D360" s="9"/>
      <c r="E360" s="9"/>
      <c r="F360" s="185"/>
      <c r="G360" s="185"/>
      <c r="H360" s="9"/>
      <c r="I360" s="311"/>
      <c r="J360" s="310"/>
      <c r="K360" s="291"/>
      <c r="L360" s="309"/>
      <c r="M360" s="9"/>
      <c r="N360" s="9"/>
      <c r="O360" s="42"/>
      <c r="P360" s="310"/>
      <c r="Q360" s="293"/>
      <c r="R360" s="291"/>
      <c r="S360" s="294"/>
      <c r="T360" s="295"/>
      <c r="U360" s="9"/>
      <c r="V360" s="9"/>
      <c r="W360" s="9"/>
      <c r="X360" s="9"/>
      <c r="Y360" s="9"/>
      <c r="Z360" s="298"/>
      <c r="AA360" s="298"/>
    </row>
    <row r="361" spans="1:27" ht="13.5" customHeight="1" x14ac:dyDescent="0.25">
      <c r="A361" s="9"/>
      <c r="B361" s="9"/>
      <c r="C361" s="9"/>
      <c r="D361" s="9"/>
      <c r="E361" s="9"/>
      <c r="F361" s="185"/>
      <c r="G361" s="185"/>
      <c r="H361" s="9"/>
      <c r="I361" s="311"/>
      <c r="J361" s="310"/>
      <c r="K361" s="291"/>
      <c r="L361" s="309"/>
      <c r="M361" s="9"/>
      <c r="N361" s="9"/>
      <c r="O361" s="42"/>
      <c r="P361" s="310"/>
      <c r="Q361" s="293"/>
      <c r="R361" s="291"/>
      <c r="S361" s="294"/>
      <c r="T361" s="295"/>
      <c r="U361" s="9"/>
      <c r="V361" s="9"/>
      <c r="W361" s="9"/>
      <c r="X361" s="9"/>
      <c r="Y361" s="9"/>
      <c r="Z361" s="298"/>
      <c r="AA361" s="298"/>
    </row>
    <row r="362" spans="1:27" ht="13.5" customHeight="1" x14ac:dyDescent="0.25">
      <c r="A362" s="9"/>
      <c r="B362" s="9"/>
      <c r="C362" s="9"/>
      <c r="D362" s="9"/>
      <c r="E362" s="9"/>
      <c r="F362" s="185"/>
      <c r="G362" s="185"/>
      <c r="H362" s="9"/>
      <c r="I362" s="311"/>
      <c r="J362" s="310"/>
      <c r="K362" s="291"/>
      <c r="L362" s="309"/>
      <c r="M362" s="9"/>
      <c r="N362" s="9"/>
      <c r="O362" s="42"/>
      <c r="P362" s="310"/>
      <c r="Q362" s="293"/>
      <c r="R362" s="291"/>
      <c r="S362" s="294"/>
      <c r="T362" s="295"/>
      <c r="U362" s="9"/>
      <c r="V362" s="9"/>
      <c r="W362" s="9"/>
      <c r="X362" s="9"/>
      <c r="Y362" s="9"/>
      <c r="Z362" s="298"/>
      <c r="AA362" s="298"/>
    </row>
    <row r="363" spans="1:27" ht="13.5" customHeight="1" x14ac:dyDescent="0.25">
      <c r="A363" s="9"/>
      <c r="B363" s="9"/>
      <c r="C363" s="9"/>
      <c r="D363" s="9"/>
      <c r="E363" s="9"/>
      <c r="F363" s="185"/>
      <c r="G363" s="185"/>
      <c r="H363" s="9"/>
      <c r="I363" s="311"/>
      <c r="J363" s="310"/>
      <c r="K363" s="291"/>
      <c r="L363" s="309"/>
      <c r="M363" s="9"/>
      <c r="N363" s="9"/>
      <c r="O363" s="42"/>
      <c r="P363" s="310"/>
      <c r="Q363" s="293"/>
      <c r="R363" s="291"/>
      <c r="S363" s="294"/>
      <c r="T363" s="295"/>
      <c r="U363" s="9"/>
      <c r="V363" s="9"/>
      <c r="W363" s="9"/>
      <c r="X363" s="9"/>
      <c r="Y363" s="9"/>
      <c r="Z363" s="298"/>
      <c r="AA363" s="298"/>
    </row>
    <row r="364" spans="1:27" ht="13.5" customHeight="1" x14ac:dyDescent="0.25">
      <c r="A364" s="9"/>
      <c r="B364" s="9"/>
      <c r="C364" s="9"/>
      <c r="D364" s="9"/>
      <c r="E364" s="9"/>
      <c r="F364" s="185"/>
      <c r="G364" s="185"/>
      <c r="H364" s="9"/>
      <c r="I364" s="311"/>
      <c r="J364" s="310"/>
      <c r="K364" s="291"/>
      <c r="L364" s="309"/>
      <c r="M364" s="9"/>
      <c r="N364" s="9"/>
      <c r="O364" s="42"/>
      <c r="P364" s="310"/>
      <c r="Q364" s="293"/>
      <c r="R364" s="291"/>
      <c r="S364" s="294"/>
      <c r="T364" s="295"/>
      <c r="U364" s="9"/>
      <c r="V364" s="9"/>
      <c r="W364" s="9"/>
      <c r="X364" s="9"/>
      <c r="Y364" s="9"/>
      <c r="Z364" s="298"/>
      <c r="AA364" s="298"/>
    </row>
    <row r="365" spans="1:27" ht="13.5" customHeight="1" x14ac:dyDescent="0.25">
      <c r="A365" s="9"/>
      <c r="B365" s="9"/>
      <c r="C365" s="9"/>
      <c r="D365" s="9"/>
      <c r="E365" s="9"/>
      <c r="F365" s="185"/>
      <c r="G365" s="185"/>
      <c r="H365" s="9"/>
      <c r="I365" s="311"/>
      <c r="J365" s="310"/>
      <c r="K365" s="291"/>
      <c r="L365" s="309"/>
      <c r="M365" s="9"/>
      <c r="N365" s="9"/>
      <c r="O365" s="42"/>
      <c r="P365" s="310"/>
      <c r="Q365" s="293"/>
      <c r="R365" s="291"/>
      <c r="S365" s="294"/>
      <c r="T365" s="295"/>
      <c r="U365" s="9"/>
      <c r="V365" s="9"/>
      <c r="W365" s="9"/>
      <c r="X365" s="9"/>
      <c r="Y365" s="9"/>
      <c r="Z365" s="298"/>
      <c r="AA365" s="298"/>
    </row>
    <row r="366" spans="1:27" ht="13.5" customHeight="1" x14ac:dyDescent="0.25">
      <c r="A366" s="9"/>
      <c r="B366" s="9"/>
      <c r="C366" s="9"/>
      <c r="D366" s="9"/>
      <c r="E366" s="9"/>
      <c r="F366" s="185"/>
      <c r="G366" s="185"/>
      <c r="H366" s="9"/>
      <c r="I366" s="311"/>
      <c r="J366" s="310"/>
      <c r="K366" s="291"/>
      <c r="L366" s="309"/>
      <c r="M366" s="9"/>
      <c r="N366" s="9"/>
      <c r="O366" s="42"/>
      <c r="P366" s="310"/>
      <c r="Q366" s="293"/>
      <c r="R366" s="291"/>
      <c r="S366" s="294"/>
      <c r="T366" s="295"/>
      <c r="U366" s="9"/>
      <c r="V366" s="9"/>
      <c r="W366" s="9"/>
      <c r="X366" s="9"/>
      <c r="Y366" s="9"/>
      <c r="Z366" s="298"/>
      <c r="AA366" s="298"/>
    </row>
    <row r="367" spans="1:27" ht="13.5" customHeight="1" x14ac:dyDescent="0.25">
      <c r="A367" s="9"/>
      <c r="B367" s="9"/>
      <c r="C367" s="9"/>
      <c r="D367" s="9"/>
      <c r="E367" s="9"/>
      <c r="F367" s="185"/>
      <c r="G367" s="185"/>
      <c r="H367" s="9"/>
      <c r="I367" s="311"/>
      <c r="J367" s="310"/>
      <c r="K367" s="291"/>
      <c r="L367" s="309"/>
      <c r="M367" s="9"/>
      <c r="N367" s="9"/>
      <c r="O367" s="42"/>
      <c r="P367" s="310"/>
      <c r="Q367" s="293"/>
      <c r="R367" s="291"/>
      <c r="S367" s="294"/>
      <c r="T367" s="295"/>
      <c r="U367" s="9"/>
      <c r="V367" s="9"/>
      <c r="W367" s="9"/>
      <c r="X367" s="9"/>
      <c r="Y367" s="9"/>
      <c r="Z367" s="298"/>
      <c r="AA367" s="298"/>
    </row>
    <row r="368" spans="1:27" ht="13.5" customHeight="1" x14ac:dyDescent="0.25">
      <c r="A368" s="9"/>
      <c r="B368" s="9"/>
      <c r="C368" s="9"/>
      <c r="D368" s="9"/>
      <c r="E368" s="9"/>
      <c r="F368" s="185"/>
      <c r="G368" s="185"/>
      <c r="H368" s="9"/>
      <c r="I368" s="311"/>
      <c r="J368" s="310"/>
      <c r="K368" s="291"/>
      <c r="L368" s="309"/>
      <c r="M368" s="9"/>
      <c r="N368" s="9"/>
      <c r="O368" s="42"/>
      <c r="P368" s="310"/>
      <c r="Q368" s="293"/>
      <c r="R368" s="291"/>
      <c r="S368" s="294"/>
      <c r="T368" s="295"/>
      <c r="U368" s="9"/>
      <c r="V368" s="9"/>
      <c r="W368" s="9"/>
      <c r="X368" s="9"/>
      <c r="Y368" s="9"/>
      <c r="Z368" s="298"/>
      <c r="AA368" s="298"/>
    </row>
    <row r="369" spans="1:27" ht="13.5" customHeight="1" x14ac:dyDescent="0.25">
      <c r="A369" s="9"/>
      <c r="B369" s="9"/>
      <c r="C369" s="9"/>
      <c r="D369" s="9"/>
      <c r="E369" s="9"/>
      <c r="F369" s="185"/>
      <c r="G369" s="185"/>
      <c r="H369" s="9"/>
      <c r="I369" s="311"/>
      <c r="J369" s="310"/>
      <c r="K369" s="291"/>
      <c r="L369" s="309"/>
      <c r="M369" s="9"/>
      <c r="N369" s="9"/>
      <c r="O369" s="42"/>
      <c r="P369" s="310"/>
      <c r="Q369" s="293"/>
      <c r="R369" s="291"/>
      <c r="S369" s="294"/>
      <c r="T369" s="295"/>
      <c r="U369" s="9"/>
      <c r="V369" s="9"/>
      <c r="W369" s="9"/>
      <c r="X369" s="9"/>
      <c r="Y369" s="9"/>
      <c r="Z369" s="298"/>
      <c r="AA369" s="298"/>
    </row>
    <row r="370" spans="1:27" ht="13.5" customHeight="1" x14ac:dyDescent="0.25">
      <c r="A370" s="9"/>
      <c r="B370" s="9"/>
      <c r="C370" s="9"/>
      <c r="D370" s="9"/>
      <c r="E370" s="9"/>
      <c r="F370" s="185"/>
      <c r="G370" s="185"/>
      <c r="H370" s="9"/>
      <c r="I370" s="311"/>
      <c r="J370" s="310"/>
      <c r="K370" s="291"/>
      <c r="L370" s="309"/>
      <c r="M370" s="9"/>
      <c r="N370" s="9"/>
      <c r="O370" s="42"/>
      <c r="P370" s="310"/>
      <c r="Q370" s="293"/>
      <c r="R370" s="291"/>
      <c r="S370" s="294"/>
      <c r="T370" s="295"/>
      <c r="U370" s="9"/>
      <c r="V370" s="9"/>
      <c r="W370" s="9"/>
      <c r="X370" s="9"/>
      <c r="Y370" s="9"/>
      <c r="Z370" s="298"/>
      <c r="AA370" s="298"/>
    </row>
    <row r="371" spans="1:27" ht="13.5" customHeight="1" x14ac:dyDescent="0.25">
      <c r="A371" s="9"/>
      <c r="B371" s="9"/>
      <c r="C371" s="9"/>
      <c r="D371" s="9"/>
      <c r="E371" s="9"/>
      <c r="F371" s="185"/>
      <c r="G371" s="185"/>
      <c r="H371" s="9"/>
      <c r="I371" s="311"/>
      <c r="J371" s="310"/>
      <c r="K371" s="291"/>
      <c r="L371" s="309"/>
      <c r="M371" s="9"/>
      <c r="N371" s="9"/>
      <c r="O371" s="42"/>
      <c r="P371" s="310"/>
      <c r="Q371" s="293"/>
      <c r="R371" s="291"/>
      <c r="S371" s="294"/>
      <c r="T371" s="295"/>
      <c r="U371" s="9"/>
      <c r="V371" s="9"/>
      <c r="W371" s="9"/>
      <c r="X371" s="9"/>
      <c r="Y371" s="9"/>
      <c r="Z371" s="298"/>
      <c r="AA371" s="298"/>
    </row>
    <row r="372" spans="1:27" ht="13.5" customHeight="1" x14ac:dyDescent="0.25">
      <c r="A372" s="9"/>
      <c r="B372" s="9"/>
      <c r="C372" s="9"/>
      <c r="D372" s="9"/>
      <c r="E372" s="9"/>
      <c r="F372" s="185"/>
      <c r="G372" s="185"/>
      <c r="H372" s="9"/>
      <c r="I372" s="311"/>
      <c r="J372" s="310"/>
      <c r="K372" s="291"/>
      <c r="L372" s="309"/>
      <c r="M372" s="9"/>
      <c r="N372" s="9"/>
      <c r="O372" s="42"/>
      <c r="P372" s="310"/>
      <c r="Q372" s="293"/>
      <c r="R372" s="291"/>
      <c r="S372" s="294"/>
      <c r="T372" s="295"/>
      <c r="U372" s="9"/>
      <c r="V372" s="9"/>
      <c r="W372" s="9"/>
      <c r="X372" s="9"/>
      <c r="Y372" s="9"/>
      <c r="Z372" s="298"/>
      <c r="AA372" s="298"/>
    </row>
    <row r="373" spans="1:27" ht="13.5" customHeight="1" x14ac:dyDescent="0.25">
      <c r="A373" s="9"/>
      <c r="B373" s="9"/>
      <c r="C373" s="9"/>
      <c r="D373" s="9"/>
      <c r="E373" s="9"/>
      <c r="F373" s="185"/>
      <c r="G373" s="185"/>
      <c r="H373" s="9"/>
      <c r="I373" s="311"/>
      <c r="J373" s="310"/>
      <c r="K373" s="291"/>
      <c r="L373" s="309"/>
      <c r="M373" s="9"/>
      <c r="N373" s="9"/>
      <c r="O373" s="42"/>
      <c r="P373" s="310"/>
      <c r="Q373" s="293"/>
      <c r="R373" s="291"/>
      <c r="S373" s="294"/>
      <c r="T373" s="295"/>
      <c r="U373" s="9"/>
      <c r="V373" s="9"/>
      <c r="W373" s="9"/>
      <c r="X373" s="9"/>
      <c r="Y373" s="9"/>
      <c r="Z373" s="298"/>
      <c r="AA373" s="298"/>
    </row>
    <row r="374" spans="1:27" ht="13.5" customHeight="1" x14ac:dyDescent="0.25">
      <c r="A374" s="9"/>
      <c r="B374" s="9"/>
      <c r="C374" s="9"/>
      <c r="D374" s="9"/>
      <c r="E374" s="9"/>
      <c r="F374" s="185"/>
      <c r="G374" s="185"/>
      <c r="H374" s="9"/>
      <c r="I374" s="311"/>
      <c r="J374" s="310"/>
      <c r="K374" s="291"/>
      <c r="L374" s="309"/>
      <c r="M374" s="9"/>
      <c r="N374" s="9"/>
      <c r="O374" s="42"/>
      <c r="P374" s="310"/>
      <c r="Q374" s="293"/>
      <c r="R374" s="291"/>
      <c r="S374" s="294"/>
      <c r="T374" s="295"/>
      <c r="U374" s="9"/>
      <c r="V374" s="9"/>
      <c r="W374" s="9"/>
      <c r="X374" s="9"/>
      <c r="Y374" s="9"/>
      <c r="Z374" s="298"/>
      <c r="AA374" s="298"/>
    </row>
    <row r="375" spans="1:27" ht="13.5" customHeight="1" x14ac:dyDescent="0.25">
      <c r="A375" s="9"/>
      <c r="B375" s="9"/>
      <c r="C375" s="9"/>
      <c r="D375" s="9"/>
      <c r="E375" s="9"/>
      <c r="F375" s="185"/>
      <c r="G375" s="185"/>
      <c r="H375" s="9"/>
      <c r="I375" s="311"/>
      <c r="J375" s="310"/>
      <c r="K375" s="291"/>
      <c r="L375" s="309"/>
      <c r="M375" s="9"/>
      <c r="N375" s="9"/>
      <c r="O375" s="42"/>
      <c r="P375" s="310"/>
      <c r="Q375" s="293"/>
      <c r="R375" s="291"/>
      <c r="S375" s="294"/>
      <c r="T375" s="295"/>
      <c r="U375" s="9"/>
      <c r="V375" s="9"/>
      <c r="W375" s="9"/>
      <c r="X375" s="9"/>
      <c r="Y375" s="9"/>
      <c r="Z375" s="298"/>
      <c r="AA375" s="298"/>
    </row>
    <row r="376" spans="1:27" ht="13.5" customHeight="1" x14ac:dyDescent="0.25">
      <c r="A376" s="9"/>
      <c r="B376" s="9"/>
      <c r="C376" s="9"/>
      <c r="D376" s="9"/>
      <c r="E376" s="9"/>
      <c r="F376" s="185"/>
      <c r="G376" s="185"/>
      <c r="H376" s="9"/>
      <c r="I376" s="311"/>
      <c r="J376" s="310"/>
      <c r="K376" s="291"/>
      <c r="L376" s="309"/>
      <c r="M376" s="9"/>
      <c r="N376" s="9"/>
      <c r="O376" s="42"/>
      <c r="P376" s="310"/>
      <c r="Q376" s="293"/>
      <c r="R376" s="291"/>
      <c r="S376" s="294"/>
      <c r="T376" s="295"/>
      <c r="U376" s="9"/>
      <c r="V376" s="9"/>
      <c r="W376" s="9"/>
      <c r="X376" s="9"/>
      <c r="Y376" s="9"/>
      <c r="Z376" s="298"/>
      <c r="AA376" s="298"/>
    </row>
    <row r="377" spans="1:27" ht="13.5" customHeight="1" x14ac:dyDescent="0.25">
      <c r="A377" s="9"/>
      <c r="B377" s="9"/>
      <c r="C377" s="9"/>
      <c r="D377" s="9"/>
      <c r="E377" s="9"/>
      <c r="F377" s="185"/>
      <c r="G377" s="185"/>
      <c r="H377" s="9"/>
      <c r="I377" s="311"/>
      <c r="J377" s="310"/>
      <c r="K377" s="291"/>
      <c r="L377" s="309"/>
      <c r="M377" s="9"/>
      <c r="N377" s="9"/>
      <c r="O377" s="42"/>
      <c r="P377" s="310"/>
      <c r="Q377" s="293"/>
      <c r="R377" s="291"/>
      <c r="S377" s="294"/>
      <c r="T377" s="295"/>
      <c r="U377" s="9"/>
      <c r="V377" s="9"/>
      <c r="W377" s="9"/>
      <c r="X377" s="9"/>
      <c r="Y377" s="9"/>
      <c r="Z377" s="298"/>
      <c r="AA377" s="298"/>
    </row>
    <row r="378" spans="1:27" ht="13.5" customHeight="1" x14ac:dyDescent="0.25">
      <c r="A378" s="9"/>
      <c r="B378" s="9"/>
      <c r="C378" s="9"/>
      <c r="D378" s="9"/>
      <c r="E378" s="9"/>
      <c r="F378" s="185"/>
      <c r="G378" s="185"/>
      <c r="H378" s="9"/>
      <c r="I378" s="311"/>
      <c r="J378" s="310"/>
      <c r="K378" s="291"/>
      <c r="L378" s="309"/>
      <c r="M378" s="9"/>
      <c r="N378" s="9"/>
      <c r="O378" s="42"/>
      <c r="P378" s="310"/>
      <c r="Q378" s="293"/>
      <c r="R378" s="291"/>
      <c r="S378" s="294"/>
      <c r="T378" s="295"/>
      <c r="U378" s="9"/>
      <c r="V378" s="9"/>
      <c r="W378" s="9"/>
      <c r="X378" s="9"/>
      <c r="Y378" s="9"/>
      <c r="Z378" s="298"/>
      <c r="AA378" s="298"/>
    </row>
    <row r="379" spans="1:27" ht="13.5" customHeight="1" x14ac:dyDescent="0.25">
      <c r="A379" s="9"/>
      <c r="B379" s="9"/>
      <c r="C379" s="9"/>
      <c r="D379" s="9"/>
      <c r="E379" s="9"/>
      <c r="F379" s="185"/>
      <c r="G379" s="185"/>
      <c r="H379" s="9"/>
      <c r="I379" s="311"/>
      <c r="J379" s="310"/>
      <c r="K379" s="291"/>
      <c r="L379" s="309"/>
      <c r="M379" s="9"/>
      <c r="N379" s="9"/>
      <c r="O379" s="42"/>
      <c r="P379" s="310"/>
      <c r="Q379" s="293"/>
      <c r="R379" s="291"/>
      <c r="S379" s="294"/>
      <c r="T379" s="295"/>
      <c r="U379" s="9"/>
      <c r="V379" s="9"/>
      <c r="W379" s="9"/>
      <c r="X379" s="9"/>
      <c r="Y379" s="9"/>
      <c r="Z379" s="298"/>
      <c r="AA379" s="298"/>
    </row>
    <row r="380" spans="1:27" ht="13.5" customHeight="1" x14ac:dyDescent="0.25">
      <c r="A380" s="9"/>
      <c r="B380" s="9"/>
      <c r="C380" s="9"/>
      <c r="D380" s="9"/>
      <c r="E380" s="9"/>
      <c r="F380" s="185"/>
      <c r="G380" s="185"/>
      <c r="H380" s="9"/>
      <c r="I380" s="311"/>
      <c r="J380" s="310"/>
      <c r="K380" s="291"/>
      <c r="L380" s="309"/>
      <c r="M380" s="9"/>
      <c r="N380" s="9"/>
      <c r="O380" s="42"/>
      <c r="P380" s="310"/>
      <c r="Q380" s="293"/>
      <c r="R380" s="291"/>
      <c r="S380" s="294"/>
      <c r="T380" s="295"/>
      <c r="U380" s="9"/>
      <c r="V380" s="9"/>
      <c r="W380" s="9"/>
      <c r="X380" s="9"/>
      <c r="Y380" s="9"/>
      <c r="Z380" s="298"/>
      <c r="AA380" s="298"/>
    </row>
    <row r="381" spans="1:27" ht="13.5" customHeight="1" x14ac:dyDescent="0.25">
      <c r="A381" s="9"/>
      <c r="B381" s="9"/>
      <c r="C381" s="9"/>
      <c r="D381" s="9"/>
      <c r="E381" s="9"/>
      <c r="F381" s="185"/>
      <c r="G381" s="185"/>
      <c r="H381" s="9"/>
      <c r="I381" s="311"/>
      <c r="J381" s="310"/>
      <c r="K381" s="291"/>
      <c r="L381" s="309"/>
      <c r="M381" s="9"/>
      <c r="N381" s="9"/>
      <c r="O381" s="42"/>
      <c r="P381" s="310"/>
      <c r="Q381" s="293"/>
      <c r="R381" s="291"/>
      <c r="S381" s="294"/>
      <c r="T381" s="295"/>
      <c r="U381" s="9"/>
      <c r="V381" s="9"/>
      <c r="W381" s="9"/>
      <c r="X381" s="9"/>
      <c r="Y381" s="9"/>
      <c r="Z381" s="298"/>
      <c r="AA381" s="298"/>
    </row>
    <row r="382" spans="1:27" ht="13.5" customHeight="1" x14ac:dyDescent="0.25">
      <c r="A382" s="9"/>
      <c r="B382" s="9"/>
      <c r="C382" s="9"/>
      <c r="D382" s="9"/>
      <c r="E382" s="9"/>
      <c r="F382" s="185"/>
      <c r="G382" s="185"/>
      <c r="H382" s="9"/>
      <c r="I382" s="311"/>
      <c r="J382" s="310"/>
      <c r="K382" s="291"/>
      <c r="L382" s="309"/>
      <c r="M382" s="9"/>
      <c r="N382" s="9"/>
      <c r="O382" s="42"/>
      <c r="P382" s="310"/>
      <c r="Q382" s="293"/>
      <c r="R382" s="291"/>
      <c r="S382" s="294"/>
      <c r="T382" s="295"/>
      <c r="U382" s="9"/>
      <c r="V382" s="9"/>
      <c r="W382" s="9"/>
      <c r="X382" s="9"/>
      <c r="Y382" s="9"/>
      <c r="Z382" s="298"/>
      <c r="AA382" s="298"/>
    </row>
    <row r="383" spans="1:27" ht="13.5" customHeight="1" x14ac:dyDescent="0.25">
      <c r="A383" s="9"/>
      <c r="B383" s="9"/>
      <c r="C383" s="9"/>
      <c r="D383" s="9"/>
      <c r="E383" s="9"/>
      <c r="F383" s="185"/>
      <c r="G383" s="185"/>
      <c r="H383" s="9"/>
      <c r="I383" s="311"/>
      <c r="J383" s="310"/>
      <c r="K383" s="291"/>
      <c r="L383" s="309"/>
      <c r="M383" s="9"/>
      <c r="N383" s="9"/>
      <c r="O383" s="42"/>
      <c r="P383" s="310"/>
      <c r="Q383" s="293"/>
      <c r="R383" s="291"/>
      <c r="S383" s="294"/>
      <c r="T383" s="295"/>
      <c r="U383" s="9"/>
      <c r="V383" s="9"/>
      <c r="W383" s="9"/>
      <c r="X383" s="9"/>
      <c r="Y383" s="9"/>
      <c r="Z383" s="298"/>
      <c r="AA383" s="298"/>
    </row>
    <row r="384" spans="1:27" ht="13.5" customHeight="1" x14ac:dyDescent="0.25">
      <c r="A384" s="9"/>
      <c r="B384" s="9"/>
      <c r="C384" s="9"/>
      <c r="D384" s="9"/>
      <c r="E384" s="9"/>
      <c r="F384" s="185"/>
      <c r="G384" s="185"/>
      <c r="H384" s="9"/>
      <c r="I384" s="311"/>
      <c r="J384" s="310"/>
      <c r="K384" s="291"/>
      <c r="L384" s="309"/>
      <c r="M384" s="9"/>
      <c r="N384" s="9"/>
      <c r="O384" s="42"/>
      <c r="P384" s="310"/>
      <c r="Q384" s="293"/>
      <c r="R384" s="291"/>
      <c r="S384" s="294"/>
      <c r="T384" s="295"/>
      <c r="U384" s="9"/>
      <c r="V384" s="9"/>
      <c r="W384" s="9"/>
      <c r="X384" s="9"/>
      <c r="Y384" s="9"/>
      <c r="Z384" s="298"/>
      <c r="AA384" s="298"/>
    </row>
    <row r="385" spans="1:27" ht="13.5" customHeight="1" x14ac:dyDescent="0.25">
      <c r="A385" s="9"/>
      <c r="B385" s="9"/>
      <c r="C385" s="9"/>
      <c r="D385" s="9"/>
      <c r="E385" s="9"/>
      <c r="F385" s="185"/>
      <c r="G385" s="185"/>
      <c r="H385" s="9"/>
      <c r="I385" s="311"/>
      <c r="J385" s="310"/>
      <c r="K385" s="291"/>
      <c r="L385" s="309"/>
      <c r="M385" s="9"/>
      <c r="N385" s="9"/>
      <c r="O385" s="42"/>
      <c r="P385" s="310"/>
      <c r="Q385" s="293"/>
      <c r="R385" s="291"/>
      <c r="S385" s="294"/>
      <c r="T385" s="295"/>
      <c r="U385" s="9"/>
      <c r="V385" s="9"/>
      <c r="W385" s="9"/>
      <c r="X385" s="9"/>
      <c r="Y385" s="9"/>
      <c r="Z385" s="298"/>
      <c r="AA385" s="298"/>
    </row>
    <row r="386" spans="1:27" ht="13.5" customHeight="1" x14ac:dyDescent="0.25">
      <c r="A386" s="9"/>
      <c r="B386" s="9"/>
      <c r="C386" s="9"/>
      <c r="D386" s="9"/>
      <c r="E386" s="9"/>
      <c r="F386" s="185"/>
      <c r="G386" s="185"/>
      <c r="H386" s="9"/>
      <c r="I386" s="311"/>
      <c r="J386" s="310"/>
      <c r="K386" s="291"/>
      <c r="L386" s="309"/>
      <c r="M386" s="9"/>
      <c r="N386" s="9"/>
      <c r="O386" s="42"/>
      <c r="P386" s="310"/>
      <c r="Q386" s="293"/>
      <c r="R386" s="291"/>
      <c r="S386" s="294"/>
      <c r="T386" s="295"/>
      <c r="U386" s="9"/>
      <c r="V386" s="9"/>
      <c r="W386" s="9"/>
      <c r="X386" s="9"/>
      <c r="Y386" s="9"/>
      <c r="Z386" s="298"/>
      <c r="AA386" s="298"/>
    </row>
    <row r="387" spans="1:27" ht="13.5" customHeight="1" x14ac:dyDescent="0.25">
      <c r="A387" s="9"/>
      <c r="B387" s="9"/>
      <c r="C387" s="9"/>
      <c r="D387" s="9"/>
      <c r="E387" s="9"/>
      <c r="F387" s="185"/>
      <c r="G387" s="185"/>
      <c r="H387" s="9"/>
      <c r="I387" s="311"/>
      <c r="J387" s="310"/>
      <c r="K387" s="291"/>
      <c r="L387" s="309"/>
      <c r="M387" s="9"/>
      <c r="N387" s="9"/>
      <c r="O387" s="42"/>
      <c r="P387" s="310"/>
      <c r="Q387" s="293"/>
      <c r="R387" s="291"/>
      <c r="S387" s="294"/>
      <c r="T387" s="295"/>
      <c r="U387" s="9"/>
      <c r="V387" s="9"/>
      <c r="W387" s="9"/>
      <c r="X387" s="9"/>
      <c r="Y387" s="9"/>
      <c r="Z387" s="298"/>
      <c r="AA387" s="298"/>
    </row>
    <row r="388" spans="1:27" ht="13.5" customHeight="1" x14ac:dyDescent="0.25">
      <c r="A388" s="9"/>
      <c r="B388" s="9"/>
      <c r="C388" s="9"/>
      <c r="D388" s="9"/>
      <c r="E388" s="9"/>
      <c r="F388" s="185"/>
      <c r="G388" s="185"/>
      <c r="H388" s="9"/>
      <c r="I388" s="311"/>
      <c r="J388" s="310"/>
      <c r="K388" s="291"/>
      <c r="L388" s="309"/>
      <c r="M388" s="9"/>
      <c r="N388" s="9"/>
      <c r="O388" s="42"/>
      <c r="P388" s="310"/>
      <c r="Q388" s="293"/>
      <c r="R388" s="291"/>
      <c r="S388" s="294"/>
      <c r="T388" s="295"/>
      <c r="U388" s="9"/>
      <c r="V388" s="9"/>
      <c r="W388" s="9"/>
      <c r="X388" s="9"/>
      <c r="Y388" s="9"/>
      <c r="Z388" s="298"/>
      <c r="AA388" s="298"/>
    </row>
    <row r="389" spans="1:27" ht="13.5" customHeight="1" x14ac:dyDescent="0.25">
      <c r="A389" s="9"/>
      <c r="B389" s="9"/>
      <c r="C389" s="9"/>
      <c r="D389" s="9"/>
      <c r="E389" s="9"/>
      <c r="F389" s="185"/>
      <c r="G389" s="185"/>
      <c r="H389" s="9"/>
      <c r="I389" s="311"/>
      <c r="J389" s="310"/>
      <c r="K389" s="291"/>
      <c r="L389" s="309"/>
      <c r="M389" s="9"/>
      <c r="N389" s="9"/>
      <c r="O389" s="42"/>
      <c r="P389" s="310"/>
      <c r="Q389" s="293"/>
      <c r="R389" s="291"/>
      <c r="S389" s="294"/>
      <c r="T389" s="295"/>
      <c r="U389" s="9"/>
      <c r="V389" s="9"/>
      <c r="W389" s="9"/>
      <c r="X389" s="9"/>
      <c r="Y389" s="9"/>
      <c r="Z389" s="298"/>
      <c r="AA389" s="298"/>
    </row>
    <row r="390" spans="1:27" ht="13.5" customHeight="1" x14ac:dyDescent="0.25">
      <c r="A390" s="9"/>
      <c r="B390" s="9"/>
      <c r="C390" s="9"/>
      <c r="D390" s="9"/>
      <c r="E390" s="9"/>
      <c r="F390" s="185"/>
      <c r="G390" s="185"/>
      <c r="H390" s="9"/>
      <c r="I390" s="311"/>
      <c r="J390" s="310"/>
      <c r="K390" s="291"/>
      <c r="L390" s="309"/>
      <c r="M390" s="9"/>
      <c r="N390" s="9"/>
      <c r="O390" s="42"/>
      <c r="P390" s="310"/>
      <c r="Q390" s="293"/>
      <c r="R390" s="291"/>
      <c r="S390" s="294"/>
      <c r="T390" s="295"/>
      <c r="U390" s="9"/>
      <c r="V390" s="9"/>
      <c r="W390" s="9"/>
      <c r="X390" s="9"/>
      <c r="Y390" s="9"/>
      <c r="Z390" s="298"/>
      <c r="AA390" s="298"/>
    </row>
    <row r="391" spans="1:27" ht="13.5" customHeight="1" x14ac:dyDescent="0.25">
      <c r="A391" s="9"/>
      <c r="B391" s="9"/>
      <c r="C391" s="9"/>
      <c r="D391" s="9"/>
      <c r="E391" s="9"/>
      <c r="F391" s="185"/>
      <c r="G391" s="185"/>
      <c r="H391" s="9"/>
      <c r="I391" s="311"/>
      <c r="J391" s="310"/>
      <c r="K391" s="291"/>
      <c r="L391" s="309"/>
      <c r="M391" s="9"/>
      <c r="N391" s="9"/>
      <c r="O391" s="42"/>
      <c r="P391" s="310"/>
      <c r="Q391" s="293"/>
      <c r="R391" s="291"/>
      <c r="S391" s="294"/>
      <c r="T391" s="295"/>
      <c r="U391" s="9"/>
      <c r="V391" s="9"/>
      <c r="W391" s="9"/>
      <c r="X391" s="9"/>
      <c r="Y391" s="9"/>
      <c r="Z391" s="298"/>
      <c r="AA391" s="298"/>
    </row>
    <row r="392" spans="1:27" ht="13.5" customHeight="1" x14ac:dyDescent="0.25">
      <c r="A392" s="9"/>
      <c r="B392" s="9"/>
      <c r="C392" s="9"/>
      <c r="D392" s="9"/>
      <c r="E392" s="9"/>
      <c r="F392" s="185"/>
      <c r="G392" s="185"/>
      <c r="H392" s="9"/>
      <c r="I392" s="311"/>
      <c r="J392" s="310"/>
      <c r="K392" s="291"/>
      <c r="L392" s="309"/>
      <c r="M392" s="9"/>
      <c r="N392" s="9"/>
      <c r="O392" s="42"/>
      <c r="P392" s="310"/>
      <c r="Q392" s="293"/>
      <c r="R392" s="291"/>
      <c r="S392" s="294"/>
      <c r="T392" s="295"/>
      <c r="U392" s="9"/>
      <c r="V392" s="9"/>
      <c r="W392" s="9"/>
      <c r="X392" s="9"/>
      <c r="Y392" s="9"/>
      <c r="Z392" s="298"/>
      <c r="AA392" s="298"/>
    </row>
    <row r="393" spans="1:27" ht="13.5" customHeight="1" x14ac:dyDescent="0.25">
      <c r="A393" s="9"/>
      <c r="B393" s="9"/>
      <c r="C393" s="9"/>
      <c r="D393" s="9"/>
      <c r="E393" s="9"/>
      <c r="F393" s="185"/>
      <c r="G393" s="185"/>
      <c r="H393" s="9"/>
      <c r="I393" s="311"/>
      <c r="J393" s="310"/>
      <c r="K393" s="291"/>
      <c r="L393" s="309"/>
      <c r="M393" s="9"/>
      <c r="N393" s="9"/>
      <c r="O393" s="42"/>
      <c r="P393" s="310"/>
      <c r="Q393" s="293"/>
      <c r="R393" s="291"/>
      <c r="S393" s="294"/>
      <c r="T393" s="295"/>
      <c r="U393" s="9"/>
      <c r="V393" s="9"/>
      <c r="W393" s="9"/>
      <c r="X393" s="9"/>
      <c r="Y393" s="9"/>
      <c r="Z393" s="298"/>
      <c r="AA393" s="298"/>
    </row>
    <row r="394" spans="1:27" ht="13.5" customHeight="1" x14ac:dyDescent="0.25">
      <c r="A394" s="9"/>
      <c r="B394" s="9"/>
      <c r="C394" s="9"/>
      <c r="D394" s="9"/>
      <c r="E394" s="9"/>
      <c r="F394" s="185"/>
      <c r="G394" s="185"/>
      <c r="H394" s="9"/>
      <c r="I394" s="311"/>
      <c r="J394" s="310"/>
      <c r="K394" s="291"/>
      <c r="L394" s="309"/>
      <c r="M394" s="9"/>
      <c r="N394" s="9"/>
      <c r="O394" s="42"/>
      <c r="P394" s="310"/>
      <c r="Q394" s="293"/>
      <c r="R394" s="291"/>
      <c r="S394" s="294"/>
      <c r="T394" s="295"/>
      <c r="U394" s="9"/>
      <c r="V394" s="9"/>
      <c r="W394" s="9"/>
      <c r="X394" s="9"/>
      <c r="Y394" s="9"/>
      <c r="Z394" s="298"/>
      <c r="AA394" s="298"/>
    </row>
    <row r="395" spans="1:27" ht="13.5" customHeight="1" x14ac:dyDescent="0.25">
      <c r="A395" s="9"/>
      <c r="B395" s="9"/>
      <c r="C395" s="9"/>
      <c r="D395" s="9"/>
      <c r="E395" s="9"/>
      <c r="F395" s="185"/>
      <c r="G395" s="185"/>
      <c r="H395" s="9"/>
      <c r="I395" s="311"/>
      <c r="J395" s="310"/>
      <c r="K395" s="291"/>
      <c r="L395" s="309"/>
      <c r="M395" s="9"/>
      <c r="N395" s="9"/>
      <c r="O395" s="42"/>
      <c r="P395" s="310"/>
      <c r="Q395" s="293"/>
      <c r="R395" s="291"/>
      <c r="S395" s="294"/>
      <c r="T395" s="295"/>
      <c r="U395" s="9"/>
      <c r="V395" s="9"/>
      <c r="W395" s="9"/>
      <c r="X395" s="9"/>
      <c r="Y395" s="9"/>
      <c r="Z395" s="298"/>
      <c r="AA395" s="298"/>
    </row>
    <row r="396" spans="1:27" ht="13.5" customHeight="1" x14ac:dyDescent="0.25">
      <c r="A396" s="9"/>
      <c r="B396" s="9"/>
      <c r="C396" s="9"/>
      <c r="D396" s="9"/>
      <c r="E396" s="9"/>
      <c r="F396" s="185"/>
      <c r="G396" s="185"/>
      <c r="H396" s="9"/>
      <c r="I396" s="311"/>
      <c r="J396" s="310"/>
      <c r="K396" s="291"/>
      <c r="L396" s="309"/>
      <c r="M396" s="9"/>
      <c r="N396" s="9"/>
      <c r="O396" s="42"/>
      <c r="P396" s="310"/>
      <c r="Q396" s="293"/>
      <c r="R396" s="291"/>
      <c r="S396" s="294"/>
      <c r="T396" s="295"/>
      <c r="U396" s="9"/>
      <c r="V396" s="9"/>
      <c r="W396" s="9"/>
      <c r="X396" s="9"/>
      <c r="Y396" s="9"/>
      <c r="Z396" s="298"/>
      <c r="AA396" s="298"/>
    </row>
    <row r="397" spans="1:27" ht="13.5" customHeight="1" x14ac:dyDescent="0.25">
      <c r="A397" s="9"/>
      <c r="B397" s="9"/>
      <c r="C397" s="9"/>
      <c r="D397" s="9"/>
      <c r="E397" s="9"/>
      <c r="F397" s="185"/>
      <c r="G397" s="185"/>
      <c r="H397" s="9"/>
      <c r="I397" s="311"/>
      <c r="J397" s="310"/>
      <c r="K397" s="291"/>
      <c r="L397" s="309"/>
      <c r="M397" s="9"/>
      <c r="N397" s="9"/>
      <c r="O397" s="42"/>
      <c r="P397" s="310"/>
      <c r="Q397" s="293"/>
      <c r="R397" s="291"/>
      <c r="S397" s="294"/>
      <c r="T397" s="295"/>
      <c r="U397" s="9"/>
      <c r="V397" s="9"/>
      <c r="W397" s="9"/>
      <c r="X397" s="9"/>
      <c r="Y397" s="9"/>
      <c r="Z397" s="298"/>
      <c r="AA397" s="298"/>
    </row>
    <row r="398" spans="1:27" ht="13.5" customHeight="1" x14ac:dyDescent="0.25">
      <c r="A398" s="9"/>
      <c r="B398" s="9"/>
      <c r="C398" s="9"/>
      <c r="D398" s="9"/>
      <c r="E398" s="9"/>
      <c r="F398" s="185"/>
      <c r="G398" s="185"/>
      <c r="H398" s="9"/>
      <c r="I398" s="311"/>
      <c r="J398" s="310"/>
      <c r="K398" s="291"/>
      <c r="L398" s="309"/>
      <c r="M398" s="9"/>
      <c r="N398" s="9"/>
      <c r="O398" s="42"/>
      <c r="P398" s="310"/>
      <c r="Q398" s="293"/>
      <c r="R398" s="291"/>
      <c r="S398" s="294"/>
      <c r="T398" s="295"/>
      <c r="U398" s="9"/>
      <c r="V398" s="9"/>
      <c r="W398" s="9"/>
      <c r="X398" s="9"/>
      <c r="Y398" s="9"/>
      <c r="Z398" s="298"/>
      <c r="AA398" s="298"/>
    </row>
    <row r="399" spans="1:27" ht="13.5" customHeight="1" x14ac:dyDescent="0.25">
      <c r="A399" s="9"/>
      <c r="B399" s="9"/>
      <c r="C399" s="9"/>
      <c r="D399" s="9"/>
      <c r="E399" s="9"/>
      <c r="F399" s="185"/>
      <c r="G399" s="185"/>
      <c r="H399" s="9"/>
      <c r="I399" s="311"/>
      <c r="J399" s="310"/>
      <c r="K399" s="291"/>
      <c r="L399" s="309"/>
      <c r="M399" s="9"/>
      <c r="N399" s="9"/>
      <c r="O399" s="42"/>
      <c r="P399" s="310"/>
      <c r="Q399" s="293"/>
      <c r="R399" s="291"/>
      <c r="S399" s="294"/>
      <c r="T399" s="295"/>
      <c r="U399" s="9"/>
      <c r="V399" s="9"/>
      <c r="W399" s="9"/>
      <c r="X399" s="9"/>
      <c r="Y399" s="9"/>
      <c r="Z399" s="298"/>
      <c r="AA399" s="298"/>
    </row>
    <row r="400" spans="1:27" ht="13.5" customHeight="1" x14ac:dyDescent="0.25">
      <c r="A400" s="9"/>
      <c r="B400" s="9"/>
      <c r="C400" s="9"/>
      <c r="D400" s="9"/>
      <c r="E400" s="9"/>
      <c r="F400" s="185"/>
      <c r="G400" s="185"/>
      <c r="H400" s="9"/>
      <c r="I400" s="311"/>
      <c r="J400" s="310"/>
      <c r="K400" s="291"/>
      <c r="L400" s="309"/>
      <c r="M400" s="9"/>
      <c r="N400" s="9"/>
      <c r="O400" s="42"/>
      <c r="P400" s="310"/>
      <c r="Q400" s="293"/>
      <c r="R400" s="291"/>
      <c r="S400" s="294"/>
      <c r="T400" s="295"/>
      <c r="U400" s="9"/>
      <c r="V400" s="9"/>
      <c r="W400" s="9"/>
      <c r="X400" s="9"/>
      <c r="Y400" s="9"/>
      <c r="Z400" s="298"/>
      <c r="AA400" s="298"/>
    </row>
    <row r="401" spans="1:27" ht="13.5" customHeight="1" x14ac:dyDescent="0.25">
      <c r="A401" s="9"/>
      <c r="B401" s="9"/>
      <c r="C401" s="9"/>
      <c r="D401" s="9"/>
      <c r="E401" s="9"/>
      <c r="F401" s="185"/>
      <c r="G401" s="185"/>
      <c r="H401" s="9"/>
      <c r="I401" s="311"/>
      <c r="J401" s="310"/>
      <c r="K401" s="291"/>
      <c r="L401" s="309"/>
      <c r="M401" s="9"/>
      <c r="N401" s="9"/>
      <c r="O401" s="42"/>
      <c r="P401" s="310"/>
      <c r="Q401" s="293"/>
      <c r="R401" s="291"/>
      <c r="S401" s="294"/>
      <c r="T401" s="295"/>
      <c r="U401" s="9"/>
      <c r="V401" s="9"/>
      <c r="W401" s="9"/>
      <c r="X401" s="9"/>
      <c r="Y401" s="9"/>
      <c r="Z401" s="298"/>
      <c r="AA401" s="298"/>
    </row>
    <row r="402" spans="1:27" ht="13.5" customHeight="1" x14ac:dyDescent="0.25">
      <c r="A402" s="9"/>
      <c r="B402" s="9"/>
      <c r="C402" s="9"/>
      <c r="D402" s="9"/>
      <c r="E402" s="9"/>
      <c r="F402" s="185"/>
      <c r="G402" s="185"/>
      <c r="H402" s="9"/>
      <c r="I402" s="311"/>
      <c r="J402" s="310"/>
      <c r="K402" s="291"/>
      <c r="L402" s="309"/>
      <c r="M402" s="9"/>
      <c r="N402" s="9"/>
      <c r="O402" s="42"/>
      <c r="P402" s="310"/>
      <c r="Q402" s="293"/>
      <c r="R402" s="291"/>
      <c r="S402" s="294"/>
      <c r="T402" s="295"/>
      <c r="U402" s="9"/>
      <c r="V402" s="9"/>
      <c r="W402" s="9"/>
      <c r="X402" s="9"/>
      <c r="Y402" s="9"/>
      <c r="Z402" s="298"/>
      <c r="AA402" s="298"/>
    </row>
    <row r="403" spans="1:27" ht="13.5" customHeight="1" x14ac:dyDescent="0.25">
      <c r="A403" s="9"/>
      <c r="B403" s="9"/>
      <c r="C403" s="9"/>
      <c r="D403" s="9"/>
      <c r="E403" s="9"/>
      <c r="F403" s="185"/>
      <c r="G403" s="185"/>
      <c r="H403" s="9"/>
      <c r="I403" s="311"/>
      <c r="J403" s="310"/>
      <c r="K403" s="291"/>
      <c r="L403" s="309"/>
      <c r="M403" s="9"/>
      <c r="N403" s="9"/>
      <c r="O403" s="42"/>
      <c r="P403" s="310"/>
      <c r="Q403" s="293"/>
      <c r="R403" s="291"/>
      <c r="S403" s="294"/>
      <c r="T403" s="295"/>
      <c r="U403" s="9"/>
      <c r="V403" s="9"/>
      <c r="W403" s="9"/>
      <c r="X403" s="9"/>
      <c r="Y403" s="9"/>
      <c r="Z403" s="298"/>
      <c r="AA403" s="298"/>
    </row>
    <row r="404" spans="1:27" ht="13.5" customHeight="1" x14ac:dyDescent="0.25">
      <c r="A404" s="9"/>
      <c r="B404" s="9"/>
      <c r="C404" s="9"/>
      <c r="D404" s="9"/>
      <c r="E404" s="9"/>
      <c r="F404" s="185"/>
      <c r="G404" s="185"/>
      <c r="H404" s="9"/>
      <c r="I404" s="311"/>
      <c r="J404" s="310"/>
      <c r="K404" s="291"/>
      <c r="L404" s="309"/>
      <c r="M404" s="9"/>
      <c r="N404" s="9"/>
      <c r="O404" s="42"/>
      <c r="P404" s="310"/>
      <c r="Q404" s="293"/>
      <c r="R404" s="291"/>
      <c r="S404" s="294"/>
      <c r="T404" s="295"/>
      <c r="U404" s="9"/>
      <c r="V404" s="9"/>
      <c r="W404" s="9"/>
      <c r="X404" s="9"/>
      <c r="Y404" s="9"/>
      <c r="Z404" s="298"/>
      <c r="AA404" s="298"/>
    </row>
    <row r="405" spans="1:27" ht="13.5" customHeight="1" x14ac:dyDescent="0.25">
      <c r="A405" s="9"/>
      <c r="B405" s="9"/>
      <c r="C405" s="9"/>
      <c r="D405" s="9"/>
      <c r="E405" s="9"/>
      <c r="F405" s="185"/>
      <c r="G405" s="185"/>
      <c r="H405" s="9"/>
      <c r="I405" s="311"/>
      <c r="J405" s="310"/>
      <c r="K405" s="291"/>
      <c r="L405" s="309"/>
      <c r="M405" s="9"/>
      <c r="N405" s="9"/>
      <c r="O405" s="42"/>
      <c r="P405" s="310"/>
      <c r="Q405" s="293"/>
      <c r="R405" s="291"/>
      <c r="S405" s="294"/>
      <c r="T405" s="295"/>
      <c r="U405" s="9"/>
      <c r="V405" s="9"/>
      <c r="W405" s="9"/>
      <c r="X405" s="9"/>
      <c r="Y405" s="9"/>
      <c r="Z405" s="298"/>
      <c r="AA405" s="298"/>
    </row>
    <row r="406" spans="1:27" ht="13.5" customHeight="1" x14ac:dyDescent="0.25">
      <c r="A406" s="9"/>
      <c r="B406" s="9"/>
      <c r="C406" s="9"/>
      <c r="D406" s="9"/>
      <c r="E406" s="9"/>
      <c r="F406" s="185"/>
      <c r="G406" s="185"/>
      <c r="H406" s="9"/>
      <c r="I406" s="311"/>
      <c r="J406" s="310"/>
      <c r="K406" s="291"/>
      <c r="L406" s="309"/>
      <c r="M406" s="9"/>
      <c r="N406" s="9"/>
      <c r="O406" s="42"/>
      <c r="P406" s="310"/>
      <c r="Q406" s="293"/>
      <c r="R406" s="291"/>
      <c r="S406" s="294"/>
      <c r="T406" s="295"/>
      <c r="U406" s="9"/>
      <c r="V406" s="9"/>
      <c r="W406" s="9"/>
      <c r="X406" s="9"/>
      <c r="Y406" s="9"/>
      <c r="Z406" s="298"/>
      <c r="AA406" s="298"/>
    </row>
    <row r="407" spans="1:27" ht="13.5" customHeight="1" x14ac:dyDescent="0.25">
      <c r="A407" s="9"/>
      <c r="B407" s="9"/>
      <c r="C407" s="9"/>
      <c r="D407" s="9"/>
      <c r="E407" s="9"/>
      <c r="F407" s="185"/>
      <c r="G407" s="185"/>
      <c r="H407" s="9"/>
      <c r="I407" s="311"/>
      <c r="J407" s="310"/>
      <c r="K407" s="291"/>
      <c r="L407" s="309"/>
      <c r="M407" s="9"/>
      <c r="N407" s="9"/>
      <c r="O407" s="42"/>
      <c r="P407" s="310"/>
      <c r="Q407" s="293"/>
      <c r="R407" s="291"/>
      <c r="S407" s="294"/>
      <c r="T407" s="295"/>
      <c r="U407" s="9"/>
      <c r="V407" s="9"/>
      <c r="W407" s="9"/>
      <c r="X407" s="9"/>
      <c r="Y407" s="9"/>
      <c r="Z407" s="298"/>
      <c r="AA407" s="298"/>
    </row>
  </sheetData>
  <mergeCells count="55">
    <mergeCell ref="P249:Q249"/>
    <mergeCell ref="P243:Q243"/>
    <mergeCell ref="P244:Q244"/>
    <mergeCell ref="P245:Q245"/>
    <mergeCell ref="P246:Q246"/>
    <mergeCell ref="P247:Q247"/>
    <mergeCell ref="P248:Q248"/>
    <mergeCell ref="C249:K249"/>
    <mergeCell ref="A101:A108"/>
    <mergeCell ref="A109:A197"/>
    <mergeCell ref="A198:A199"/>
    <mergeCell ref="A2:A100"/>
    <mergeCell ref="F91:I91"/>
    <mergeCell ref="F92:I92"/>
    <mergeCell ref="C234:K234"/>
    <mergeCell ref="P242:Q242"/>
    <mergeCell ref="F93:I93"/>
    <mergeCell ref="F94:I94"/>
    <mergeCell ref="F95:I95"/>
    <mergeCell ref="F96:I96"/>
    <mergeCell ref="F97:I97"/>
    <mergeCell ref="F98:I98"/>
    <mergeCell ref="C208:L208"/>
    <mergeCell ref="C220:K220"/>
    <mergeCell ref="C223:L223"/>
    <mergeCell ref="C219:K219"/>
    <mergeCell ref="P233:Q233"/>
    <mergeCell ref="P234:Q234"/>
    <mergeCell ref="C238:L238"/>
    <mergeCell ref="M238:R238"/>
    <mergeCell ref="P239:Q239"/>
    <mergeCell ref="P240:Q240"/>
    <mergeCell ref="P241:Q241"/>
    <mergeCell ref="M223:R223"/>
    <mergeCell ref="P212:Q212"/>
    <mergeCell ref="P213:Q213"/>
    <mergeCell ref="P231:Q231"/>
    <mergeCell ref="P232:Q232"/>
    <mergeCell ref="P224:Q224"/>
    <mergeCell ref="P225:Q225"/>
    <mergeCell ref="P226:Q226"/>
    <mergeCell ref="P227:Q227"/>
    <mergeCell ref="P228:Q228"/>
    <mergeCell ref="P229:Q229"/>
    <mergeCell ref="P230:Q230"/>
    <mergeCell ref="P219:Q219"/>
    <mergeCell ref="M208:R208"/>
    <mergeCell ref="P209:Q209"/>
    <mergeCell ref="P210:Q210"/>
    <mergeCell ref="P211:Q211"/>
    <mergeCell ref="P214:Q214"/>
    <mergeCell ref="P215:Q215"/>
    <mergeCell ref="P216:Q216"/>
    <mergeCell ref="P217:Q217"/>
    <mergeCell ref="P218:Q218"/>
  </mergeCells>
  <conditionalFormatting sqref="P210:Q219 P225:Q234 P240:Q249">
    <cfRule type="cellIs" dxfId="0" priority="1" operator="greaterThanOrEqual">
      <formula>1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Доставка</vt:lpstr>
      <vt:lpstr>Virši</vt:lpstr>
      <vt:lpstr>01.2026.</vt:lpstr>
      <vt:lpstr>02.2026.</vt:lpstr>
      <vt:lpstr>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Aigars</dc:creator>
  <cp:lastModifiedBy>Deniss</cp:lastModifiedBy>
  <dcterms:created xsi:type="dcterms:W3CDTF">2024-05-02T09:33:15Z</dcterms:created>
  <dcterms:modified xsi:type="dcterms:W3CDTF">2026-03-24T10:04:23Z</dcterms:modified>
</cp:coreProperties>
</file>