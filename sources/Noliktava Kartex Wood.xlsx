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Доставка" sheetId="1" r:id="rId4"/>
    <sheet state="visible" name="Virši" sheetId="2" r:id="rId5"/>
    <sheet state="visible" name="01.2026." sheetId="3" r:id="rId6"/>
    <sheet state="visible" name="02.2026." sheetId="4" r:id="rId7"/>
    <sheet state="visible" name="03.2026" sheetId="5" r:id="rId8"/>
  </sheets>
  <definedNames/>
  <calcPr/>
  <extLst>
    <ext uri="GoogleSheetsCustomDataVersion2">
      <go:sheetsCustomData xmlns:go="http://customooxmlschemas.google.com/" r:id="rId9" roundtripDataChecksum="j1vbQlpAlm/Z1SA6ruRoz25/EI88KF3VWP/5SVX/mXY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88">
      <text>
        <t xml:space="preserve">Не 1,1667, чтоб не менять ценник
======</t>
      </text>
    </comment>
    <comment authorId="0" ref="L124">
      <text>
        <t xml:space="preserve">======
ID#AAABu4DqJoM
Kartex Wood    (2025-12-29 14:09:09)
20 – двадцать штук не досчитались.</t>
      </text>
    </comment>
    <comment authorId="0" ref="L129">
      <text>
        <t xml:space="preserve">======
ID#AAABu2in5Q4
Kartex Wood    (2025-12-23 10:42:15)
Перевёл 9 шт. в погонные метры, чтоб торговать по метру. Из 9 вышло 36 метров</t>
      </text>
    </comment>
  </commentList>
  <extLst>
    <ext uri="GoogleSheetsCustomDataVersion2">
      <go:sheetsCustomData xmlns:go="http://customooxmlschemas.google.com/" r:id="rId1" roundtripDataSignature="AMtx7mgor/lKaj07Hc+rDh45JVRgdCn67A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88">
      <text>
        <t xml:space="preserve">Не 1,1667, чтоб не менять ценник
======</t>
      </text>
    </comment>
    <comment authorId="0" ref="I110">
      <text>
        <t xml:space="preserve">Не 1,1667, чтоб не менять ценник
======</t>
      </text>
    </comment>
    <comment authorId="0" ref="Q60">
      <text>
        <t xml:space="preserve">======
ID#AAAB0DoradA
Kartex Wood    (2026-02-10 08:34:16)
Купил Влад</t>
      </text>
    </comment>
    <comment authorId="0" ref="L117">
      <text>
        <t xml:space="preserve">======
ID#AAAB0BpSF_s
Kartex Wood    (2026-02-09 11:43:30)
38 шт передали Meža Dimzas</t>
      </text>
    </comment>
  </commentList>
  <extLst>
    <ext uri="GoogleSheetsCustomDataVersion2">
      <go:sheetsCustomData xmlns:go="http://customooxmlschemas.google.com/" r:id="rId1" roundtripDataSignature="AMtx7mjW1piRtqywOOZ4ObZolX9swIBEng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88">
      <text>
        <t xml:space="preserve">Не 1,1667, чтоб не менять ценник
======</t>
      </text>
    </comment>
    <comment authorId="0" ref="I110">
      <text>
        <t xml:space="preserve">Не 1,1667, чтоб не менять ценник
======</t>
      </text>
    </comment>
  </commentList>
</comments>
</file>

<file path=xl/sharedStrings.xml><?xml version="1.0" encoding="utf-8"?>
<sst xmlns="http://schemas.openxmlformats.org/spreadsheetml/2006/main" count="633" uniqueCount="119">
  <si>
    <t>Piegāde</t>
  </si>
  <si>
    <t xml:space="preserve">Nissan </t>
  </si>
  <si>
    <t>Расход (l/100 km)</t>
  </si>
  <si>
    <t>Тариф (€/km)</t>
  </si>
  <si>
    <t>Топливо (€)</t>
  </si>
  <si>
    <t>Decembris</t>
  </si>
  <si>
    <t>Datums</t>
  </si>
  <si>
    <t>Attālums</t>
  </si>
  <si>
    <t>Patērēts</t>
  </si>
  <si>
    <t>Saņemts (€)</t>
  </si>
  <si>
    <t>Kopā
(S-P)</t>
  </si>
  <si>
    <t>Litri</t>
  </si>
  <si>
    <t>€</t>
  </si>
  <si>
    <t>Kopā</t>
  </si>
  <si>
    <t>Izdevumi</t>
  </si>
  <si>
    <t>Degviela</t>
  </si>
  <si>
    <t>Ceļa nodeva</t>
  </si>
  <si>
    <t>Vinjete</t>
  </si>
  <si>
    <t>Apdrošināšana</t>
  </si>
  <si>
    <t>Kopå</t>
  </si>
  <si>
    <t>KartexWood → Virši</t>
  </si>
  <si>
    <t>Janvāris</t>
  </si>
  <si>
    <t>KVALITĀTE</t>
  </si>
  <si>
    <t>AUGSTUMS (m)</t>
  </si>
  <si>
    <t>PLATUMS (m)</t>
  </si>
  <si>
    <t>GARUMS (m)</t>
  </si>
  <si>
    <t>Cena m3</t>
  </si>
  <si>
    <t>Cena 1 gb</t>
  </si>
  <si>
    <t>NODOTS (gb.)</t>
  </si>
  <si>
    <t>NODOTS (€)</t>
  </si>
  <si>
    <t>Mala 15 mm</t>
  </si>
  <si>
    <t>KOPĀ VISS</t>
  </si>
  <si>
    <t>Februāris</t>
  </si>
  <si>
    <t>xx.11.2025</t>
  </si>
  <si>
    <t xml:space="preserve"> </t>
  </si>
  <si>
    <t>BIEZUMS (m)</t>
  </si>
  <si>
    <t>m3 (1 gb)</t>
  </si>
  <si>
    <t>m2(1gb)</t>
  </si>
  <si>
    <t>IEPIRKUMA CENA</t>
  </si>
  <si>
    <t>Cena m2</t>
  </si>
  <si>
    <t>DAUDZUMS (gb.)</t>
  </si>
  <si>
    <t>Kopā m3</t>
  </si>
  <si>
    <t>Kopa m2</t>
  </si>
  <si>
    <t>PĀRDOTS (gb.)</t>
  </si>
  <si>
    <t>PĀRDOTS (m3)</t>
  </si>
  <si>
    <t>PĀRDOTS (€)</t>
  </si>
  <si>
    <t>SAŅEMAM (gb.)</t>
  </si>
  <si>
    <t>SAŅEMAM (m3)</t>
  </si>
  <si>
    <t>IEPRIEKŠĒJAIS ATLIKUMS (gb.)</t>
  </si>
  <si>
    <t>ATLIKUMS (€)</t>
  </si>
  <si>
    <t>KARTEX</t>
  </si>
  <si>
    <t>TERASES DĒĻI</t>
  </si>
  <si>
    <t>Impregnēta</t>
  </si>
  <si>
    <t>Sibīrijas lapegle</t>
  </si>
  <si>
    <t>BC</t>
  </si>
  <si>
    <t>ABC</t>
  </si>
  <si>
    <t>KOPĀ</t>
  </si>
  <si>
    <t>APDARES DĒĻI</t>
  </si>
  <si>
    <t>Mala 10 mm</t>
  </si>
  <si>
    <t>Mala 20 mm</t>
  </si>
  <si>
    <t>Mala 5 mm</t>
  </si>
  <si>
    <t>Bez rievas</t>
  </si>
  <si>
    <t>Ar rievu</t>
  </si>
  <si>
    <t>Blockhaus</t>
  </si>
  <si>
    <t>ŽOGA DĒĻI</t>
  </si>
  <si>
    <t>GRĪDAS DĒĻI</t>
  </si>
  <si>
    <t>KOKMATERIĀLI</t>
  </si>
  <si>
    <t>Finieris</t>
  </si>
  <si>
    <t>PIRTS</t>
  </si>
  <si>
    <t>Alksnis</t>
  </si>
  <si>
    <t>Apse</t>
  </si>
  <si>
    <t>KARKASS</t>
  </si>
  <si>
    <t>Koka brusis</t>
  </si>
  <si>
    <t>LĪSTE</t>
  </si>
  <si>
    <t>Līste</t>
  </si>
  <si>
    <t>DAŽĀDAS PRECES</t>
  </si>
  <si>
    <t>Puķu kaste "Double"</t>
  </si>
  <si>
    <t>Puķu kaste “Kāpnes”</t>
  </si>
  <si>
    <t>Puķu kaste “Single”</t>
  </si>
  <si>
    <t>Puķu kaste “Trio”</t>
  </si>
  <si>
    <t>Soliņš 2 "Zebrēns"</t>
  </si>
  <si>
    <t>Soliņš 3 "Lapsene"</t>
  </si>
  <si>
    <t>Soliņš 4 "Ronēns"</t>
  </si>
  <si>
    <t>Stādāmā kaste</t>
  </si>
  <si>
    <t>KOPĀ KARTEX</t>
  </si>
  <si>
    <t>RONDI</t>
  </si>
  <si>
    <t>C24</t>
  </si>
  <si>
    <t>Impregnēta egle</t>
  </si>
  <si>
    <t>Zviedrijas</t>
  </si>
  <si>
    <t>Zviedrijas (gabals)</t>
  </si>
  <si>
    <t>KOPĀ RONDI</t>
  </si>
  <si>
    <t>BUVNIEKS</t>
  </si>
  <si>
    <t>NEĒVELĒTI</t>
  </si>
  <si>
    <t>Impregnēta līste</t>
  </si>
  <si>
    <t>Bērzs</t>
  </si>
  <si>
    <t>Impregnēts</t>
  </si>
  <si>
    <t>China</t>
  </si>
  <si>
    <t>2 šķira Impregnēts</t>
  </si>
  <si>
    <t>2. šķira</t>
  </si>
  <si>
    <t>Žoga mieti</t>
  </si>
  <si>
    <t>Pusbaļķis</t>
  </si>
  <si>
    <t>Malka</t>
  </si>
  <si>
    <t>ĒVELĒTI</t>
  </si>
  <si>
    <t>Rondi</t>
  </si>
  <si>
    <t>Rondi (gabals)</t>
  </si>
  <si>
    <t>Kartex</t>
  </si>
  <si>
    <t>KOPĀ BUVNIEKS</t>
  </si>
  <si>
    <t>Dēļi (gb)</t>
  </si>
  <si>
    <t>Iepakojums</t>
  </si>
  <si>
    <t>Sk.</t>
  </si>
  <si>
    <t>Cena</t>
  </si>
  <si>
    <t>Tilpums м³</t>
  </si>
  <si>
    <t>Svars kg</t>
  </si>
  <si>
    <t>Piegade</t>
  </si>
  <si>
    <t>Dēļi (м³)</t>
  </si>
  <si>
    <t>Kopa</t>
  </si>
  <si>
    <t>m3</t>
  </si>
  <si>
    <t>gb</t>
  </si>
  <si>
    <t>Līste (Kartex)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</si>
</sst>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.m.yyyy"/>
    <numFmt numFmtId="165" formatCode="0.000"/>
    <numFmt numFmtId="166" formatCode="d.m.yy"/>
    <numFmt numFmtId="167" formatCode="dd.mm.yyyy"/>
    <numFmt numFmtId="168" formatCode="0.0000"/>
  </numFmts>
  <fonts count="37">
    <font>
      <sz val="11.0"/>
      <color theme="1"/>
      <name val="Calibri"/>
      <scheme val="minor"/>
    </font>
    <font>
      <b/>
      <sz val="8.0"/>
      <color rgb="FF000000"/>
      <name val="Times New Roman"/>
    </font>
    <font>
      <b/>
      <sz val="8.0"/>
      <color rgb="FF974806"/>
      <name val="Times New Roman"/>
    </font>
    <font>
      <b/>
      <sz val="20.0"/>
      <color rgb="FF000000"/>
      <name val="Times New Roman"/>
    </font>
    <font>
      <b/>
      <sz val="13.0"/>
      <color theme="1"/>
      <name val="Times New Roman"/>
    </font>
    <font>
      <b/>
      <sz val="12.0"/>
      <color theme="1"/>
      <name val="Times New Roman"/>
    </font>
    <font>
      <sz val="12.0"/>
      <color theme="1"/>
      <name val="Times New Roman"/>
    </font>
    <font>
      <b/>
      <sz val="12.0"/>
      <color rgb="FF974806"/>
      <name val="Times New Roman"/>
    </font>
    <font>
      <sz val="12.0"/>
      <color rgb="FF974806"/>
      <name val="Times New Roman"/>
    </font>
    <font>
      <sz val="11.0"/>
      <color theme="1"/>
      <name val="Times New Roman"/>
    </font>
    <font/>
    <font>
      <sz val="12.0"/>
      <color rgb="FF000000"/>
      <name val="Times New Roman"/>
    </font>
    <font>
      <b/>
      <sz val="12.0"/>
      <color rgb="FF000000"/>
      <name val="Times New Roman"/>
    </font>
    <font>
      <b/>
      <sz val="11.0"/>
      <color rgb="FF000000"/>
      <name val="Times New Roman"/>
    </font>
    <font>
      <b/>
      <sz val="11.0"/>
      <color rgb="FF974806"/>
      <name val="Times New Roman"/>
    </font>
    <font>
      <sz val="11.0"/>
      <color rgb="FF974806"/>
      <name val="Times New Roman"/>
    </font>
    <font>
      <sz val="8.0"/>
      <color rgb="FF000000"/>
      <name val="Times New Roman"/>
    </font>
    <font>
      <b/>
      <sz val="10.0"/>
      <color rgb="FF000000"/>
      <name val="Times New Roman"/>
    </font>
    <font>
      <sz val="11.0"/>
      <color rgb="FF000000"/>
      <name val="Times New Roman"/>
    </font>
    <font>
      <sz val="11.0"/>
      <color rgb="FF005E00"/>
      <name val="Times New Roman"/>
    </font>
    <font>
      <sz val="10.0"/>
      <color rgb="FF000000"/>
      <name val="Times New Roman"/>
    </font>
    <font>
      <b/>
      <sz val="10.0"/>
      <color rgb="FF974806"/>
      <name val="Times New Roman"/>
    </font>
    <font>
      <b/>
      <color theme="1"/>
      <name val="Times New Roman"/>
    </font>
    <font>
      <b/>
      <sz val="8.0"/>
      <color theme="1"/>
      <name val="Times New Roman"/>
    </font>
    <font>
      <b/>
      <sz val="11.0"/>
      <color theme="1"/>
      <name val="Times New Roman"/>
    </font>
    <font>
      <b/>
      <color rgb="FF974806"/>
      <name val="Times New Roman"/>
    </font>
    <font>
      <b/>
      <sz val="8.0"/>
      <color rgb="FF38761D"/>
      <name val="Times New Roman"/>
    </font>
    <font>
      <b/>
      <sz val="11.0"/>
      <color rgb="FF38761D"/>
      <name val="Times New Roman"/>
    </font>
    <font>
      <sz val="11.0"/>
      <color rgb="FFB7B7B7"/>
      <name val="Times New Roman"/>
    </font>
    <font>
      <sz val="11.0"/>
      <color rgb="FF38761D"/>
      <name val="Times New Roman"/>
    </font>
    <font>
      <color rgb="FFB7B7B7"/>
      <name val="Times New Roman"/>
    </font>
    <font>
      <sz val="10.0"/>
      <color rgb="FF38761D"/>
      <name val="Times New Roman"/>
    </font>
    <font>
      <sz val="10.0"/>
      <color rgb="FF974806"/>
      <name val="Times New Roman"/>
    </font>
    <font>
      <sz val="10.0"/>
      <color theme="1"/>
      <name val="Times New Roman"/>
    </font>
    <font>
      <b/>
      <sz val="10.0"/>
      <color theme="1"/>
      <name val="Times New Roman"/>
    </font>
    <font>
      <b/>
      <sz val="10.0"/>
      <color rgb="FF38761D"/>
      <name val="Times New Roman"/>
    </font>
    <font>
      <color theme="1"/>
      <name val="Times New Roman"/>
    </font>
  </fonts>
  <fills count="13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E6B8AF"/>
        <bgColor rgb="FFE6B8AF"/>
      </patternFill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  <fill>
      <patternFill patternType="solid">
        <fgColor rgb="FFC4BD97"/>
        <bgColor rgb="FFC4BD9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</fills>
  <borders count="52">
    <border/>
    <border>
      <bottom style="hair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FFF2CC"/>
      </right>
      <bottom style="thin">
        <color rgb="FF000000"/>
      </bottom>
    </border>
    <border>
      <left style="thin">
        <color rgb="FFFFF2CC"/>
      </left>
      <right style="thin">
        <color rgb="FFFFF2CC"/>
      </right>
      <bottom style="thin">
        <color rgb="FF000000"/>
      </bottom>
    </border>
    <border>
      <left style="thin">
        <color rgb="FFFFF2CC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460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horizontal="center" shrinkToFit="0" vertical="top" wrapText="1"/>
    </xf>
    <xf borderId="0" fillId="0" fontId="2" numFmtId="1" xfId="0" applyAlignment="1" applyFont="1" applyNumberFormat="1">
      <alignment horizontal="center" shrinkToFit="0" vertical="top" wrapText="1"/>
    </xf>
    <xf borderId="0" fillId="0" fontId="2" numFmtId="4" xfId="0" applyAlignment="1" applyFont="1" applyNumberFormat="1">
      <alignment horizontal="center" readingOrder="0" shrinkToFit="0" vertical="top" wrapText="1"/>
    </xf>
    <xf borderId="0" fillId="0" fontId="1" numFmtId="2" xfId="0" applyAlignment="1" applyFont="1" applyNumberFormat="1">
      <alignment horizontal="right"/>
    </xf>
    <xf borderId="0" fillId="0" fontId="3" numFmtId="2" xfId="0" applyAlignment="1" applyFont="1" applyNumberFormat="1">
      <alignment horizontal="center" readingOrder="0" shrinkToFit="0" vertical="top" wrapText="1"/>
    </xf>
    <xf borderId="0" fillId="0" fontId="4" numFmtId="2" xfId="0" applyAlignment="1" applyFont="1" applyNumberFormat="1">
      <alignment readingOrder="0"/>
    </xf>
    <xf borderId="0" fillId="0" fontId="5" numFmtId="2" xfId="0" applyAlignment="1" applyFont="1" applyNumberFormat="1">
      <alignment readingOrder="0"/>
    </xf>
    <xf borderId="0" fillId="0" fontId="6" numFmtId="2" xfId="0" applyFont="1" applyNumberFormat="1"/>
    <xf borderId="0" fillId="0" fontId="7" numFmtId="1" xfId="0" applyFont="1" applyNumberFormat="1"/>
    <xf borderId="0" fillId="0" fontId="8" numFmtId="4" xfId="0" applyFont="1" applyNumberFormat="1"/>
    <xf borderId="0" fillId="0" fontId="9" numFmtId="2" xfId="0" applyFont="1" applyNumberFormat="1"/>
    <xf borderId="1" fillId="0" fontId="6" numFmtId="2" xfId="0" applyAlignment="1" applyBorder="1" applyFont="1" applyNumberFormat="1">
      <alignment readingOrder="0"/>
    </xf>
    <xf borderId="1" fillId="0" fontId="10" numFmtId="0" xfId="0" applyBorder="1" applyFont="1"/>
    <xf borderId="1" fillId="0" fontId="6" numFmtId="2" xfId="0" applyAlignment="1" applyBorder="1" applyFont="1" applyNumberFormat="1">
      <alignment horizontal="center" readingOrder="0"/>
    </xf>
    <xf borderId="0" fillId="0" fontId="6" numFmtId="2" xfId="0" applyAlignment="1" applyFont="1" applyNumberFormat="1">
      <alignment readingOrder="0"/>
    </xf>
    <xf borderId="1" fillId="0" fontId="11" numFmtId="2" xfId="0" applyAlignment="1" applyBorder="1" applyFont="1" applyNumberFormat="1">
      <alignment horizontal="left" readingOrder="0" shrinkToFit="0" vertical="center" wrapText="1"/>
    </xf>
    <xf borderId="1" fillId="0" fontId="11" numFmtId="2" xfId="0" applyAlignment="1" applyBorder="1" applyFont="1" applyNumberFormat="1">
      <alignment horizontal="center" readingOrder="0" shrinkToFit="0" vertical="center" wrapText="1"/>
    </xf>
    <xf borderId="0" fillId="0" fontId="12" numFmtId="2" xfId="0" applyAlignment="1" applyFont="1" applyNumberFormat="1">
      <alignment horizontal="center" readingOrder="0" shrinkToFit="0" vertical="top" wrapText="1"/>
    </xf>
    <xf borderId="0" fillId="0" fontId="12" numFmtId="2" xfId="0" applyAlignment="1" applyFont="1" applyNumberFormat="1">
      <alignment horizontal="center" shrinkToFit="0" vertical="top" wrapText="1"/>
    </xf>
    <xf borderId="0" fillId="0" fontId="7" numFmtId="1" xfId="0" applyAlignment="1" applyFont="1" applyNumberFormat="1">
      <alignment horizontal="center" shrinkToFit="0" vertical="top" wrapText="1"/>
    </xf>
    <xf borderId="0" fillId="0" fontId="7" numFmtId="4" xfId="0" applyAlignment="1" applyFont="1" applyNumberFormat="1">
      <alignment horizontal="center" readingOrder="0" shrinkToFit="0" vertical="top" wrapText="1"/>
    </xf>
    <xf borderId="2" fillId="2" fontId="12" numFmtId="0" xfId="0" applyAlignment="1" applyBorder="1" applyFill="1" applyFont="1">
      <alignment horizontal="left" readingOrder="0" textRotation="90" vertical="center"/>
    </xf>
    <xf borderId="3" fillId="0" fontId="12" numFmtId="2" xfId="0" applyAlignment="1" applyBorder="1" applyFont="1" applyNumberFormat="1">
      <alignment horizontal="center" readingOrder="0" shrinkToFit="0" vertical="center" wrapText="1"/>
    </xf>
    <xf borderId="4" fillId="0" fontId="12" numFmtId="2" xfId="0" applyAlignment="1" applyBorder="1" applyFont="1" applyNumberFormat="1">
      <alignment horizontal="center" readingOrder="0" shrinkToFit="0" vertical="center" wrapText="1"/>
    </xf>
    <xf borderId="5" fillId="0" fontId="12" numFmtId="2" xfId="0" applyAlignment="1" applyBorder="1" applyFont="1" applyNumberFormat="1">
      <alignment horizontal="center" readingOrder="0" shrinkToFit="0" vertical="center" wrapText="1"/>
    </xf>
    <xf borderId="6" fillId="0" fontId="10" numFmtId="0" xfId="0" applyBorder="1" applyFont="1"/>
    <xf borderId="7" fillId="0" fontId="12" numFmtId="2" xfId="0" applyAlignment="1" applyBorder="1" applyFont="1" applyNumberFormat="1">
      <alignment horizontal="center" readingOrder="0" vertical="center"/>
    </xf>
    <xf borderId="8" fillId="0" fontId="10" numFmtId="0" xfId="0" applyBorder="1" applyFont="1"/>
    <xf borderId="9" fillId="0" fontId="10" numFmtId="0" xfId="0" applyBorder="1" applyFont="1"/>
    <xf borderId="10" fillId="0" fontId="10" numFmtId="0" xfId="0" applyBorder="1" applyFont="1"/>
    <xf borderId="11" fillId="0" fontId="12" numFmtId="2" xfId="0" applyAlignment="1" applyBorder="1" applyFont="1" applyNumberFormat="1">
      <alignment horizontal="center" readingOrder="0" shrinkToFit="0" vertical="center" wrapText="1"/>
    </xf>
    <xf borderId="12" fillId="0" fontId="10" numFmtId="0" xfId="0" applyBorder="1" applyFont="1"/>
    <xf borderId="0" fillId="0" fontId="13" numFmtId="2" xfId="0" applyFont="1" applyNumberFormat="1"/>
    <xf borderId="13" fillId="0" fontId="11" numFmtId="164" xfId="0" applyAlignment="1" applyBorder="1" applyFont="1" applyNumberFormat="1">
      <alignment horizontal="left" readingOrder="0" vertical="center"/>
    </xf>
    <xf borderId="11" fillId="0" fontId="11" numFmtId="1" xfId="0" applyAlignment="1" applyBorder="1" applyFont="1" applyNumberFormat="1">
      <alignment readingOrder="0"/>
    </xf>
    <xf borderId="11" fillId="0" fontId="11" numFmtId="2" xfId="0" applyAlignment="1" applyBorder="1" applyFont="1" applyNumberFormat="1">
      <alignment horizontal="center" readingOrder="0"/>
    </xf>
    <xf borderId="14" fillId="0" fontId="9" numFmtId="2" xfId="0" applyAlignment="1" applyBorder="1" applyFont="1" applyNumberFormat="1">
      <alignment readingOrder="0"/>
    </xf>
    <xf borderId="0" fillId="0" fontId="9" numFmtId="2" xfId="0" applyAlignment="1" applyFont="1" applyNumberFormat="1">
      <alignment readingOrder="0"/>
    </xf>
    <xf borderId="13" fillId="0" fontId="11" numFmtId="2" xfId="0" applyAlignment="1" applyBorder="1" applyFont="1" applyNumberFormat="1">
      <alignment readingOrder="0"/>
    </xf>
    <xf borderId="0" fillId="0" fontId="13" numFmtId="2" xfId="0" applyAlignment="1" applyFont="1" applyNumberFormat="1">
      <alignment readingOrder="0"/>
    </xf>
    <xf borderId="15" fillId="0" fontId="11" numFmtId="2" xfId="0" applyAlignment="1" applyBorder="1" applyFont="1" applyNumberFormat="1">
      <alignment readingOrder="0"/>
    </xf>
    <xf borderId="16" fillId="0" fontId="11" numFmtId="1" xfId="0" applyAlignment="1" applyBorder="1" applyFont="1" applyNumberFormat="1">
      <alignment readingOrder="0"/>
    </xf>
    <xf borderId="16" fillId="0" fontId="11" numFmtId="2" xfId="0" applyAlignment="1" applyBorder="1" applyFont="1" applyNumberFormat="1">
      <alignment horizontal="center" readingOrder="0"/>
    </xf>
    <xf borderId="17" fillId="0" fontId="9" numFmtId="2" xfId="0" applyAlignment="1" applyBorder="1" applyFont="1" applyNumberFormat="1">
      <alignment readingOrder="0"/>
    </xf>
    <xf borderId="18" fillId="0" fontId="10" numFmtId="0" xfId="0" applyBorder="1" applyFont="1"/>
    <xf borderId="19" fillId="2" fontId="12" numFmtId="0" xfId="0" applyAlignment="1" applyBorder="1" applyFont="1">
      <alignment horizontal="center" readingOrder="0"/>
    </xf>
    <xf borderId="19" fillId="2" fontId="12" numFmtId="1" xfId="0" applyAlignment="1" applyBorder="1" applyFont="1" applyNumberFormat="1">
      <alignment horizontal="center" readingOrder="0"/>
    </xf>
    <xf borderId="19" fillId="2" fontId="12" numFmtId="2" xfId="0" applyAlignment="1" applyBorder="1" applyFont="1" applyNumberFormat="1">
      <alignment horizontal="center" readingOrder="0"/>
    </xf>
    <xf borderId="20" fillId="2" fontId="12" numFmtId="2" xfId="0" applyAlignment="1" applyBorder="1" applyFont="1" applyNumberFormat="1">
      <alignment horizontal="center" readingOrder="0"/>
    </xf>
    <xf borderId="2" fillId="3" fontId="12" numFmtId="0" xfId="0" applyAlignment="1" applyBorder="1" applyFill="1" applyFont="1">
      <alignment horizontal="left" readingOrder="0" textRotation="90" vertical="center"/>
    </xf>
    <xf borderId="3" fillId="0" fontId="12" numFmtId="0" xfId="0" applyAlignment="1" applyBorder="1" applyFont="1">
      <alignment horizontal="center" readingOrder="0" vertical="center"/>
    </xf>
    <xf borderId="5" fillId="0" fontId="12" numFmtId="2" xfId="0" applyAlignment="1" applyBorder="1" applyFont="1" applyNumberFormat="1">
      <alignment horizontal="center" readingOrder="0" vertical="center"/>
    </xf>
    <xf borderId="5" fillId="0" fontId="12" numFmtId="165" xfId="0" applyAlignment="1" applyBorder="1" applyFont="1" applyNumberFormat="1">
      <alignment horizontal="center" readingOrder="0" vertical="center"/>
    </xf>
    <xf borderId="21" fillId="0" fontId="9" numFmtId="2" xfId="0" applyAlignment="1" applyBorder="1" applyFont="1" applyNumberFormat="1">
      <alignment readingOrder="0"/>
    </xf>
    <xf borderId="11" fillId="0" fontId="12" numFmtId="2" xfId="0" applyAlignment="1" applyBorder="1" applyFont="1" applyNumberFormat="1">
      <alignment horizontal="center" readingOrder="0" vertical="center"/>
    </xf>
    <xf borderId="11" fillId="0" fontId="12" numFmtId="165" xfId="0" applyAlignment="1" applyBorder="1" applyFont="1" applyNumberFormat="1">
      <alignment horizontal="center" readingOrder="0" vertical="center"/>
    </xf>
    <xf borderId="13" fillId="0" fontId="11" numFmtId="166" xfId="0" applyAlignment="1" applyBorder="1" applyFont="1" applyNumberFormat="1">
      <alignment horizontal="left" readingOrder="0"/>
    </xf>
    <xf borderId="11" fillId="0" fontId="11" numFmtId="2" xfId="0" applyAlignment="1" applyBorder="1" applyFont="1" applyNumberFormat="1">
      <alignment readingOrder="0"/>
    </xf>
    <xf borderId="11" fillId="0" fontId="11" numFmtId="165" xfId="0" applyAlignment="1" applyBorder="1" applyFont="1" applyNumberFormat="1">
      <alignment horizontal="center" readingOrder="0"/>
    </xf>
    <xf borderId="15" fillId="0" fontId="11" numFmtId="2" xfId="0" applyAlignment="1" applyBorder="1" applyFont="1" applyNumberFormat="1">
      <alignment horizontal="left" readingOrder="0"/>
    </xf>
    <xf borderId="16" fillId="0" fontId="11" numFmtId="2" xfId="0" applyBorder="1" applyFont="1" applyNumberFormat="1"/>
    <xf borderId="16" fillId="0" fontId="11" numFmtId="2" xfId="0" applyAlignment="1" applyBorder="1" applyFont="1" applyNumberFormat="1">
      <alignment horizontal="center"/>
    </xf>
    <xf borderId="17" fillId="0" fontId="9" numFmtId="2" xfId="0" applyBorder="1" applyFont="1" applyNumberFormat="1"/>
    <xf borderId="3" fillId="3" fontId="12" numFmtId="0" xfId="0" applyAlignment="1" applyBorder="1" applyFont="1">
      <alignment horizontal="center" readingOrder="0"/>
    </xf>
    <xf borderId="4" fillId="3" fontId="11" numFmtId="165" xfId="0" applyAlignment="1" applyBorder="1" applyFont="1" applyNumberFormat="1">
      <alignment horizontal="right" readingOrder="0"/>
    </xf>
    <xf borderId="7" fillId="3" fontId="13" numFmtId="2" xfId="0" applyAlignment="1" applyBorder="1" applyFont="1" applyNumberFormat="1">
      <alignment readingOrder="0"/>
    </xf>
    <xf borderId="22" fillId="4" fontId="13" numFmtId="2" xfId="0" applyAlignment="1" applyBorder="1" applyFill="1" applyFont="1" applyNumberFormat="1">
      <alignment horizontal="right" readingOrder="0" vertical="center"/>
    </xf>
    <xf borderId="23" fillId="0" fontId="10" numFmtId="0" xfId="0" applyBorder="1" applyFont="1"/>
    <xf borderId="24" fillId="0" fontId="10" numFmtId="0" xfId="0" applyBorder="1" applyFont="1"/>
    <xf borderId="25" fillId="4" fontId="13" numFmtId="2" xfId="0" applyAlignment="1" applyBorder="1" applyFont="1" applyNumberFormat="1">
      <alignment horizontal="center" vertical="center"/>
    </xf>
    <xf borderId="0" fillId="0" fontId="14" numFmtId="1" xfId="0" applyFont="1" applyNumberFormat="1"/>
    <xf borderId="0" fillId="0" fontId="15" numFmtId="4" xfId="0" applyFont="1" applyNumberFormat="1"/>
    <xf borderId="0" fillId="0" fontId="16" numFmtId="2" xfId="0" applyAlignment="1" applyFont="1" applyNumberFormat="1">
      <alignment horizontal="center" shrinkToFit="0" vertical="top" wrapText="1"/>
    </xf>
    <xf borderId="0" fillId="0" fontId="1" numFmtId="2" xfId="0" applyAlignment="1" applyFont="1" applyNumberFormat="1">
      <alignment horizontal="center" vertical="center"/>
    </xf>
    <xf borderId="0" fillId="0" fontId="1" numFmtId="2" xfId="0" applyFont="1" applyNumberFormat="1"/>
    <xf borderId="0" fillId="0" fontId="17" numFmtId="2" xfId="0" applyAlignment="1" applyFont="1" applyNumberFormat="1">
      <alignment horizontal="center" readingOrder="0" shrinkToFit="0" vertical="top" wrapText="1"/>
    </xf>
    <xf borderId="25" fillId="0" fontId="1" numFmtId="2" xfId="0" applyAlignment="1" applyBorder="1" applyFont="1" applyNumberFormat="1">
      <alignment horizontal="center" shrinkToFit="0" vertical="center" wrapText="1"/>
    </xf>
    <xf borderId="25" fillId="0" fontId="2" numFmtId="1" xfId="0" applyAlignment="1" applyBorder="1" applyFont="1" applyNumberFormat="1">
      <alignment horizontal="center" readingOrder="0" shrinkToFit="0" vertical="center" wrapText="1"/>
    </xf>
    <xf borderId="25" fillId="0" fontId="2" numFmtId="4" xfId="0" applyAlignment="1" applyBorder="1" applyFont="1" applyNumberFormat="1">
      <alignment horizontal="center" readingOrder="0" shrinkToFit="0" vertical="center" wrapText="1"/>
    </xf>
    <xf borderId="0" fillId="0" fontId="1" numFmtId="2" xfId="0" applyAlignment="1" applyFont="1" applyNumberFormat="1">
      <alignment horizontal="center" readingOrder="0" vertical="center"/>
    </xf>
    <xf borderId="0" fillId="0" fontId="1" numFmtId="2" xfId="0" applyAlignment="1" applyFont="1" applyNumberFormat="1">
      <alignment readingOrder="0"/>
    </xf>
    <xf borderId="26" fillId="2" fontId="13" numFmtId="167" xfId="0" applyAlignment="1" applyBorder="1" applyFont="1" applyNumberFormat="1">
      <alignment horizontal="center" readingOrder="0"/>
    </xf>
    <xf borderId="27" fillId="2" fontId="13" numFmtId="167" xfId="0" applyAlignment="1" applyBorder="1" applyFont="1" applyNumberFormat="1">
      <alignment horizontal="center" readingOrder="0"/>
    </xf>
    <xf borderId="28" fillId="2" fontId="13" numFmtId="167" xfId="0" applyAlignment="1" applyBorder="1" applyFont="1" applyNumberFormat="1">
      <alignment horizontal="center" readingOrder="0"/>
    </xf>
    <xf borderId="11" fillId="0" fontId="18" numFmtId="2" xfId="0" applyAlignment="1" applyBorder="1" applyFont="1" applyNumberFormat="1">
      <alignment readingOrder="0"/>
    </xf>
    <xf borderId="11" fillId="0" fontId="18" numFmtId="165" xfId="0" applyAlignment="1" applyBorder="1" applyFont="1" applyNumberFormat="1">
      <alignment readingOrder="0"/>
    </xf>
    <xf borderId="11" fillId="0" fontId="18" numFmtId="165" xfId="0" applyAlignment="1" applyBorder="1" applyFont="1" applyNumberFormat="1">
      <alignment horizontal="center" readingOrder="0"/>
    </xf>
    <xf borderId="11" fillId="0" fontId="18" numFmtId="2" xfId="0" applyAlignment="1" applyBorder="1" applyFont="1" applyNumberFormat="1">
      <alignment horizontal="center" readingOrder="0"/>
    </xf>
    <xf borderId="10" fillId="0" fontId="19" numFmtId="2" xfId="0" applyAlignment="1" applyBorder="1" applyFont="1" applyNumberFormat="1">
      <alignment horizontal="right" readingOrder="0"/>
    </xf>
    <xf borderId="11" fillId="0" fontId="14" numFmtId="1" xfId="0" applyAlignment="1" applyBorder="1" applyFont="1" applyNumberFormat="1">
      <alignment readingOrder="0"/>
    </xf>
    <xf borderId="10" fillId="0" fontId="14" numFmtId="4" xfId="0" applyBorder="1" applyFont="1" applyNumberFormat="1"/>
    <xf borderId="25" fillId="5" fontId="17" numFmtId="2" xfId="0" applyAlignment="1" applyBorder="1" applyFill="1" applyFont="1" applyNumberFormat="1">
      <alignment horizontal="right"/>
    </xf>
    <xf borderId="25" fillId="5" fontId="20" numFmtId="2" xfId="0" applyAlignment="1" applyBorder="1" applyFont="1" applyNumberFormat="1">
      <alignment horizontal="right"/>
    </xf>
    <xf borderId="25" fillId="5" fontId="17" numFmtId="2" xfId="0" applyAlignment="1" applyBorder="1" applyFont="1" applyNumberFormat="1">
      <alignment horizontal="center" shrinkToFit="0" wrapText="1"/>
    </xf>
    <xf borderId="25" fillId="5" fontId="21" numFmtId="1" xfId="0" applyBorder="1" applyFont="1" applyNumberFormat="1"/>
    <xf borderId="25" fillId="5" fontId="21" numFmtId="2" xfId="0" applyAlignment="1" applyBorder="1" applyFont="1" applyNumberFormat="1">
      <alignment horizontal="center" shrinkToFit="0" wrapText="1"/>
    </xf>
    <xf borderId="0" fillId="0" fontId="22" numFmtId="2" xfId="0" applyAlignment="1" applyFont="1" applyNumberFormat="1">
      <alignment horizontal="center" readingOrder="0" shrinkToFit="0" vertical="top" wrapText="1"/>
    </xf>
    <xf borderId="0" fillId="0" fontId="9" numFmtId="2" xfId="0" applyAlignment="1" applyFont="1" applyNumberFormat="1">
      <alignment vertical="bottom"/>
    </xf>
    <xf borderId="0" fillId="0" fontId="9" numFmtId="2" xfId="0" applyAlignment="1" applyFont="1" applyNumberFormat="1">
      <alignment vertical="top"/>
    </xf>
    <xf borderId="0" fillId="0" fontId="9" numFmtId="1" xfId="0" applyAlignment="1" applyFont="1" applyNumberFormat="1">
      <alignment vertical="top"/>
    </xf>
    <xf borderId="0" fillId="0" fontId="9" numFmtId="4" xfId="0" applyAlignment="1" applyFont="1" applyNumberFormat="1">
      <alignment vertical="top"/>
    </xf>
    <xf borderId="25" fillId="0" fontId="23" numFmtId="2" xfId="0" applyAlignment="1" applyBorder="1" applyFont="1" applyNumberFormat="1">
      <alignment horizontal="center" shrinkToFit="0" vertical="center" wrapText="1"/>
    </xf>
    <xf borderId="25" fillId="0" fontId="2" numFmtId="1" xfId="0" applyAlignment="1" applyBorder="1" applyFont="1" applyNumberFormat="1">
      <alignment horizontal="center" shrinkToFit="0" vertical="center" wrapText="1"/>
    </xf>
    <xf borderId="25" fillId="0" fontId="2" numFmtId="4" xfId="0" applyAlignment="1" applyBorder="1" applyFont="1" applyNumberFormat="1">
      <alignment horizontal="center" shrinkToFit="0" vertical="center" wrapText="1"/>
    </xf>
    <xf borderId="26" fillId="2" fontId="24" numFmtId="167" xfId="0" applyAlignment="1" applyBorder="1" applyFont="1" applyNumberFormat="1">
      <alignment horizontal="center" readingOrder="0" vertical="bottom"/>
    </xf>
    <xf borderId="27" fillId="2" fontId="9" numFmtId="167" xfId="0" applyAlignment="1" applyBorder="1" applyFont="1" applyNumberFormat="1">
      <alignment vertical="bottom"/>
    </xf>
    <xf borderId="28" fillId="2" fontId="9" numFmtId="167" xfId="0" applyAlignment="1" applyBorder="1" applyFont="1" applyNumberFormat="1">
      <alignment vertical="bottom"/>
    </xf>
    <xf borderId="11" fillId="0" fontId="9" numFmtId="167" xfId="0" applyAlignment="1" applyBorder="1" applyFont="1" applyNumberFormat="1">
      <alignment readingOrder="0" vertical="bottom"/>
    </xf>
    <xf borderId="10" fillId="0" fontId="19" numFmtId="2" xfId="0" applyAlignment="1" applyBorder="1" applyFont="1" applyNumberFormat="1">
      <alignment horizontal="right" readingOrder="0" vertical="bottom"/>
    </xf>
    <xf borderId="10" fillId="0" fontId="19" numFmtId="2" xfId="0" applyAlignment="1" applyBorder="1" applyFont="1" applyNumberFormat="1">
      <alignment horizontal="right" vertical="bottom"/>
    </xf>
    <xf borderId="11" fillId="0" fontId="14" numFmtId="1" xfId="0" applyAlignment="1" applyBorder="1" applyFont="1" applyNumberFormat="1">
      <alignment horizontal="right" readingOrder="0" vertical="bottom"/>
    </xf>
    <xf borderId="10" fillId="0" fontId="14" numFmtId="4" xfId="0" applyAlignment="1" applyBorder="1" applyFont="1" applyNumberFormat="1">
      <alignment horizontal="right" vertical="bottom"/>
    </xf>
    <xf borderId="0" fillId="0" fontId="9" numFmtId="2" xfId="0" applyAlignment="1" applyFont="1" applyNumberFormat="1">
      <alignment readingOrder="0" vertical="bottom"/>
    </xf>
    <xf borderId="11" fillId="0" fontId="9" numFmtId="2" xfId="0" applyAlignment="1" applyBorder="1" applyFont="1" applyNumberFormat="1">
      <alignment vertical="bottom"/>
    </xf>
    <xf borderId="10" fillId="0" fontId="9" numFmtId="165" xfId="0" applyAlignment="1" applyBorder="1" applyFont="1" applyNumberFormat="1">
      <alignment horizontal="right" readingOrder="0" vertical="bottom"/>
    </xf>
    <xf borderId="10" fillId="0" fontId="9" numFmtId="165" xfId="0" applyAlignment="1" applyBorder="1" applyFont="1" applyNumberFormat="1">
      <alignment horizontal="center" readingOrder="0" vertical="bottom"/>
    </xf>
    <xf borderId="10" fillId="0" fontId="9" numFmtId="2" xfId="0" applyAlignment="1" applyBorder="1" applyFont="1" applyNumberFormat="1">
      <alignment horizontal="center" readingOrder="0" vertical="bottom"/>
    </xf>
    <xf borderId="11" fillId="0" fontId="19" numFmtId="2" xfId="0" applyAlignment="1" applyBorder="1" applyFont="1" applyNumberFormat="1">
      <alignment horizontal="right" readingOrder="0" vertical="bottom"/>
    </xf>
    <xf borderId="11" fillId="0" fontId="19" numFmtId="2" xfId="0" applyAlignment="1" applyBorder="1" applyFont="1" applyNumberFormat="1">
      <alignment horizontal="right" vertical="bottom"/>
    </xf>
    <xf borderId="26" fillId="2" fontId="24" numFmtId="0" xfId="0" applyAlignment="1" applyBorder="1" applyFont="1">
      <alignment horizontal="center" readingOrder="0" vertical="bottom"/>
    </xf>
    <xf borderId="10" fillId="0" fontId="9" numFmtId="165" xfId="0" applyAlignment="1" applyBorder="1" applyFont="1" applyNumberFormat="1">
      <alignment vertical="bottom"/>
    </xf>
    <xf borderId="10" fillId="0" fontId="9" numFmtId="2" xfId="0" applyAlignment="1" applyBorder="1" applyFont="1" applyNumberFormat="1">
      <alignment vertical="bottom"/>
    </xf>
    <xf borderId="11" fillId="0" fontId="9" numFmtId="1" xfId="0" applyAlignment="1" applyBorder="1" applyFont="1" applyNumberFormat="1">
      <alignment vertical="bottom"/>
    </xf>
    <xf borderId="29" fillId="0" fontId="9" numFmtId="2" xfId="0" applyAlignment="1" applyBorder="1" applyFont="1" applyNumberFormat="1">
      <alignment vertical="bottom"/>
    </xf>
    <xf borderId="30" fillId="0" fontId="9" numFmtId="165" xfId="0" applyAlignment="1" applyBorder="1" applyFont="1" applyNumberFormat="1">
      <alignment vertical="bottom"/>
    </xf>
    <xf borderId="30" fillId="0" fontId="9" numFmtId="2" xfId="0" applyAlignment="1" applyBorder="1" applyFont="1" applyNumberFormat="1">
      <alignment vertical="bottom"/>
    </xf>
    <xf borderId="30" fillId="0" fontId="19" numFmtId="2" xfId="0" applyAlignment="1" applyBorder="1" applyFont="1" applyNumberFormat="1">
      <alignment horizontal="right" vertical="bottom"/>
    </xf>
    <xf borderId="29" fillId="0" fontId="9" numFmtId="1" xfId="0" applyAlignment="1" applyBorder="1" applyFont="1" applyNumberFormat="1">
      <alignment vertical="bottom"/>
    </xf>
    <xf borderId="30" fillId="0" fontId="14" numFmtId="4" xfId="0" applyAlignment="1" applyBorder="1" applyFont="1" applyNumberFormat="1">
      <alignment horizontal="right" vertical="bottom"/>
    </xf>
    <xf borderId="25" fillId="5" fontId="22" numFmtId="2" xfId="0" applyAlignment="1" applyBorder="1" applyFont="1" applyNumberFormat="1">
      <alignment horizontal="right" vertical="bottom"/>
    </xf>
    <xf borderId="25" fillId="5" fontId="9" numFmtId="2" xfId="0" applyAlignment="1" applyBorder="1" applyFont="1" applyNumberFormat="1">
      <alignment vertical="bottom"/>
    </xf>
    <xf borderId="25" fillId="5" fontId="9" numFmtId="1" xfId="0" applyAlignment="1" applyBorder="1" applyFont="1" applyNumberFormat="1">
      <alignment vertical="bottom"/>
    </xf>
    <xf borderId="25" fillId="5" fontId="25" numFmtId="2" xfId="0" applyAlignment="1" applyBorder="1" applyFont="1" applyNumberFormat="1">
      <alignment horizontal="center" shrinkToFit="0" vertical="bottom" wrapText="1"/>
    </xf>
    <xf borderId="31" fillId="0" fontId="1" numFmtId="2" xfId="0" applyAlignment="1" applyBorder="1" applyFont="1" applyNumberFormat="1">
      <alignment horizontal="center" readingOrder="0" shrinkToFit="0" vertical="center" wrapText="1"/>
    </xf>
    <xf borderId="24" fillId="0" fontId="1" numFmtId="2" xfId="0" applyAlignment="1" applyBorder="1" applyFont="1" applyNumberFormat="1">
      <alignment horizontal="center" shrinkToFit="0" vertical="center" wrapText="1"/>
    </xf>
    <xf borderId="25" fillId="0" fontId="1" numFmtId="2" xfId="0" applyAlignment="1" applyBorder="1" applyFont="1" applyNumberFormat="1">
      <alignment horizontal="center" readingOrder="0" shrinkToFit="0" vertical="center" wrapText="1"/>
    </xf>
    <xf borderId="25" fillId="0" fontId="1" numFmtId="168" xfId="0" applyAlignment="1" applyBorder="1" applyFont="1" applyNumberFormat="1">
      <alignment horizontal="center" vertical="center"/>
    </xf>
    <xf borderId="25" fillId="0" fontId="26" numFmtId="2" xfId="0" applyAlignment="1" applyBorder="1" applyFont="1" applyNumberFormat="1">
      <alignment horizontal="center" shrinkToFit="0" vertical="center" wrapText="1"/>
    </xf>
    <xf borderId="25" fillId="0" fontId="2" numFmtId="2" xfId="0" applyAlignment="1" applyBorder="1" applyFont="1" applyNumberFormat="1">
      <alignment horizontal="center" shrinkToFit="0" vertical="center" wrapText="1"/>
    </xf>
    <xf borderId="25" fillId="0" fontId="1" numFmtId="1" xfId="0" applyAlignment="1" applyBorder="1" applyFont="1" applyNumberFormat="1">
      <alignment horizontal="center" shrinkToFit="0" vertical="center" wrapText="1"/>
    </xf>
    <xf borderId="25" fillId="0" fontId="1" numFmtId="4" xfId="0" applyAlignment="1" applyBorder="1" applyFont="1" applyNumberFormat="1">
      <alignment horizontal="center" shrinkToFit="0" vertical="center" wrapText="1"/>
    </xf>
    <xf borderId="32" fillId="6" fontId="13" numFmtId="2" xfId="0" applyAlignment="1" applyBorder="1" applyFill="1" applyFont="1" applyNumberFormat="1">
      <alignment horizontal="center" readingOrder="0" textRotation="90" vertical="center"/>
    </xf>
    <xf borderId="10" fillId="7" fontId="13" numFmtId="2" xfId="0" applyAlignment="1" applyBorder="1" applyFill="1" applyFont="1" applyNumberFormat="1">
      <alignment horizontal="left"/>
    </xf>
    <xf borderId="10" fillId="7" fontId="27" numFmtId="2" xfId="0" applyAlignment="1" applyBorder="1" applyFont="1" applyNumberFormat="1">
      <alignment horizontal="left"/>
    </xf>
    <xf borderId="10" fillId="7" fontId="14" numFmtId="2" xfId="0" applyAlignment="1" applyBorder="1" applyFont="1" applyNumberFormat="1">
      <alignment horizontal="left"/>
    </xf>
    <xf borderId="33" fillId="7" fontId="18" numFmtId="2" xfId="0" applyAlignment="1" applyBorder="1" applyFont="1" applyNumberFormat="1">
      <alignment horizontal="left"/>
    </xf>
    <xf borderId="9" fillId="7" fontId="14" numFmtId="1" xfId="0" applyAlignment="1" applyBorder="1" applyFont="1" applyNumberFormat="1">
      <alignment horizontal="left"/>
    </xf>
    <xf borderId="12" fillId="7" fontId="14" numFmtId="4" xfId="0" applyAlignment="1" applyBorder="1" applyFont="1" applyNumberFormat="1">
      <alignment horizontal="left"/>
    </xf>
    <xf borderId="34" fillId="7" fontId="13" numFmtId="1" xfId="0" applyAlignment="1" applyBorder="1" applyFont="1" applyNumberFormat="1">
      <alignment horizontal="left"/>
    </xf>
    <xf borderId="12" fillId="7" fontId="13" numFmtId="4" xfId="0" applyAlignment="1" applyBorder="1" applyFont="1" applyNumberFormat="1">
      <alignment horizontal="left"/>
    </xf>
    <xf borderId="35" fillId="0" fontId="10" numFmtId="0" xfId="0" applyBorder="1" applyFont="1"/>
    <xf borderId="11" fillId="0" fontId="18" numFmtId="2" xfId="0" applyAlignment="1" applyBorder="1" applyFont="1" applyNumberFormat="1">
      <alignment textRotation="0" vertical="center"/>
    </xf>
    <xf borderId="11" fillId="0" fontId="18" numFmtId="165" xfId="0" applyAlignment="1" applyBorder="1" applyFont="1" applyNumberFormat="1">
      <alignment vertical="center"/>
    </xf>
    <xf borderId="11" fillId="0" fontId="9" numFmtId="165" xfId="0" applyAlignment="1" applyBorder="1" applyFont="1" applyNumberFormat="1">
      <alignment horizontal="center"/>
    </xf>
    <xf borderId="11" fillId="0" fontId="18" numFmtId="2" xfId="0" applyAlignment="1" applyBorder="1" applyFont="1" applyNumberFormat="1">
      <alignment horizontal="center"/>
    </xf>
    <xf borderId="10" fillId="0" fontId="18" numFmtId="168" xfId="0" applyBorder="1" applyFont="1" applyNumberFormat="1"/>
    <xf borderId="11" fillId="0" fontId="28" numFmtId="2" xfId="0" applyAlignment="1" applyBorder="1" applyFont="1" applyNumberFormat="1">
      <alignment readingOrder="0"/>
    </xf>
    <xf borderId="10" fillId="0" fontId="29" numFmtId="2" xfId="0" applyAlignment="1" applyBorder="1" applyFont="1" applyNumberFormat="1">
      <alignment horizontal="right"/>
    </xf>
    <xf borderId="10" fillId="0" fontId="15" numFmtId="2" xfId="0" applyAlignment="1" applyBorder="1" applyFont="1" applyNumberFormat="1">
      <alignment horizontal="right"/>
    </xf>
    <xf borderId="10" fillId="0" fontId="18" numFmtId="2" xfId="0" applyAlignment="1" applyBorder="1" applyFont="1" applyNumberFormat="1">
      <alignment horizontal="right"/>
    </xf>
    <xf borderId="11" fillId="0" fontId="24" numFmtId="1" xfId="0" applyAlignment="1" applyBorder="1" applyFont="1" applyNumberFormat="1">
      <alignment horizontal="right" shrinkToFit="0" wrapText="1"/>
    </xf>
    <xf borderId="11" fillId="0" fontId="9" numFmtId="2" xfId="0" applyAlignment="1" applyBorder="1" applyFont="1" applyNumberFormat="1">
      <alignment horizontal="right" shrinkToFit="0" wrapText="1"/>
    </xf>
    <xf borderId="33" fillId="0" fontId="18" numFmtId="2" xfId="0" applyAlignment="1" applyBorder="1" applyFont="1" applyNumberFormat="1">
      <alignment readingOrder="0"/>
    </xf>
    <xf borderId="13" fillId="0" fontId="14" numFmtId="1" xfId="0" applyAlignment="1" applyBorder="1" applyFont="1" applyNumberFormat="1">
      <alignment readingOrder="0"/>
    </xf>
    <xf borderId="10" fillId="0" fontId="18" numFmtId="2" xfId="0" applyAlignment="1" applyBorder="1" applyFont="1" applyNumberFormat="1">
      <alignment horizontal="center"/>
    </xf>
    <xf borderId="12" fillId="0" fontId="14" numFmtId="4" xfId="0" applyAlignment="1" applyBorder="1" applyFont="1" applyNumberFormat="1">
      <alignment readingOrder="0"/>
    </xf>
    <xf borderId="36" fillId="0" fontId="13" numFmtId="1" xfId="0" applyBorder="1" applyFont="1" applyNumberFormat="1"/>
    <xf borderId="11" fillId="0" fontId="24" numFmtId="1" xfId="0" applyAlignment="1" applyBorder="1" applyFont="1" applyNumberFormat="1">
      <alignment horizontal="center"/>
    </xf>
    <xf borderId="14" fillId="0" fontId="9" numFmtId="4" xfId="0" applyBorder="1" applyFont="1" applyNumberFormat="1"/>
    <xf borderId="11" fillId="0" fontId="18" numFmtId="165" xfId="0" applyAlignment="1" applyBorder="1" applyFont="1" applyNumberFormat="1">
      <alignment horizontal="center"/>
    </xf>
    <xf borderId="13" fillId="0" fontId="14" numFmtId="2" xfId="0" applyBorder="1" applyFont="1" applyNumberFormat="1"/>
    <xf borderId="12" fillId="0" fontId="14" numFmtId="4" xfId="0" applyBorder="1" applyFont="1" applyNumberFormat="1"/>
    <xf borderId="11" fillId="0" fontId="18" numFmtId="168" xfId="0" applyBorder="1" applyFont="1" applyNumberFormat="1"/>
    <xf borderId="11" fillId="0" fontId="18" numFmtId="2" xfId="0" applyAlignment="1" applyBorder="1" applyFont="1" applyNumberFormat="1">
      <alignment horizontal="right"/>
    </xf>
    <xf borderId="37" fillId="0" fontId="18" numFmtId="2" xfId="0" applyAlignment="1" applyBorder="1" applyFont="1" applyNumberFormat="1">
      <alignment readingOrder="0"/>
    </xf>
    <xf borderId="14" fillId="0" fontId="14" numFmtId="4" xfId="0" applyAlignment="1" applyBorder="1" applyFont="1" applyNumberFormat="1">
      <alignment readingOrder="0"/>
    </xf>
    <xf borderId="13" fillId="0" fontId="14" numFmtId="2" xfId="0" applyAlignment="1" applyBorder="1" applyFont="1" applyNumberFormat="1">
      <alignment readingOrder="0"/>
    </xf>
    <xf borderId="11" fillId="0" fontId="18" numFmtId="2" xfId="0" applyAlignment="1" applyBorder="1" applyFont="1" applyNumberFormat="1">
      <alignment readingOrder="0" textRotation="0" vertical="center"/>
    </xf>
    <xf borderId="36" fillId="0" fontId="13" numFmtId="1" xfId="0" applyAlignment="1" applyBorder="1" applyFont="1" applyNumberFormat="1">
      <alignment readingOrder="0"/>
    </xf>
    <xf borderId="11" fillId="0" fontId="9" numFmtId="2" xfId="0" applyBorder="1" applyFont="1" applyNumberFormat="1"/>
    <xf borderId="11" fillId="0" fontId="9" numFmtId="165" xfId="0" applyAlignment="1" applyBorder="1" applyFont="1" applyNumberFormat="1">
      <alignment horizontal="right"/>
    </xf>
    <xf borderId="11" fillId="0" fontId="9" numFmtId="165" xfId="0" applyAlignment="1" applyBorder="1" applyFont="1" applyNumberFormat="1">
      <alignment horizontal="center" vertical="bottom"/>
    </xf>
    <xf borderId="11" fillId="0" fontId="9" numFmtId="2" xfId="0" applyAlignment="1" applyBorder="1" applyFont="1" applyNumberFormat="1">
      <alignment horizontal="center" vertical="bottom"/>
    </xf>
    <xf borderId="10" fillId="0" fontId="9" numFmtId="168" xfId="0" applyAlignment="1" applyBorder="1" applyFont="1" applyNumberFormat="1">
      <alignment horizontal="right" vertical="bottom"/>
    </xf>
    <xf borderId="11" fillId="0" fontId="28" numFmtId="2" xfId="0" applyAlignment="1" applyBorder="1" applyFont="1" applyNumberFormat="1">
      <alignment readingOrder="0" vertical="bottom"/>
    </xf>
    <xf borderId="10" fillId="0" fontId="18" numFmtId="2" xfId="0" applyAlignment="1" applyBorder="1" applyFont="1" applyNumberFormat="1">
      <alignment horizontal="right" vertical="bottom"/>
    </xf>
    <xf borderId="11" fillId="0" fontId="9" numFmtId="2" xfId="0" applyAlignment="1" applyBorder="1" applyFont="1" applyNumberFormat="1">
      <alignment horizontal="right" shrinkToFit="0" vertical="bottom" wrapText="1"/>
    </xf>
    <xf borderId="33" fillId="0" fontId="9" numFmtId="2" xfId="0" applyAlignment="1" applyBorder="1" applyFont="1" applyNumberFormat="1">
      <alignment horizontal="right" vertical="bottom"/>
    </xf>
    <xf borderId="13" fillId="0" fontId="9" numFmtId="2" xfId="0" applyAlignment="1" applyBorder="1" applyFont="1" applyNumberFormat="1">
      <alignment vertical="bottom"/>
    </xf>
    <xf borderId="12" fillId="0" fontId="9" numFmtId="4" xfId="0" applyAlignment="1" applyBorder="1" applyFont="1" applyNumberFormat="1">
      <alignment vertical="bottom"/>
    </xf>
    <xf borderId="36" fillId="0" fontId="18" numFmtId="1" xfId="0" applyAlignment="1" applyBorder="1" applyFont="1" applyNumberFormat="1">
      <alignment vertical="bottom"/>
    </xf>
    <xf borderId="11" fillId="0" fontId="18" numFmtId="2" xfId="0" applyAlignment="1" applyBorder="1" applyFont="1" applyNumberFormat="1">
      <alignment horizontal="center" vertical="bottom"/>
    </xf>
    <xf borderId="11" fillId="0" fontId="24" numFmtId="1" xfId="0" applyAlignment="1" applyBorder="1" applyFont="1" applyNumberFormat="1">
      <alignment horizontal="center" vertical="bottom"/>
    </xf>
    <xf borderId="29" fillId="0" fontId="18" numFmtId="2" xfId="0" applyAlignment="1" applyBorder="1" applyFont="1" applyNumberFormat="1">
      <alignment textRotation="0" vertical="center"/>
    </xf>
    <xf borderId="11" fillId="0" fontId="18" numFmtId="165" xfId="0" applyAlignment="1" applyBorder="1" applyFont="1" applyNumberFormat="1">
      <alignment readingOrder="0" vertical="center"/>
    </xf>
    <xf borderId="29" fillId="0" fontId="18" numFmtId="165" xfId="0" applyAlignment="1" applyBorder="1" applyFont="1" applyNumberFormat="1">
      <alignment horizontal="center"/>
    </xf>
    <xf borderId="29" fillId="0" fontId="18" numFmtId="2" xfId="0" applyAlignment="1" applyBorder="1" applyFont="1" applyNumberFormat="1">
      <alignment horizontal="center"/>
    </xf>
    <xf borderId="32" fillId="0" fontId="14" numFmtId="1" xfId="0" applyBorder="1" applyFont="1" applyNumberFormat="1"/>
    <xf borderId="38" fillId="0" fontId="13" numFmtId="1" xfId="0" applyBorder="1" applyFont="1" applyNumberFormat="1"/>
    <xf borderId="11" fillId="0" fontId="9" numFmtId="2" xfId="0" applyAlignment="1" applyBorder="1" applyFont="1" applyNumberFormat="1">
      <alignment readingOrder="0" textRotation="0" vertical="center"/>
    </xf>
    <xf borderId="13" fillId="0" fontId="14" numFmtId="1" xfId="0" applyBorder="1" applyFont="1" applyNumberFormat="1"/>
    <xf borderId="13" fillId="8" fontId="14" numFmtId="1" xfId="0" applyAlignment="1" applyBorder="1" applyFill="1" applyFont="1" applyNumberFormat="1">
      <alignment readingOrder="0"/>
    </xf>
    <xf borderId="13" fillId="8" fontId="14" numFmtId="2" xfId="0" applyBorder="1" applyFont="1" applyNumberFormat="1"/>
    <xf borderId="13" fillId="8" fontId="14" numFmtId="2" xfId="0" applyAlignment="1" applyBorder="1" applyFont="1" applyNumberFormat="1">
      <alignment readingOrder="0"/>
    </xf>
    <xf borderId="11" fillId="0" fontId="24" numFmtId="1" xfId="0" applyAlignment="1" applyBorder="1" applyFont="1" applyNumberFormat="1">
      <alignment horizontal="right" readingOrder="0" shrinkToFit="0" wrapText="1"/>
    </xf>
    <xf borderId="33" fillId="9" fontId="18" numFmtId="2" xfId="0" applyAlignment="1" applyBorder="1" applyFill="1" applyFont="1" applyNumberFormat="1">
      <alignment readingOrder="0"/>
    </xf>
    <xf borderId="13" fillId="8" fontId="14" numFmtId="1" xfId="0" applyBorder="1" applyFont="1" applyNumberFormat="1"/>
    <xf borderId="29" fillId="0" fontId="18" numFmtId="2" xfId="0" applyAlignment="1" applyBorder="1" applyFont="1" applyNumberFormat="1">
      <alignment readingOrder="0" textRotation="0" vertical="center"/>
    </xf>
    <xf borderId="32" fillId="0" fontId="14" numFmtId="2" xfId="0" applyBorder="1" applyFont="1" applyNumberFormat="1"/>
    <xf borderId="24" fillId="0" fontId="13" numFmtId="2" xfId="0" applyAlignment="1" applyBorder="1" applyFont="1" applyNumberFormat="1">
      <alignment horizontal="right"/>
    </xf>
    <xf borderId="25" fillId="0" fontId="13" numFmtId="2" xfId="0" applyAlignment="1" applyBorder="1" applyFont="1" applyNumberFormat="1">
      <alignment horizontal="right"/>
    </xf>
    <xf borderId="25" fillId="0" fontId="18" numFmtId="2" xfId="0" applyAlignment="1" applyBorder="1" applyFont="1" applyNumberFormat="1">
      <alignment horizontal="right"/>
    </xf>
    <xf borderId="25" fillId="0" fontId="13" numFmtId="168" xfId="0" applyAlignment="1" applyBorder="1" applyFont="1" applyNumberFormat="1">
      <alignment horizontal="right"/>
    </xf>
    <xf borderId="25" fillId="0" fontId="13" numFmtId="2" xfId="0" applyAlignment="1" applyBorder="1" applyFont="1" applyNumberFormat="1">
      <alignment horizontal="center"/>
    </xf>
    <xf borderId="25" fillId="0" fontId="27" numFmtId="2" xfId="0" applyAlignment="1" applyBorder="1" applyFont="1" applyNumberFormat="1">
      <alignment horizontal="center"/>
    </xf>
    <xf borderId="25" fillId="0" fontId="14" numFmtId="2" xfId="0" applyAlignment="1" applyBorder="1" applyFont="1" applyNumberFormat="1">
      <alignment horizontal="center"/>
    </xf>
    <xf borderId="25" fillId="0" fontId="13" numFmtId="1" xfId="0" applyAlignment="1" applyBorder="1" applyFont="1" applyNumberFormat="1">
      <alignment horizontal="right"/>
    </xf>
    <xf borderId="25" fillId="0" fontId="13" numFmtId="2" xfId="0" applyAlignment="1" applyBorder="1" applyFont="1" applyNumberFormat="1">
      <alignment horizontal="center" shrinkToFit="0" wrapText="1"/>
    </xf>
    <xf borderId="25" fillId="0" fontId="14" numFmtId="1" xfId="0" applyBorder="1" applyFont="1" applyNumberFormat="1"/>
    <xf borderId="25" fillId="8" fontId="24" numFmtId="2" xfId="0" applyAlignment="1" applyBorder="1" applyFont="1" applyNumberFormat="1">
      <alignment horizontal="center" shrinkToFit="0" wrapText="1"/>
    </xf>
    <xf borderId="25" fillId="0" fontId="14" numFmtId="4" xfId="0" applyAlignment="1" applyBorder="1" applyFont="1" applyNumberFormat="1">
      <alignment horizontal="center"/>
    </xf>
    <xf borderId="25" fillId="0" fontId="13" numFmtId="1" xfId="0" applyAlignment="1" applyBorder="1" applyFont="1" applyNumberFormat="1">
      <alignment horizontal="center"/>
    </xf>
    <xf borderId="25" fillId="0" fontId="13" numFmtId="4" xfId="0" applyAlignment="1" applyBorder="1" applyFont="1" applyNumberFormat="1">
      <alignment horizontal="center"/>
    </xf>
    <xf borderId="25" fillId="0" fontId="9" numFmtId="1" xfId="0" applyAlignment="1" applyBorder="1" applyFont="1" applyNumberFormat="1">
      <alignment horizontal="center"/>
    </xf>
    <xf borderId="25" fillId="0" fontId="24" numFmtId="4" xfId="0" applyBorder="1" applyFont="1" applyNumberFormat="1"/>
    <xf borderId="39" fillId="7" fontId="13" numFmtId="2" xfId="0" applyAlignment="1" applyBorder="1" applyFont="1" applyNumberFormat="1">
      <alignment horizontal="left"/>
    </xf>
    <xf borderId="39" fillId="7" fontId="13" numFmtId="165" xfId="0" applyAlignment="1" applyBorder="1" applyFont="1" applyNumberFormat="1">
      <alignment horizontal="left" readingOrder="0"/>
    </xf>
    <xf borderId="39" fillId="7" fontId="13" numFmtId="168" xfId="0" applyAlignment="1" applyBorder="1" applyFont="1" applyNumberFormat="1">
      <alignment horizontal="left"/>
    </xf>
    <xf borderId="39" fillId="7" fontId="27" numFmtId="2" xfId="0" applyAlignment="1" applyBorder="1" applyFont="1" applyNumberFormat="1">
      <alignment horizontal="left" readingOrder="0"/>
    </xf>
    <xf borderId="39" fillId="7" fontId="27" numFmtId="2" xfId="0" applyAlignment="1" applyBorder="1" applyFont="1" applyNumberFormat="1">
      <alignment horizontal="left"/>
    </xf>
    <xf borderId="39" fillId="7" fontId="14" numFmtId="2" xfId="0" applyAlignment="1" applyBorder="1" applyFont="1" applyNumberFormat="1">
      <alignment horizontal="left"/>
    </xf>
    <xf borderId="40" fillId="7" fontId="18" numFmtId="2" xfId="0" applyAlignment="1" applyBorder="1" applyFont="1" applyNumberFormat="1">
      <alignment horizontal="left"/>
    </xf>
    <xf borderId="31" fillId="7" fontId="14" numFmtId="1" xfId="0" applyAlignment="1" applyBorder="1" applyFont="1" applyNumberFormat="1">
      <alignment horizontal="left"/>
    </xf>
    <xf borderId="41" fillId="7" fontId="13" numFmtId="2" xfId="0" applyAlignment="1" applyBorder="1" applyFont="1" applyNumberFormat="1">
      <alignment horizontal="left"/>
    </xf>
    <xf borderId="21" fillId="7" fontId="14" numFmtId="4" xfId="0" applyAlignment="1" applyBorder="1" applyFont="1" applyNumberFormat="1">
      <alignment horizontal="left"/>
    </xf>
    <xf borderId="42" fillId="7" fontId="13" numFmtId="1" xfId="0" applyAlignment="1" applyBorder="1" applyFont="1" applyNumberFormat="1">
      <alignment horizontal="left"/>
    </xf>
    <xf borderId="43" fillId="7" fontId="13" numFmtId="4" xfId="0" applyAlignment="1" applyBorder="1" applyFont="1" applyNumberFormat="1">
      <alignment horizontal="left"/>
    </xf>
    <xf borderId="10" fillId="0" fontId="18" numFmtId="165" xfId="0" applyAlignment="1" applyBorder="1" applyFont="1" applyNumberFormat="1">
      <alignment readingOrder="0"/>
    </xf>
    <xf borderId="10" fillId="0" fontId="18" numFmtId="165" xfId="0" applyAlignment="1" applyBorder="1" applyFont="1" applyNumberFormat="1">
      <alignment horizontal="center" readingOrder="0"/>
    </xf>
    <xf borderId="10" fillId="0" fontId="28" numFmtId="2" xfId="0" applyAlignment="1" applyBorder="1" applyFont="1" applyNumberFormat="1">
      <alignment readingOrder="0"/>
    </xf>
    <xf borderId="10" fillId="0" fontId="9" numFmtId="2" xfId="0" applyAlignment="1" applyBorder="1" applyFont="1" applyNumberFormat="1">
      <alignment horizontal="right" shrinkToFit="0" wrapText="1"/>
    </xf>
    <xf borderId="9" fillId="8" fontId="14" numFmtId="1" xfId="0" applyAlignment="1" applyBorder="1" applyFont="1" applyNumberFormat="1">
      <alignment readingOrder="0"/>
    </xf>
    <xf borderId="34" fillId="0" fontId="13" numFmtId="1" xfId="0" applyBorder="1" applyFont="1" applyNumberFormat="1"/>
    <xf borderId="10" fillId="0" fontId="24" numFmtId="1" xfId="0" applyAlignment="1" applyBorder="1" applyFont="1" applyNumberFormat="1">
      <alignment horizontal="center"/>
    </xf>
    <xf borderId="10" fillId="0" fontId="18" numFmtId="2" xfId="0" applyAlignment="1" applyBorder="1" applyFont="1" applyNumberFormat="1">
      <alignment horizontal="center" readingOrder="0"/>
    </xf>
    <xf borderId="9" fillId="0" fontId="14" numFmtId="1" xfId="0" applyAlignment="1" applyBorder="1" applyFont="1" applyNumberFormat="1">
      <alignment readingOrder="0"/>
    </xf>
    <xf borderId="34" fillId="0" fontId="13" numFmtId="1" xfId="0" applyAlignment="1" applyBorder="1" applyFont="1" applyNumberFormat="1">
      <alignment readingOrder="0"/>
    </xf>
    <xf borderId="11" fillId="0" fontId="18" numFmtId="2" xfId="0" applyBorder="1" applyFont="1" applyNumberFormat="1"/>
    <xf borderId="11" fillId="0" fontId="18" numFmtId="165" xfId="0" applyBorder="1" applyFont="1" applyNumberFormat="1"/>
    <xf borderId="11" fillId="8" fontId="18" numFmtId="2" xfId="0" applyAlignment="1" applyBorder="1" applyFont="1" applyNumberFormat="1">
      <alignment horizontal="center"/>
    </xf>
    <xf borderId="11" fillId="0" fontId="18" numFmtId="0" xfId="0" applyAlignment="1" applyBorder="1" applyFont="1">
      <alignment readingOrder="0"/>
    </xf>
    <xf borderId="9" fillId="0" fontId="14" numFmtId="1" xfId="0" applyBorder="1" applyFont="1" applyNumberFormat="1"/>
    <xf borderId="0" fillId="0" fontId="9" numFmtId="168" xfId="0" applyFont="1" applyNumberFormat="1"/>
    <xf borderId="10" fillId="0" fontId="18" numFmtId="165" xfId="0" applyBorder="1" applyFont="1" applyNumberFormat="1"/>
    <xf borderId="10" fillId="0" fontId="18" numFmtId="165" xfId="0" applyAlignment="1" applyBorder="1" applyFont="1" applyNumberFormat="1">
      <alignment horizontal="center"/>
    </xf>
    <xf borderId="9" fillId="8" fontId="14" numFmtId="1" xfId="0" applyBorder="1" applyFont="1" applyNumberFormat="1"/>
    <xf borderId="11" fillId="0" fontId="18" numFmtId="0" xfId="0" applyBorder="1" applyFont="1"/>
    <xf borderId="29" fillId="0" fontId="18" numFmtId="2" xfId="0" applyBorder="1" applyFont="1" applyNumberFormat="1"/>
    <xf borderId="11" fillId="0" fontId="30" numFmtId="0" xfId="0" applyAlignment="1" applyBorder="1" applyFont="1">
      <alignment readingOrder="0"/>
    </xf>
    <xf borderId="44" fillId="7" fontId="14" numFmtId="1" xfId="0" applyAlignment="1" applyBorder="1" applyFont="1" applyNumberFormat="1">
      <alignment horizontal="left"/>
    </xf>
    <xf borderId="43" fillId="7" fontId="14" numFmtId="4" xfId="0" applyAlignment="1" applyBorder="1" applyFont="1" applyNumberFormat="1">
      <alignment horizontal="left"/>
    </xf>
    <xf borderId="25" fillId="0" fontId="18" numFmtId="1" xfId="0" applyBorder="1" applyFont="1" applyNumberFormat="1"/>
    <xf borderId="10" fillId="0" fontId="24" numFmtId="1" xfId="0" applyAlignment="1" applyBorder="1" applyFont="1" applyNumberFormat="1">
      <alignment horizontal="center" readingOrder="0"/>
    </xf>
    <xf borderId="39" fillId="7" fontId="13" numFmtId="2" xfId="0" applyAlignment="1" applyBorder="1" applyFont="1" applyNumberFormat="1">
      <alignment horizontal="left" readingOrder="0"/>
    </xf>
    <xf borderId="11" fillId="0" fontId="9" numFmtId="165" xfId="0" applyAlignment="1" applyBorder="1" applyFont="1" applyNumberFormat="1">
      <alignment horizontal="right" readingOrder="0" vertical="bottom"/>
    </xf>
    <xf borderId="10" fillId="0" fontId="28" numFmtId="2" xfId="0" applyAlignment="1" applyBorder="1" applyFont="1" applyNumberFormat="1">
      <alignment horizontal="right" readingOrder="0" vertical="bottom"/>
    </xf>
    <xf borderId="10" fillId="0" fontId="9" numFmtId="2" xfId="0" applyAlignment="1" applyBorder="1" applyFont="1" applyNumberFormat="1">
      <alignment horizontal="right" vertical="bottom"/>
    </xf>
    <xf borderId="11" fillId="0" fontId="24" numFmtId="1" xfId="0" applyAlignment="1" applyBorder="1" applyFont="1" applyNumberFormat="1">
      <alignment horizontal="right" readingOrder="0" shrinkToFit="0" vertical="bottom" wrapText="1"/>
    </xf>
    <xf borderId="10" fillId="0" fontId="9" numFmtId="2" xfId="0" applyAlignment="1" applyBorder="1" applyFont="1" applyNumberFormat="1">
      <alignment horizontal="right" shrinkToFit="0" vertical="bottom" wrapText="1"/>
    </xf>
    <xf borderId="9" fillId="8" fontId="9" numFmtId="1" xfId="0" applyAlignment="1" applyBorder="1" applyFont="1" applyNumberFormat="1">
      <alignment readingOrder="0" vertical="bottom"/>
    </xf>
    <xf borderId="12" fillId="0" fontId="9" numFmtId="4" xfId="0" applyAlignment="1" applyBorder="1" applyFont="1" applyNumberFormat="1">
      <alignment readingOrder="0" vertical="bottom"/>
    </xf>
    <xf borderId="34" fillId="0" fontId="9" numFmtId="1" xfId="0" applyAlignment="1" applyBorder="1" applyFont="1" applyNumberFormat="1">
      <alignment vertical="bottom"/>
    </xf>
    <xf borderId="10" fillId="0" fontId="9" numFmtId="2" xfId="0" applyAlignment="1" applyBorder="1" applyFont="1" applyNumberFormat="1">
      <alignment horizontal="center" vertical="bottom"/>
    </xf>
    <xf borderId="10" fillId="0" fontId="24" numFmtId="1" xfId="0" applyAlignment="1" applyBorder="1" applyFont="1" applyNumberFormat="1">
      <alignment horizontal="center" readingOrder="0" vertical="bottom"/>
    </xf>
    <xf borderId="9" fillId="0" fontId="14" numFmtId="2" xfId="0" applyBorder="1" applyFont="1" applyNumberFormat="1"/>
    <xf borderId="25" fillId="0" fontId="13" numFmtId="2" xfId="0" applyAlignment="1" applyBorder="1" applyFont="1" applyNumberFormat="1">
      <alignment horizontal="right" readingOrder="0"/>
    </xf>
    <xf borderId="11" fillId="8" fontId="18" numFmtId="2" xfId="0" applyAlignment="1" applyBorder="1" applyFont="1" applyNumberFormat="1">
      <alignment horizontal="center" readingOrder="0"/>
    </xf>
    <xf borderId="25" fillId="0" fontId="24" numFmtId="2" xfId="0" applyAlignment="1" applyBorder="1" applyFont="1" applyNumberFormat="1">
      <alignment horizontal="center"/>
    </xf>
    <xf borderId="37" fillId="0" fontId="18" numFmtId="168" xfId="0" applyAlignment="1" applyBorder="1" applyFont="1" applyNumberFormat="1">
      <alignment horizontal="center"/>
    </xf>
    <xf borderId="45" fillId="0" fontId="10" numFmtId="0" xfId="0" applyBorder="1" applyFont="1"/>
    <xf borderId="36" fillId="0" fontId="10" numFmtId="0" xfId="0" applyBorder="1" applyFont="1"/>
    <xf borderId="11" fillId="9" fontId="15" numFmtId="2" xfId="0" applyAlignment="1" applyBorder="1" applyFont="1" applyNumberFormat="1">
      <alignment horizontal="right"/>
    </xf>
    <xf borderId="11" fillId="0" fontId="19" numFmtId="2" xfId="0" applyAlignment="1" applyBorder="1" applyFont="1" applyNumberFormat="1">
      <alignment horizontal="center"/>
    </xf>
    <xf borderId="37" fillId="0" fontId="19" numFmtId="2" xfId="0" applyAlignment="1" applyBorder="1" applyFont="1" applyNumberFormat="1">
      <alignment horizontal="center"/>
    </xf>
    <xf borderId="13" fillId="0" fontId="15" numFmtId="2" xfId="0" applyAlignment="1" applyBorder="1" applyFont="1" applyNumberFormat="1">
      <alignment horizontal="center"/>
    </xf>
    <xf borderId="36" fillId="0" fontId="18" numFmtId="1" xfId="0" applyAlignment="1" applyBorder="1" applyFont="1" applyNumberFormat="1">
      <alignment horizontal="center"/>
    </xf>
    <xf borderId="13" fillId="0" fontId="15" numFmtId="2" xfId="0" applyAlignment="1" applyBorder="1" applyFont="1" applyNumberFormat="1">
      <alignment horizontal="center" readingOrder="0"/>
    </xf>
    <xf borderId="11" fillId="0" fontId="15" numFmtId="2" xfId="0" applyAlignment="1" applyBorder="1" applyFont="1" applyNumberFormat="1">
      <alignment horizontal="right"/>
    </xf>
    <xf borderId="46" fillId="8" fontId="18" numFmtId="2" xfId="0" applyAlignment="1" applyBorder="1" applyFont="1" applyNumberFormat="1">
      <alignment horizontal="center"/>
    </xf>
    <xf borderId="47" fillId="0" fontId="18" numFmtId="168" xfId="0" applyAlignment="1" applyBorder="1" applyFont="1" applyNumberFormat="1">
      <alignment horizontal="center"/>
    </xf>
    <xf borderId="48" fillId="0" fontId="10" numFmtId="0" xfId="0" applyBorder="1" applyFont="1"/>
    <xf borderId="38" fillId="0" fontId="10" numFmtId="0" xfId="0" applyBorder="1" applyFont="1"/>
    <xf borderId="29" fillId="9" fontId="15" numFmtId="2" xfId="0" applyAlignment="1" applyBorder="1" applyFont="1" applyNumberFormat="1">
      <alignment horizontal="right"/>
    </xf>
    <xf borderId="29" fillId="0" fontId="19" numFmtId="2" xfId="0" applyAlignment="1" applyBorder="1" applyFont="1" applyNumberFormat="1">
      <alignment horizontal="center"/>
    </xf>
    <xf borderId="47" fillId="0" fontId="19" numFmtId="2" xfId="0" applyAlignment="1" applyBorder="1" applyFont="1" applyNumberFormat="1">
      <alignment horizontal="center"/>
    </xf>
    <xf borderId="32" fillId="0" fontId="15" numFmtId="2" xfId="0" applyAlignment="1" applyBorder="1" applyFont="1" applyNumberFormat="1">
      <alignment horizontal="center"/>
    </xf>
    <xf borderId="38" fillId="0" fontId="18" numFmtId="1" xfId="0" applyAlignment="1" applyBorder="1" applyFont="1" applyNumberFormat="1">
      <alignment horizontal="center"/>
    </xf>
    <xf borderId="25" fillId="0" fontId="13" numFmtId="2" xfId="0" applyBorder="1" applyFont="1" applyNumberFormat="1"/>
    <xf borderId="25" fillId="0" fontId="27" numFmtId="2" xfId="0" applyBorder="1" applyFont="1" applyNumberFormat="1"/>
    <xf borderId="25" fillId="0" fontId="14" numFmtId="2" xfId="0" applyAlignment="1" applyBorder="1" applyFont="1" applyNumberFormat="1">
      <alignment horizontal="right"/>
    </xf>
    <xf borderId="25" fillId="0" fontId="18" numFmtId="2" xfId="0" applyBorder="1" applyFont="1" applyNumberFormat="1"/>
    <xf borderId="25" fillId="10" fontId="13" numFmtId="2" xfId="0" applyAlignment="1" applyBorder="1" applyFill="1" applyFont="1" applyNumberFormat="1">
      <alignment horizontal="right" readingOrder="0"/>
    </xf>
    <xf borderId="25" fillId="10" fontId="13" numFmtId="2" xfId="0" applyBorder="1" applyFont="1" applyNumberFormat="1"/>
    <xf borderId="25" fillId="10" fontId="13" numFmtId="2" xfId="0" applyAlignment="1" applyBorder="1" applyFont="1" applyNumberFormat="1">
      <alignment horizontal="center"/>
    </xf>
    <xf borderId="25" fillId="10" fontId="27" numFmtId="2" xfId="0" applyAlignment="1" applyBorder="1" applyFont="1" applyNumberFormat="1">
      <alignment horizontal="center"/>
    </xf>
    <xf borderId="25" fillId="10" fontId="14" numFmtId="2" xfId="0" applyAlignment="1" applyBorder="1" applyFont="1" applyNumberFormat="1">
      <alignment horizontal="center"/>
    </xf>
    <xf borderId="25" fillId="10" fontId="13" numFmtId="1" xfId="0" applyAlignment="1" applyBorder="1" applyFont="1" applyNumberFormat="1">
      <alignment horizontal="right"/>
    </xf>
    <xf borderId="25" fillId="10" fontId="18" numFmtId="2" xfId="0" applyBorder="1" applyFont="1" applyNumberFormat="1"/>
    <xf borderId="25" fillId="10" fontId="14" numFmtId="2" xfId="0" applyAlignment="1" applyBorder="1" applyFont="1" applyNumberFormat="1">
      <alignment horizontal="right"/>
    </xf>
    <xf borderId="25" fillId="10" fontId="14" numFmtId="4" xfId="0" applyAlignment="1" applyBorder="1" applyFont="1" applyNumberFormat="1">
      <alignment horizontal="center"/>
    </xf>
    <xf borderId="25" fillId="10" fontId="18" numFmtId="1" xfId="0" applyBorder="1" applyFont="1" applyNumberFormat="1"/>
    <xf borderId="25" fillId="10" fontId="9" numFmtId="1" xfId="0" applyAlignment="1" applyBorder="1" applyFont="1" applyNumberFormat="1">
      <alignment horizontal="center"/>
    </xf>
    <xf borderId="25" fillId="10" fontId="13" numFmtId="4" xfId="0" applyBorder="1" applyFont="1" applyNumberFormat="1"/>
    <xf borderId="49" fillId="3" fontId="13" numFmtId="2" xfId="0" applyAlignment="1" applyBorder="1" applyFont="1" applyNumberFormat="1">
      <alignment horizontal="center" readingOrder="0" textRotation="90" vertical="center"/>
    </xf>
    <xf borderId="49" fillId="0" fontId="10" numFmtId="0" xfId="0" applyBorder="1" applyFont="1"/>
    <xf borderId="10" fillId="0" fontId="29" numFmtId="2" xfId="0" applyAlignment="1" applyBorder="1" applyFont="1" applyNumberFormat="1">
      <alignment horizontal="right" readingOrder="0"/>
    </xf>
    <xf borderId="25" fillId="3" fontId="13" numFmtId="2" xfId="0" applyAlignment="1" applyBorder="1" applyFont="1" applyNumberFormat="1">
      <alignment horizontal="right" readingOrder="0"/>
    </xf>
    <xf borderId="25" fillId="3" fontId="13" numFmtId="2" xfId="0" applyBorder="1" applyFont="1" applyNumberFormat="1"/>
    <xf borderId="25" fillId="3" fontId="13" numFmtId="2" xfId="0" applyAlignment="1" applyBorder="1" applyFont="1" applyNumberFormat="1">
      <alignment horizontal="center" readingOrder="0"/>
    </xf>
    <xf borderId="25" fillId="3" fontId="27" numFmtId="2" xfId="0" applyAlignment="1" applyBorder="1" applyFont="1" applyNumberFormat="1">
      <alignment horizontal="center" readingOrder="0"/>
    </xf>
    <xf borderId="25" fillId="3" fontId="14" numFmtId="2" xfId="0" applyAlignment="1" applyBorder="1" applyFont="1" applyNumberFormat="1">
      <alignment horizontal="center" readingOrder="0"/>
    </xf>
    <xf borderId="25" fillId="3" fontId="13" numFmtId="1" xfId="0" applyAlignment="1" applyBorder="1" applyFont="1" applyNumberFormat="1">
      <alignment horizontal="right"/>
    </xf>
    <xf borderId="25" fillId="3" fontId="13" numFmtId="2" xfId="0" applyAlignment="1" applyBorder="1" applyFont="1" applyNumberFormat="1">
      <alignment horizontal="center"/>
    </xf>
    <xf borderId="25" fillId="3" fontId="18" numFmtId="2" xfId="0" applyBorder="1" applyFont="1" applyNumberFormat="1"/>
    <xf borderId="25" fillId="3" fontId="14" numFmtId="1" xfId="0" applyBorder="1" applyFont="1" applyNumberFormat="1"/>
    <xf borderId="25" fillId="3" fontId="14" numFmtId="4" xfId="0" applyAlignment="1" applyBorder="1" applyFont="1" applyNumberFormat="1">
      <alignment horizontal="center"/>
    </xf>
    <xf borderId="25" fillId="3" fontId="18" numFmtId="1" xfId="0" applyBorder="1" applyFont="1" applyNumberFormat="1"/>
    <xf borderId="25" fillId="3" fontId="13" numFmtId="4" xfId="0" applyAlignment="1" applyBorder="1" applyFont="1" applyNumberFormat="1">
      <alignment horizontal="center"/>
    </xf>
    <xf borderId="25" fillId="3" fontId="9" numFmtId="1" xfId="0" applyAlignment="1" applyBorder="1" applyFont="1" applyNumberFormat="1">
      <alignment horizontal="center"/>
    </xf>
    <xf borderId="25" fillId="3" fontId="13" numFmtId="4" xfId="0" applyAlignment="1" applyBorder="1" applyFont="1" applyNumberFormat="1">
      <alignment horizontal="right"/>
    </xf>
    <xf borderId="49" fillId="2" fontId="13" numFmtId="2" xfId="0" applyAlignment="1" applyBorder="1" applyFont="1" applyNumberFormat="1">
      <alignment horizontal="center" readingOrder="0" textRotation="90" vertical="center"/>
    </xf>
    <xf borderId="10" fillId="9" fontId="28" numFmtId="2" xfId="0" applyAlignment="1" applyBorder="1" applyFont="1" applyNumberFormat="1">
      <alignment readingOrder="0"/>
    </xf>
    <xf borderId="10" fillId="9" fontId="28" numFmtId="2" xfId="0" applyBorder="1" applyFont="1" applyNumberFormat="1"/>
    <xf borderId="10" fillId="0" fontId="9" numFmtId="165" xfId="0" applyAlignment="1" applyBorder="1" applyFont="1" applyNumberFormat="1">
      <alignment horizontal="right" vertical="bottom"/>
    </xf>
    <xf borderId="10" fillId="0" fontId="9" numFmtId="165" xfId="0" applyAlignment="1" applyBorder="1" applyFont="1" applyNumberFormat="1">
      <alignment horizontal="center" vertical="bottom"/>
    </xf>
    <xf borderId="10" fillId="9" fontId="28" numFmtId="2" xfId="0" applyAlignment="1" applyBorder="1" applyFont="1" applyNumberFormat="1">
      <alignment horizontal="right" vertical="bottom"/>
    </xf>
    <xf borderId="10" fillId="0" fontId="29" numFmtId="2" xfId="0" applyAlignment="1" applyBorder="1" applyFont="1" applyNumberFormat="1">
      <alignment horizontal="right" vertical="bottom"/>
    </xf>
    <xf borderId="10" fillId="0" fontId="15" numFmtId="2" xfId="0" applyAlignment="1" applyBorder="1" applyFont="1" applyNumberFormat="1">
      <alignment horizontal="right" vertical="bottom"/>
    </xf>
    <xf borderId="11" fillId="0" fontId="24" numFmtId="1" xfId="0" applyAlignment="1" applyBorder="1" applyFont="1" applyNumberFormat="1">
      <alignment horizontal="right" shrinkToFit="0" vertical="bottom" wrapText="1"/>
    </xf>
    <xf borderId="9" fillId="0" fontId="14" numFmtId="1" xfId="0" applyAlignment="1" applyBorder="1" applyFont="1" applyNumberFormat="1">
      <alignment horizontal="right" readingOrder="0" vertical="bottom"/>
    </xf>
    <xf borderId="12" fillId="0" fontId="14" numFmtId="4" xfId="0" applyAlignment="1" applyBorder="1" applyFont="1" applyNumberFormat="1">
      <alignment horizontal="right" readingOrder="0" vertical="bottom"/>
    </xf>
    <xf borderId="10" fillId="0" fontId="24" numFmtId="1" xfId="0" applyAlignment="1" applyBorder="1" applyFont="1" applyNumberFormat="1">
      <alignment horizontal="center" vertical="bottom"/>
    </xf>
    <xf borderId="14" fillId="0" fontId="9" numFmtId="4" xfId="0" applyAlignment="1" applyBorder="1" applyFont="1" applyNumberFormat="1">
      <alignment horizontal="right" vertical="bottom"/>
    </xf>
    <xf borderId="10" fillId="8" fontId="18" numFmtId="2" xfId="0" applyAlignment="1" applyBorder="1" applyFont="1" applyNumberFormat="1">
      <alignment horizontal="right"/>
    </xf>
    <xf borderId="9" fillId="0" fontId="14" numFmtId="2" xfId="0" applyAlignment="1" applyBorder="1" applyFont="1" applyNumberFormat="1">
      <alignment readingOrder="0"/>
    </xf>
    <xf borderId="25" fillId="0" fontId="14" numFmtId="168" xfId="0" applyBorder="1" applyFont="1" applyNumberFormat="1"/>
    <xf borderId="25" fillId="0" fontId="18" numFmtId="168" xfId="0" applyBorder="1" applyFont="1" applyNumberFormat="1"/>
    <xf borderId="25" fillId="0" fontId="13" numFmtId="4" xfId="0" applyAlignment="1" applyBorder="1" applyFont="1" applyNumberFormat="1">
      <alignment horizontal="right"/>
    </xf>
    <xf borderId="11" fillId="3" fontId="18" numFmtId="2" xfId="0" applyAlignment="1" applyBorder="1" applyFont="1" applyNumberFormat="1">
      <alignment readingOrder="0"/>
    </xf>
    <xf borderId="11" fillId="10" fontId="18" numFmtId="2" xfId="0" applyAlignment="1" applyBorder="1" applyFont="1" applyNumberFormat="1">
      <alignment readingOrder="0"/>
    </xf>
    <xf borderId="50" fillId="0" fontId="14" numFmtId="1" xfId="0" applyAlignment="1" applyBorder="1" applyFont="1" applyNumberFormat="1">
      <alignment readingOrder="0"/>
    </xf>
    <xf borderId="51" fillId="0" fontId="14" numFmtId="4" xfId="0" applyAlignment="1" applyBorder="1" applyFont="1" applyNumberFormat="1">
      <alignment readingOrder="0"/>
    </xf>
    <xf borderId="25" fillId="0" fontId="24" numFmtId="4" xfId="0" applyAlignment="1" applyBorder="1" applyFont="1" applyNumberFormat="1">
      <alignment horizontal="center"/>
    </xf>
    <xf borderId="25" fillId="2" fontId="13" numFmtId="2" xfId="0" applyAlignment="1" applyBorder="1" applyFont="1" applyNumberFormat="1">
      <alignment horizontal="right" readingOrder="0"/>
    </xf>
    <xf borderId="25" fillId="2" fontId="13" numFmtId="2" xfId="0" applyBorder="1" applyFont="1" applyNumberFormat="1"/>
    <xf borderId="25" fillId="2" fontId="27" numFmtId="2" xfId="0" applyAlignment="1" applyBorder="1" applyFont="1" applyNumberFormat="1">
      <alignment horizontal="center"/>
    </xf>
    <xf borderId="25" fillId="2" fontId="14" numFmtId="2" xfId="0" applyAlignment="1" applyBorder="1" applyFont="1" applyNumberFormat="1">
      <alignment horizontal="center"/>
    </xf>
    <xf borderId="25" fillId="2" fontId="13" numFmtId="2" xfId="0" applyAlignment="1" applyBorder="1" applyFont="1" applyNumberFormat="1">
      <alignment horizontal="center"/>
    </xf>
    <xf borderId="25" fillId="2" fontId="13" numFmtId="1" xfId="0" applyAlignment="1" applyBorder="1" applyFont="1" applyNumberFormat="1">
      <alignment horizontal="right"/>
    </xf>
    <xf borderId="25" fillId="2" fontId="24" numFmtId="4" xfId="0" applyAlignment="1" applyBorder="1" applyFont="1" applyNumberFormat="1">
      <alignment horizontal="center"/>
    </xf>
    <xf borderId="25" fillId="2" fontId="18" numFmtId="2" xfId="0" applyBorder="1" applyFont="1" applyNumberFormat="1"/>
    <xf borderId="25" fillId="2" fontId="14" numFmtId="1" xfId="0" applyBorder="1" applyFont="1" applyNumberFormat="1"/>
    <xf borderId="25" fillId="2" fontId="24" numFmtId="2" xfId="0" applyAlignment="1" applyBorder="1" applyFont="1" applyNumberFormat="1">
      <alignment horizontal="center"/>
    </xf>
    <xf borderId="25" fillId="2" fontId="14" numFmtId="4" xfId="0" applyAlignment="1" applyBorder="1" applyFont="1" applyNumberFormat="1">
      <alignment horizontal="center"/>
    </xf>
    <xf borderId="25" fillId="2" fontId="18" numFmtId="1" xfId="0" applyBorder="1" applyFont="1" applyNumberFormat="1"/>
    <xf borderId="25" fillId="2" fontId="13" numFmtId="4" xfId="0" applyAlignment="1" applyBorder="1" applyFont="1" applyNumberFormat="1">
      <alignment horizontal="center"/>
    </xf>
    <xf borderId="25" fillId="2" fontId="9" numFmtId="1" xfId="0" applyAlignment="1" applyBorder="1" applyFont="1" applyNumberFormat="1">
      <alignment horizontal="center"/>
    </xf>
    <xf borderId="25" fillId="2" fontId="13" numFmtId="4" xfId="0" applyAlignment="1" applyBorder="1" applyFont="1" applyNumberFormat="1">
      <alignment horizontal="right"/>
    </xf>
    <xf borderId="32" fillId="5" fontId="20" numFmtId="2" xfId="0" applyBorder="1" applyFont="1" applyNumberFormat="1"/>
    <xf borderId="11" fillId="7" fontId="20" numFmtId="2" xfId="0" applyBorder="1" applyFont="1" applyNumberFormat="1"/>
    <xf borderId="11" fillId="7" fontId="20" numFmtId="2" xfId="0" applyAlignment="1" applyBorder="1" applyFont="1" applyNumberFormat="1">
      <alignment horizontal="center"/>
    </xf>
    <xf borderId="11" fillId="7" fontId="20" numFmtId="168" xfId="0" applyBorder="1" applyFont="1" applyNumberFormat="1"/>
    <xf borderId="11" fillId="7" fontId="31" numFmtId="2" xfId="0" applyAlignment="1" applyBorder="1" applyFont="1" applyNumberFormat="1">
      <alignment horizontal="right"/>
    </xf>
    <xf borderId="11" fillId="7" fontId="32" numFmtId="2" xfId="0" applyAlignment="1" applyBorder="1" applyFont="1" applyNumberFormat="1">
      <alignment horizontal="right"/>
    </xf>
    <xf borderId="11" fillId="7" fontId="20" numFmtId="2" xfId="0" applyAlignment="1" applyBorder="1" applyFont="1" applyNumberFormat="1">
      <alignment horizontal="right"/>
    </xf>
    <xf borderId="11" fillId="7" fontId="17" numFmtId="1" xfId="0" applyAlignment="1" applyBorder="1" applyFont="1" applyNumberFormat="1">
      <alignment horizontal="right" shrinkToFit="0" wrapText="1"/>
    </xf>
    <xf borderId="11" fillId="7" fontId="33" numFmtId="2" xfId="0" applyAlignment="1" applyBorder="1" applyFont="1" applyNumberFormat="1">
      <alignment horizontal="right" shrinkToFit="0" wrapText="1"/>
    </xf>
    <xf borderId="11" fillId="7" fontId="21" numFmtId="1" xfId="0" applyBorder="1" applyFont="1" applyNumberFormat="1"/>
    <xf borderId="11" fillId="7" fontId="32" numFmtId="4" xfId="0" applyBorder="1" applyFont="1" applyNumberFormat="1"/>
    <xf borderId="11" fillId="7" fontId="20" numFmtId="1" xfId="0" applyBorder="1" applyFont="1" applyNumberFormat="1"/>
    <xf borderId="11" fillId="7" fontId="34" numFmtId="1" xfId="0" applyAlignment="1" applyBorder="1" applyFont="1" applyNumberFormat="1">
      <alignment horizontal="center"/>
    </xf>
    <xf borderId="14" fillId="7" fontId="34" numFmtId="4" xfId="0" applyAlignment="1" applyBorder="1" applyFont="1" applyNumberFormat="1">
      <alignment horizontal="center"/>
    </xf>
    <xf borderId="50" fillId="0" fontId="10" numFmtId="0" xfId="0" applyBorder="1" applyFont="1"/>
    <xf borderId="24" fillId="5" fontId="17" numFmtId="2" xfId="0" applyAlignment="1" applyBorder="1" applyFont="1" applyNumberFormat="1">
      <alignment horizontal="right"/>
    </xf>
    <xf borderId="25" fillId="5" fontId="17" numFmtId="168" xfId="0" applyAlignment="1" applyBorder="1" applyFont="1" applyNumberFormat="1">
      <alignment horizontal="right"/>
    </xf>
    <xf borderId="25" fillId="5" fontId="35" numFmtId="2" xfId="0" applyAlignment="1" applyBorder="1" applyFont="1" applyNumberFormat="1">
      <alignment horizontal="center" shrinkToFit="0" wrapText="1"/>
    </xf>
    <xf borderId="25" fillId="5" fontId="17" numFmtId="1" xfId="0" applyAlignment="1" applyBorder="1" applyFont="1" applyNumberFormat="1">
      <alignment horizontal="right"/>
    </xf>
    <xf borderId="25" fillId="5" fontId="20" numFmtId="2" xfId="0" applyBorder="1" applyFont="1" applyNumberFormat="1"/>
    <xf borderId="25" fillId="5" fontId="21" numFmtId="4" xfId="0" applyAlignment="1" applyBorder="1" applyFont="1" applyNumberFormat="1">
      <alignment horizontal="center" shrinkToFit="0" wrapText="1"/>
    </xf>
    <xf borderId="25" fillId="5" fontId="20" numFmtId="1" xfId="0" applyBorder="1" applyFont="1" applyNumberFormat="1"/>
    <xf borderId="25" fillId="5" fontId="33" numFmtId="1" xfId="0" applyAlignment="1" applyBorder="1" applyFont="1" applyNumberFormat="1">
      <alignment horizontal="center"/>
    </xf>
    <xf borderId="25" fillId="5" fontId="17" numFmtId="4" xfId="0" applyAlignment="1" applyBorder="1" applyFont="1" applyNumberFormat="1">
      <alignment horizontal="center" shrinkToFit="0" wrapText="1"/>
    </xf>
    <xf borderId="0" fillId="0" fontId="29" numFmtId="2" xfId="0" applyAlignment="1" applyFont="1" applyNumberFormat="1">
      <alignment horizontal="right"/>
    </xf>
    <xf borderId="0" fillId="0" fontId="15" numFmtId="2" xfId="0" applyAlignment="1" applyFont="1" applyNumberFormat="1">
      <alignment horizontal="right"/>
    </xf>
    <xf borderId="0" fillId="0" fontId="18" numFmtId="2" xfId="0" applyFont="1" applyNumberFormat="1"/>
    <xf borderId="0" fillId="0" fontId="13" numFmtId="2" xfId="0" applyAlignment="1" applyFont="1" applyNumberFormat="1">
      <alignment horizontal="right"/>
    </xf>
    <xf borderId="0" fillId="0" fontId="18" numFmtId="1" xfId="0" applyFont="1" applyNumberFormat="1"/>
    <xf borderId="0" fillId="0" fontId="9" numFmtId="1" xfId="0" applyFont="1" applyNumberFormat="1"/>
    <xf borderId="0" fillId="0" fontId="9" numFmtId="4" xfId="0" applyFont="1" applyNumberFormat="1"/>
    <xf borderId="0" fillId="0" fontId="36" numFmtId="0" xfId="0" applyAlignment="1" applyFont="1">
      <alignment horizontal="center" readingOrder="0" vertical="center"/>
    </xf>
    <xf borderId="0" fillId="0" fontId="36" numFmtId="2" xfId="0" applyAlignment="1" applyFont="1" applyNumberFormat="1">
      <alignment horizontal="center" readingOrder="0" vertical="center"/>
    </xf>
    <xf borderId="0" fillId="0" fontId="36" numFmtId="0" xfId="0" applyFont="1"/>
    <xf borderId="37" fillId="0" fontId="22" numFmtId="0" xfId="0" applyAlignment="1" applyBorder="1" applyFont="1">
      <alignment horizontal="center" readingOrder="0" vertical="center"/>
    </xf>
    <xf borderId="11" fillId="0" fontId="1" numFmtId="2" xfId="0" applyAlignment="1" applyBorder="1" applyFont="1" applyNumberFormat="1">
      <alignment horizontal="center" readingOrder="0" shrinkToFit="0" vertical="center" wrapText="1"/>
    </xf>
    <xf borderId="11" fillId="0" fontId="1" numFmtId="2" xfId="0" applyAlignment="1" applyBorder="1" applyFont="1" applyNumberFormat="1">
      <alignment horizontal="center" shrinkToFit="0" vertical="center" wrapText="1"/>
    </xf>
    <xf borderId="11" fillId="0" fontId="1" numFmtId="168" xfId="0" applyAlignment="1" applyBorder="1" applyFont="1" applyNumberFormat="1">
      <alignment horizontal="center" vertical="center"/>
    </xf>
    <xf borderId="11" fillId="0" fontId="26" numFmtId="2" xfId="0" applyAlignment="1" applyBorder="1" applyFont="1" applyNumberFormat="1">
      <alignment horizontal="center" shrinkToFit="0" vertical="center" wrapText="1"/>
    </xf>
    <xf borderId="11" fillId="0" fontId="2" numFmtId="2" xfId="0" applyAlignment="1" applyBorder="1" applyFont="1" applyNumberFormat="1">
      <alignment horizontal="center" shrinkToFit="0" vertical="center" wrapText="1"/>
    </xf>
    <xf borderId="11" fillId="0" fontId="23" numFmtId="0" xfId="0" applyAlignment="1" applyBorder="1" applyFont="1">
      <alignment horizontal="center" readingOrder="0" vertical="center"/>
    </xf>
    <xf borderId="37" fillId="0" fontId="23" numFmtId="2" xfId="0" applyAlignment="1" applyBorder="1" applyFont="1" applyNumberFormat="1">
      <alignment horizontal="center" readingOrder="0" vertical="center"/>
    </xf>
    <xf borderId="11" fillId="0" fontId="18" numFmtId="1" xfId="0" applyAlignment="1" applyBorder="1" applyFont="1" applyNumberFormat="1">
      <alignment readingOrder="0"/>
    </xf>
    <xf borderId="11" fillId="11" fontId="36" numFmtId="2" xfId="0" applyBorder="1" applyFill="1" applyFont="1" applyNumberFormat="1"/>
    <xf borderId="11" fillId="11" fontId="36" numFmtId="2" xfId="0" applyAlignment="1" applyBorder="1" applyFont="1" applyNumberFormat="1">
      <alignment readingOrder="0"/>
    </xf>
    <xf borderId="37" fillId="11" fontId="36" numFmtId="2" xfId="0" applyAlignment="1" applyBorder="1" applyFont="1" applyNumberFormat="1">
      <alignment horizontal="center"/>
    </xf>
    <xf borderId="0" fillId="0" fontId="18" numFmtId="1" xfId="0" applyAlignment="1" applyFont="1" applyNumberFormat="1">
      <alignment readingOrder="0"/>
    </xf>
    <xf borderId="0" fillId="0" fontId="9" numFmtId="4" xfId="0" applyAlignment="1" applyFont="1" applyNumberFormat="1">
      <alignment readingOrder="0"/>
    </xf>
    <xf borderId="11" fillId="0" fontId="29" numFmtId="2" xfId="0" applyAlignment="1" applyBorder="1" applyFont="1" applyNumberFormat="1">
      <alignment horizontal="right" readingOrder="0"/>
    </xf>
    <xf borderId="11" fillId="0" fontId="9" numFmtId="165" xfId="0" applyAlignment="1" applyBorder="1" applyFont="1" applyNumberFormat="1">
      <alignment horizontal="right" vertical="bottom"/>
    </xf>
    <xf borderId="11" fillId="0" fontId="29" numFmtId="2" xfId="0" applyAlignment="1" applyBorder="1" applyFont="1" applyNumberFormat="1">
      <alignment horizontal="right"/>
    </xf>
    <xf borderId="11" fillId="0" fontId="36" numFmtId="0" xfId="0" applyAlignment="1" applyBorder="1" applyFont="1">
      <alignment readingOrder="0"/>
    </xf>
    <xf borderId="37" fillId="0" fontId="18" numFmtId="165" xfId="0" applyAlignment="1" applyBorder="1" applyFont="1" applyNumberFormat="1">
      <alignment horizontal="right" readingOrder="0" vertical="center"/>
    </xf>
    <xf borderId="11" fillId="12" fontId="36" numFmtId="2" xfId="0" applyBorder="1" applyFill="1" applyFont="1" applyNumberFormat="1"/>
    <xf borderId="11" fillId="12" fontId="36" numFmtId="2" xfId="0" applyAlignment="1" applyBorder="1" applyFont="1" applyNumberFormat="1">
      <alignment readingOrder="0"/>
    </xf>
    <xf borderId="37" fillId="12" fontId="36" numFmtId="2" xfId="0" applyAlignment="1" applyBorder="1" applyFont="1" applyNumberFormat="1">
      <alignment horizontal="center"/>
    </xf>
    <xf borderId="0" fillId="0" fontId="9" numFmtId="2" xfId="0" applyAlignment="1" applyFont="1" applyNumberFormat="1">
      <alignment horizontal="right" readingOrder="0" vertical="center"/>
    </xf>
    <xf borderId="0" fillId="0" fontId="13" numFmtId="1" xfId="0" applyAlignment="1" applyFont="1" applyNumberFormat="1">
      <alignment readingOrder="0"/>
    </xf>
    <xf borderId="0" fillId="0" fontId="15" numFmtId="2" xfId="0" applyFont="1" applyNumberFormat="1"/>
    <xf borderId="0" fillId="0" fontId="9" numFmtId="1" xfId="0" applyAlignment="1" applyFont="1" applyNumberFormat="1">
      <alignment readingOrder="0"/>
    </xf>
    <xf borderId="0" fillId="0" fontId="29" numFmtId="2" xfId="0" applyFont="1" applyNumberFormat="1"/>
    <xf borderId="0" fillId="0" fontId="18" numFmtId="2" xfId="0" applyAlignment="1" applyFont="1" applyNumberFormat="1">
      <alignment readingOrder="0"/>
    </xf>
    <xf borderId="0" fillId="0" fontId="13" numFmtId="1" xfId="0" applyFont="1" applyNumberFormat="1"/>
    <xf borderId="0" fillId="0" fontId="29" numFmtId="2" xfId="0" applyAlignment="1" applyFont="1" applyNumberFormat="1">
      <alignment readingOrder="0"/>
    </xf>
    <xf borderId="0" fillId="0" fontId="15" numFmtId="2" xfId="0" applyAlignment="1" applyFont="1" applyNumberFormat="1">
      <alignment readingOrder="0"/>
    </xf>
    <xf borderId="0" fillId="0" fontId="18" numFmtId="165" xfId="0" applyAlignment="1" applyFont="1" applyNumberFormat="1">
      <alignment readingOrder="0" vertical="center"/>
    </xf>
    <xf borderId="0" fillId="0" fontId="18" numFmtId="2" xfId="0" applyAlignment="1" applyFont="1" applyNumberFormat="1">
      <alignment horizontal="center"/>
    </xf>
    <xf borderId="0" fillId="0" fontId="18" numFmtId="168" xfId="0" applyFont="1" applyNumberFormat="1"/>
    <xf borderId="0" fillId="0" fontId="28" numFmtId="2" xfId="0" applyAlignment="1" applyFont="1" applyNumberFormat="1">
      <alignment readingOrder="0"/>
    </xf>
    <xf borderId="0" fillId="0" fontId="29" numFmtId="2" xfId="0" applyAlignment="1" applyFont="1" applyNumberFormat="1">
      <alignment horizontal="center" readingOrder="0"/>
    </xf>
    <xf borderId="0" fillId="0" fontId="15" numFmtId="2" xfId="0" applyAlignment="1" applyFont="1" applyNumberFormat="1">
      <alignment horizontal="center" readingOrder="0"/>
    </xf>
    <xf borderId="0" fillId="0" fontId="18" numFmtId="2" xfId="0" applyAlignment="1" applyFont="1" applyNumberFormat="1">
      <alignment horizontal="right"/>
    </xf>
    <xf borderId="10" fillId="0" fontId="29" numFmtId="1" xfId="0" applyAlignment="1" applyBorder="1" applyFont="1" applyNumberFormat="1">
      <alignment horizontal="right" readingOrder="0"/>
    </xf>
    <xf borderId="10" fillId="0" fontId="15" numFmtId="1" xfId="0" applyAlignment="1" applyBorder="1" applyFont="1" applyNumberFormat="1">
      <alignment horizontal="right"/>
    </xf>
    <xf borderId="0" fillId="0" fontId="18" numFmtId="165" xfId="0" applyAlignment="1" applyFont="1" applyNumberFormat="1">
      <alignment vertical="center"/>
    </xf>
    <xf borderId="0" fillId="0" fontId="9" numFmtId="165" xfId="0" applyAlignment="1" applyFont="1" applyNumberFormat="1">
      <alignment horizontal="center"/>
    </xf>
    <xf borderId="0" fillId="0" fontId="29" numFmtId="1" xfId="0" applyAlignment="1" applyFont="1" applyNumberFormat="1">
      <alignment horizontal="right"/>
    </xf>
    <xf borderId="0" fillId="0" fontId="15" numFmtId="1" xfId="0" applyAlignment="1" applyFont="1" applyNumberFormat="1">
      <alignment horizontal="right"/>
    </xf>
    <xf borderId="10" fillId="0" fontId="29" numFmtId="1" xfId="0" applyAlignment="1" applyBorder="1" applyFont="1" applyNumberFormat="1">
      <alignment horizontal="right"/>
    </xf>
    <xf borderId="11" fillId="0" fontId="24" numFmtId="1" xfId="0" applyAlignment="1" applyBorder="1" applyFont="1" applyNumberFormat="1">
      <alignment horizontal="center" readingOrder="0"/>
    </xf>
    <xf borderId="11" fillId="2" fontId="18" numFmtId="2" xfId="0" applyAlignment="1" applyBorder="1" applyFont="1" applyNumberFormat="1">
      <alignment readingOrder="0"/>
    </xf>
    <xf borderId="10" fillId="0" fontId="28" numFmtId="2" xfId="0" applyBorder="1" applyFont="1" applyNumberFormat="1"/>
    <xf borderId="10" fillId="0" fontId="28" numFmtId="2" xfId="0" applyAlignment="1" applyBorder="1" applyFont="1" applyNumberFormat="1">
      <alignment horizontal="right" vertical="bottom"/>
    </xf>
    <xf borderId="11" fillId="9" fontId="24" numFmtId="1" xfId="0" applyAlignment="1" applyBorder="1" applyFont="1" applyNumberFormat="1">
      <alignment horizontal="right" shrinkToFit="0" wrapText="1"/>
    </xf>
    <xf borderId="0" fillId="0" fontId="14" numFmtId="2" xfId="0" applyFont="1" applyNumberFormat="1"/>
    <xf borderId="0" fillId="0" fontId="15" numFmtId="4" xfId="0" applyAlignment="1" applyFont="1" applyNumberFormat="1">
      <alignment readingOrder="0"/>
    </xf>
    <xf borderId="9" fillId="0" fontId="9" numFmtId="1" xfId="0" applyAlignment="1" applyBorder="1" applyFont="1" applyNumberFormat="1">
      <alignment horizontal="right"/>
    </xf>
    <xf borderId="11" fillId="2" fontId="18" numFmtId="2" xfId="0" applyAlignment="1" applyBorder="1" applyFont="1" applyNumberFormat="1">
      <alignment readingOrder="0" textRotation="0" vertical="center"/>
    </xf>
    <xf borderId="29" fillId="2" fontId="18" numFmtId="2" xfId="0" applyAlignment="1" applyBorder="1" applyFont="1" applyNumberFormat="1">
      <alignment textRotation="0" vertical="center"/>
    </xf>
    <xf borderId="11" fillId="2" fontId="9" numFmtId="2" xfId="0" applyAlignment="1" applyBorder="1" applyFont="1" applyNumberFormat="1">
      <alignment readingOrder="0" textRotation="0" vertical="center"/>
    </xf>
    <xf borderId="29" fillId="2" fontId="18" numFmtId="2" xfId="0" applyAlignment="1" applyBorder="1" applyFont="1" applyNumberFormat="1">
      <alignment readingOrder="0" textRotation="0" vertical="center"/>
    </xf>
  </cellXfs>
  <cellStyles count="1">
    <cellStyle xfId="0" name="Normal" builtinId="0"/>
  </cellStyles>
  <dxfs count="1">
    <dxf>
      <font/>
      <fill>
        <patternFill patternType="solid">
          <fgColor rgb="FFE06666"/>
          <bgColor rgb="FFE06666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.43"/>
    <col customWidth="1" min="2" max="2" width="11.43"/>
    <col customWidth="1" min="3" max="3" width="10.14"/>
    <col customWidth="1" min="4" max="4" width="9.14"/>
    <col customWidth="1" min="5" max="5" width="13.14"/>
    <col customWidth="1" min="6" max="6" width="15.86"/>
    <col customWidth="1" min="7" max="7" width="8.29"/>
    <col customWidth="1" min="8" max="19" width="8.71"/>
  </cols>
  <sheetData>
    <row r="1">
      <c r="A1" s="1"/>
      <c r="B1" s="1"/>
      <c r="C1" s="1"/>
      <c r="D1" s="1"/>
      <c r="E1" s="2"/>
      <c r="F1" s="3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</row>
    <row r="2">
      <c r="A2" s="5" t="s">
        <v>0</v>
      </c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</row>
    <row r="3">
      <c r="A3" s="1"/>
      <c r="B3" s="1"/>
      <c r="C3" s="1"/>
      <c r="D3" s="1"/>
      <c r="E3" s="2"/>
      <c r="F3" s="3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</row>
    <row r="4">
      <c r="A4" s="6" t="s">
        <v>1</v>
      </c>
      <c r="C4" s="7"/>
      <c r="D4" s="8"/>
      <c r="E4" s="9"/>
      <c r="F4" s="10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</row>
    <row r="5">
      <c r="A5" s="12" t="s">
        <v>2</v>
      </c>
      <c r="B5" s="13"/>
      <c r="C5" s="14">
        <v>15.0</v>
      </c>
      <c r="D5" s="15"/>
      <c r="E5" s="9"/>
      <c r="F5" s="10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</row>
    <row r="6">
      <c r="A6" s="16" t="s">
        <v>3</v>
      </c>
      <c r="B6" s="13"/>
      <c r="C6" s="17">
        <v>1.3</v>
      </c>
      <c r="D6" s="18"/>
      <c r="E6" s="18"/>
      <c r="F6" s="18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</row>
    <row r="7">
      <c r="A7" s="16" t="s">
        <v>4</v>
      </c>
      <c r="B7" s="13"/>
      <c r="C7" s="17">
        <v>1.5</v>
      </c>
      <c r="D7" s="18"/>
      <c r="E7" s="18"/>
      <c r="F7" s="18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</row>
    <row r="8">
      <c r="A8" s="18"/>
      <c r="B8" s="18"/>
      <c r="C8" s="18"/>
      <c r="D8" s="18"/>
      <c r="E8" s="18"/>
      <c r="F8" s="18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</row>
    <row r="9">
      <c r="A9" s="18"/>
      <c r="B9" s="18"/>
      <c r="C9" s="18"/>
      <c r="D9" s="18"/>
      <c r="E9" s="18"/>
      <c r="F9" s="18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>
      <c r="A10" s="18"/>
      <c r="B10" s="18"/>
      <c r="C10" s="18"/>
      <c r="D10" s="18"/>
      <c r="E10" s="18"/>
      <c r="F10" s="18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</row>
    <row r="11">
      <c r="A11" s="18" t="s">
        <v>5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</row>
    <row r="12">
      <c r="A12" s="19"/>
      <c r="B12" s="19"/>
      <c r="C12" s="19"/>
      <c r="D12" s="19"/>
      <c r="E12" s="20"/>
      <c r="F12" s="21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</row>
    <row r="13">
      <c r="A13" s="22" t="s">
        <v>0</v>
      </c>
      <c r="B13" s="23" t="s">
        <v>6</v>
      </c>
      <c r="C13" s="24" t="s">
        <v>7</v>
      </c>
      <c r="D13" s="25" t="s">
        <v>8</v>
      </c>
      <c r="E13" s="26"/>
      <c r="F13" s="24" t="s">
        <v>9</v>
      </c>
      <c r="G13" s="27" t="s">
        <v>10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</row>
    <row r="14">
      <c r="A14" s="28"/>
      <c r="B14" s="29"/>
      <c r="C14" s="30"/>
      <c r="D14" s="31" t="s">
        <v>11</v>
      </c>
      <c r="E14" s="31" t="s">
        <v>12</v>
      </c>
      <c r="F14" s="30"/>
      <c r="G14" s="32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</row>
    <row r="15">
      <c r="A15" s="28"/>
      <c r="B15" s="34">
        <v>46013.0</v>
      </c>
      <c r="C15" s="35">
        <v>20.0</v>
      </c>
      <c r="D15" s="36">
        <f t="shared" ref="D15:D17" si="1">C5/100*C15</f>
        <v>3</v>
      </c>
      <c r="E15" s="36">
        <f t="shared" ref="E15:E17" si="2">D15*C7</f>
        <v>4.5</v>
      </c>
      <c r="F15" s="36">
        <v>40.0</v>
      </c>
      <c r="G15" s="37">
        <f t="shared" ref="G15:G17" si="3">F15-E15</f>
        <v>35.5</v>
      </c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</row>
    <row r="16">
      <c r="A16" s="28"/>
      <c r="B16" s="39"/>
      <c r="C16" s="35">
        <v>0.045</v>
      </c>
      <c r="D16" s="36">
        <f t="shared" si="1"/>
        <v>0.000585</v>
      </c>
      <c r="E16" s="36">
        <f t="shared" si="2"/>
        <v>0</v>
      </c>
      <c r="F16" s="36"/>
      <c r="G16" s="37">
        <f t="shared" si="3"/>
        <v>0</v>
      </c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</row>
    <row r="17">
      <c r="A17" s="28"/>
      <c r="B17" s="41"/>
      <c r="C17" s="42">
        <v>0.05</v>
      </c>
      <c r="D17" s="43">
        <f t="shared" si="1"/>
        <v>0.00075</v>
      </c>
      <c r="E17" s="43">
        <f t="shared" si="2"/>
        <v>0</v>
      </c>
      <c r="F17" s="43"/>
      <c r="G17" s="44">
        <f t="shared" si="3"/>
        <v>0</v>
      </c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</row>
    <row r="18">
      <c r="A18" s="45"/>
      <c r="B18" s="46" t="s">
        <v>13</v>
      </c>
      <c r="C18" s="47">
        <f t="shared" ref="C18:G18" si="4">C15+C16+C17</f>
        <v>20.095</v>
      </c>
      <c r="D18" s="48">
        <f t="shared" si="4"/>
        <v>3.001335</v>
      </c>
      <c r="E18" s="48">
        <f t="shared" si="4"/>
        <v>4.5</v>
      </c>
      <c r="F18" s="48">
        <f t="shared" si="4"/>
        <v>40</v>
      </c>
      <c r="G18" s="49">
        <f t="shared" si="4"/>
        <v>35.5</v>
      </c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</row>
    <row r="19">
      <c r="A19" s="50" t="s">
        <v>14</v>
      </c>
      <c r="B19" s="51" t="s">
        <v>6</v>
      </c>
      <c r="C19" s="52" t="s">
        <v>15</v>
      </c>
      <c r="D19" s="26"/>
      <c r="E19" s="53" t="s">
        <v>16</v>
      </c>
      <c r="F19" s="26"/>
      <c r="G19" s="54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</row>
    <row r="20">
      <c r="A20" s="28"/>
      <c r="B20" s="29"/>
      <c r="C20" s="55" t="s">
        <v>11</v>
      </c>
      <c r="D20" s="56" t="s">
        <v>12</v>
      </c>
      <c r="E20" s="56" t="s">
        <v>17</v>
      </c>
      <c r="F20" s="56" t="s">
        <v>18</v>
      </c>
      <c r="G20" s="37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</row>
    <row r="21">
      <c r="A21" s="28"/>
      <c r="B21" s="57">
        <v>46013.0</v>
      </c>
      <c r="C21" s="58">
        <v>100.0</v>
      </c>
      <c r="D21" s="59">
        <v>115.0</v>
      </c>
      <c r="E21" s="59">
        <v>100.0</v>
      </c>
      <c r="F21" s="59">
        <v>100.0</v>
      </c>
      <c r="G21" s="37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</row>
    <row r="22">
      <c r="A22" s="28"/>
      <c r="B22" s="60"/>
      <c r="C22" s="61"/>
      <c r="D22" s="62"/>
      <c r="E22" s="62"/>
      <c r="F22" s="62"/>
      <c r="G22" s="63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</row>
    <row r="23">
      <c r="A23" s="45"/>
      <c r="B23" s="64" t="s">
        <v>13</v>
      </c>
      <c r="C23" s="65">
        <f t="shared" ref="C23:F23" si="5">C21+C22</f>
        <v>100</v>
      </c>
      <c r="D23" s="65">
        <f t="shared" si="5"/>
        <v>115</v>
      </c>
      <c r="E23" s="65">
        <f t="shared" si="5"/>
        <v>100</v>
      </c>
      <c r="F23" s="65">
        <f t="shared" si="5"/>
        <v>100</v>
      </c>
      <c r="G23" s="66">
        <f>C23+D23+E23+F23</f>
        <v>415</v>
      </c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</row>
    <row r="24" ht="21.75" customHeight="1">
      <c r="A24" s="67" t="s">
        <v>19</v>
      </c>
      <c r="B24" s="68"/>
      <c r="C24" s="68"/>
      <c r="D24" s="68"/>
      <c r="E24" s="68"/>
      <c r="F24" s="69"/>
      <c r="G24" s="70">
        <f>G18-G23</f>
        <v>-379.5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</row>
    <row r="25">
      <c r="A25" s="11"/>
      <c r="B25" s="11"/>
      <c r="C25" s="11"/>
      <c r="D25" s="11"/>
      <c r="E25" s="71"/>
      <c r="F25" s="72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</row>
    <row r="26">
      <c r="A26" s="11"/>
      <c r="B26" s="11"/>
      <c r="C26" s="11"/>
      <c r="D26" s="11"/>
      <c r="E26" s="71"/>
      <c r="F26" s="72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</row>
    <row r="27">
      <c r="A27" s="11"/>
      <c r="B27" s="11"/>
      <c r="C27" s="11"/>
      <c r="D27" s="11"/>
      <c r="E27" s="71"/>
      <c r="F27" s="72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</row>
    <row r="28">
      <c r="A28" s="11"/>
      <c r="B28" s="11"/>
      <c r="C28" s="11"/>
      <c r="D28" s="11"/>
      <c r="E28" s="71"/>
      <c r="F28" s="72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</row>
    <row r="29">
      <c r="A29" s="11"/>
      <c r="B29" s="11"/>
      <c r="C29" s="11"/>
      <c r="D29" s="11"/>
      <c r="E29" s="71"/>
      <c r="F29" s="72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</row>
    <row r="30">
      <c r="A30" s="11"/>
      <c r="B30" s="11"/>
      <c r="C30" s="11"/>
      <c r="D30" s="11"/>
      <c r="E30" s="71"/>
      <c r="F30" s="72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</row>
    <row r="31">
      <c r="A31" s="11"/>
      <c r="B31" s="11"/>
      <c r="C31" s="11"/>
      <c r="D31" s="11"/>
      <c r="E31" s="71"/>
      <c r="F31" s="72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>
      <c r="A32" s="11"/>
      <c r="B32" s="11"/>
      <c r="C32" s="11"/>
      <c r="D32" s="11"/>
      <c r="E32" s="71"/>
      <c r="F32" s="72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>
      <c r="A33" s="11"/>
      <c r="B33" s="11"/>
      <c r="C33" s="11"/>
      <c r="D33" s="11"/>
      <c r="E33" s="71"/>
      <c r="F33" s="72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>
      <c r="A34" s="11"/>
      <c r="B34" s="11"/>
      <c r="C34" s="11"/>
      <c r="D34" s="11"/>
      <c r="E34" s="71"/>
      <c r="F34" s="72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>
      <c r="A35" s="11"/>
      <c r="B35" s="11"/>
      <c r="C35" s="11"/>
      <c r="D35" s="11"/>
      <c r="E35" s="71"/>
      <c r="F35" s="72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>
      <c r="A36" s="11"/>
      <c r="B36" s="11"/>
      <c r="C36" s="11"/>
      <c r="D36" s="11"/>
      <c r="E36" s="71"/>
      <c r="F36" s="72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</row>
    <row r="37">
      <c r="A37" s="11"/>
      <c r="B37" s="11"/>
      <c r="C37" s="11"/>
      <c r="D37" s="11"/>
      <c r="E37" s="71"/>
      <c r="F37" s="72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</row>
    <row r="38">
      <c r="A38" s="11"/>
      <c r="B38" s="11"/>
      <c r="C38" s="11"/>
      <c r="D38" s="11"/>
      <c r="E38" s="71"/>
      <c r="F38" s="72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</row>
    <row r="39">
      <c r="A39" s="11"/>
      <c r="B39" s="11"/>
      <c r="C39" s="11"/>
      <c r="D39" s="11"/>
      <c r="E39" s="71"/>
      <c r="F39" s="72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</row>
    <row r="40">
      <c r="A40" s="11"/>
      <c r="B40" s="11"/>
      <c r="C40" s="11"/>
      <c r="D40" s="11"/>
      <c r="E40" s="71"/>
      <c r="F40" s="72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</row>
    <row r="41">
      <c r="A41" s="11"/>
      <c r="B41" s="11"/>
      <c r="C41" s="11"/>
      <c r="D41" s="11"/>
      <c r="E41" s="71"/>
      <c r="F41" s="72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</row>
    <row r="42">
      <c r="A42" s="11"/>
      <c r="B42" s="11"/>
      <c r="C42" s="11"/>
      <c r="D42" s="11"/>
      <c r="E42" s="71"/>
      <c r="F42" s="72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</row>
    <row r="43">
      <c r="A43" s="11"/>
      <c r="B43" s="11"/>
      <c r="C43" s="11"/>
      <c r="D43" s="11"/>
      <c r="E43" s="71"/>
      <c r="F43" s="72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</row>
    <row r="44">
      <c r="A44" s="11"/>
      <c r="B44" s="11"/>
      <c r="C44" s="11"/>
      <c r="D44" s="11"/>
      <c r="E44" s="71"/>
      <c r="F44" s="72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</row>
    <row r="45">
      <c r="A45" s="11"/>
      <c r="B45" s="11"/>
      <c r="C45" s="11"/>
      <c r="D45" s="11"/>
      <c r="E45" s="71"/>
      <c r="F45" s="72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</row>
    <row r="46">
      <c r="A46" s="11"/>
      <c r="B46" s="11"/>
      <c r="C46" s="11"/>
      <c r="D46" s="11"/>
      <c r="E46" s="71"/>
      <c r="F46" s="72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</row>
    <row r="47">
      <c r="A47" s="11"/>
      <c r="B47" s="11"/>
      <c r="C47" s="11"/>
      <c r="D47" s="11"/>
      <c r="E47" s="71"/>
      <c r="F47" s="72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</row>
    <row r="48">
      <c r="A48" s="11"/>
      <c r="B48" s="11"/>
      <c r="C48" s="11"/>
      <c r="D48" s="11"/>
      <c r="E48" s="71"/>
      <c r="F48" s="72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</row>
    <row r="49">
      <c r="A49" s="11"/>
      <c r="B49" s="11"/>
      <c r="C49" s="11"/>
      <c r="D49" s="11"/>
      <c r="E49" s="71"/>
      <c r="F49" s="72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</row>
    <row r="50">
      <c r="A50" s="11"/>
      <c r="B50" s="11"/>
      <c r="C50" s="11"/>
      <c r="D50" s="11"/>
      <c r="E50" s="71"/>
      <c r="F50" s="72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</row>
    <row r="51">
      <c r="A51" s="11"/>
      <c r="B51" s="11"/>
      <c r="C51" s="11"/>
      <c r="D51" s="11"/>
      <c r="E51" s="71"/>
      <c r="F51" s="72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</row>
    <row r="52">
      <c r="A52" s="11"/>
      <c r="B52" s="11"/>
      <c r="C52" s="11"/>
      <c r="D52" s="11"/>
      <c r="E52" s="71"/>
      <c r="F52" s="72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</row>
    <row r="53">
      <c r="A53" s="11"/>
      <c r="B53" s="11"/>
      <c r="C53" s="11"/>
      <c r="D53" s="11"/>
      <c r="E53" s="71"/>
      <c r="F53" s="72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</row>
    <row r="54">
      <c r="A54" s="11"/>
      <c r="B54" s="11"/>
      <c r="C54" s="11"/>
      <c r="D54" s="11"/>
      <c r="E54" s="71"/>
      <c r="F54" s="72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</row>
    <row r="55">
      <c r="A55" s="11"/>
      <c r="B55" s="11"/>
      <c r="C55" s="11"/>
      <c r="D55" s="11"/>
      <c r="E55" s="71"/>
      <c r="F55" s="72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</row>
    <row r="56">
      <c r="A56" s="11"/>
      <c r="B56" s="11"/>
      <c r="C56" s="11"/>
      <c r="D56" s="11"/>
      <c r="E56" s="71"/>
      <c r="F56" s="72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</row>
    <row r="57">
      <c r="A57" s="11"/>
      <c r="B57" s="11"/>
      <c r="C57" s="11"/>
      <c r="D57" s="11"/>
      <c r="E57" s="71"/>
      <c r="F57" s="72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</row>
    <row r="58">
      <c r="A58" s="11"/>
      <c r="B58" s="11"/>
      <c r="C58" s="11"/>
      <c r="D58" s="11"/>
      <c r="E58" s="71"/>
      <c r="F58" s="72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</row>
    <row r="59">
      <c r="A59" s="11"/>
      <c r="B59" s="11"/>
      <c r="C59" s="11"/>
      <c r="D59" s="11"/>
      <c r="E59" s="71"/>
      <c r="F59" s="72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</row>
    <row r="60">
      <c r="A60" s="11"/>
      <c r="B60" s="11"/>
      <c r="C60" s="11"/>
      <c r="D60" s="11"/>
      <c r="E60" s="71"/>
      <c r="F60" s="72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</row>
    <row r="61">
      <c r="A61" s="11"/>
      <c r="B61" s="11"/>
      <c r="C61" s="11"/>
      <c r="D61" s="11"/>
      <c r="E61" s="71"/>
      <c r="F61" s="72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</row>
    <row r="62">
      <c r="A62" s="11"/>
      <c r="B62" s="11"/>
      <c r="C62" s="11"/>
      <c r="D62" s="11"/>
      <c r="E62" s="71"/>
      <c r="F62" s="72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</row>
    <row r="63">
      <c r="A63" s="11"/>
      <c r="B63" s="11"/>
      <c r="C63" s="11"/>
      <c r="D63" s="11"/>
      <c r="E63" s="71"/>
      <c r="F63" s="72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</row>
    <row r="64">
      <c r="A64" s="11"/>
      <c r="B64" s="11"/>
      <c r="C64" s="11"/>
      <c r="D64" s="11"/>
      <c r="E64" s="71"/>
      <c r="F64" s="72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</row>
    <row r="65">
      <c r="A65" s="11"/>
      <c r="B65" s="11"/>
      <c r="C65" s="11"/>
      <c r="D65" s="11"/>
      <c r="E65" s="71"/>
      <c r="F65" s="72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</row>
    <row r="66">
      <c r="A66" s="11"/>
      <c r="B66" s="11"/>
      <c r="C66" s="11"/>
      <c r="D66" s="11"/>
      <c r="E66" s="71"/>
      <c r="F66" s="72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</row>
    <row r="67">
      <c r="A67" s="11"/>
      <c r="B67" s="11"/>
      <c r="C67" s="11"/>
      <c r="D67" s="11"/>
      <c r="E67" s="71"/>
      <c r="F67" s="72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</row>
    <row r="68">
      <c r="A68" s="11"/>
      <c r="B68" s="11"/>
      <c r="C68" s="11"/>
      <c r="D68" s="11"/>
      <c r="E68" s="71"/>
      <c r="F68" s="72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</row>
    <row r="69">
      <c r="A69" s="11"/>
      <c r="B69" s="11"/>
      <c r="C69" s="11"/>
      <c r="D69" s="11"/>
      <c r="E69" s="71"/>
      <c r="F69" s="72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</row>
    <row r="70">
      <c r="A70" s="11"/>
      <c r="B70" s="11"/>
      <c r="C70" s="11"/>
      <c r="D70" s="11"/>
      <c r="E70" s="71"/>
      <c r="F70" s="72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</row>
    <row r="71">
      <c r="A71" s="11"/>
      <c r="B71" s="11"/>
      <c r="C71" s="11"/>
      <c r="D71" s="11"/>
      <c r="E71" s="71"/>
      <c r="F71" s="72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</row>
    <row r="72">
      <c r="A72" s="11"/>
      <c r="B72" s="11"/>
      <c r="C72" s="11"/>
      <c r="D72" s="11"/>
      <c r="E72" s="71"/>
      <c r="F72" s="72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</row>
    <row r="73">
      <c r="A73" s="11"/>
      <c r="B73" s="11"/>
      <c r="C73" s="11"/>
      <c r="D73" s="11"/>
      <c r="E73" s="71"/>
      <c r="F73" s="72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</row>
    <row r="74">
      <c r="A74" s="11"/>
      <c r="B74" s="11"/>
      <c r="C74" s="11"/>
      <c r="D74" s="11"/>
      <c r="E74" s="71"/>
      <c r="F74" s="72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</row>
    <row r="75">
      <c r="A75" s="11"/>
      <c r="B75" s="11"/>
      <c r="C75" s="11"/>
      <c r="D75" s="11"/>
      <c r="E75" s="71"/>
      <c r="F75" s="72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</row>
    <row r="76">
      <c r="A76" s="11"/>
      <c r="B76" s="11"/>
      <c r="C76" s="11"/>
      <c r="D76" s="11"/>
      <c r="E76" s="71"/>
      <c r="F76" s="72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</row>
    <row r="77">
      <c r="A77" s="11"/>
      <c r="B77" s="11"/>
      <c r="C77" s="11"/>
      <c r="D77" s="11"/>
      <c r="E77" s="71"/>
      <c r="F77" s="72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</row>
    <row r="78">
      <c r="A78" s="11"/>
      <c r="B78" s="11"/>
      <c r="C78" s="11"/>
      <c r="D78" s="11"/>
      <c r="E78" s="71"/>
      <c r="F78" s="72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</row>
    <row r="79">
      <c r="A79" s="11"/>
      <c r="B79" s="11"/>
      <c r="C79" s="11"/>
      <c r="D79" s="11"/>
      <c r="E79" s="71"/>
      <c r="F79" s="72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</row>
    <row r="80">
      <c r="A80" s="11"/>
      <c r="B80" s="11"/>
      <c r="C80" s="11"/>
      <c r="D80" s="11"/>
      <c r="E80" s="71"/>
      <c r="F80" s="72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</row>
    <row r="81">
      <c r="A81" s="11"/>
      <c r="B81" s="11"/>
      <c r="C81" s="11"/>
      <c r="D81" s="11"/>
      <c r="E81" s="71"/>
      <c r="F81" s="72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</row>
    <row r="82">
      <c r="A82" s="11"/>
      <c r="B82" s="11"/>
      <c r="C82" s="11"/>
      <c r="D82" s="11"/>
      <c r="E82" s="71"/>
      <c r="F82" s="72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</row>
    <row r="83">
      <c r="A83" s="11"/>
      <c r="B83" s="11"/>
      <c r="C83" s="11"/>
      <c r="D83" s="11"/>
      <c r="E83" s="71"/>
      <c r="F83" s="72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</row>
    <row r="84">
      <c r="A84" s="11"/>
      <c r="B84" s="11"/>
      <c r="C84" s="11"/>
      <c r="D84" s="11"/>
      <c r="E84" s="71"/>
      <c r="F84" s="72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</row>
    <row r="85">
      <c r="A85" s="11"/>
      <c r="B85" s="11"/>
      <c r="C85" s="11"/>
      <c r="D85" s="11"/>
      <c r="E85" s="71"/>
      <c r="F85" s="72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</row>
    <row r="86">
      <c r="A86" s="11"/>
      <c r="B86" s="11"/>
      <c r="C86" s="11"/>
      <c r="D86" s="11"/>
      <c r="E86" s="71"/>
      <c r="F86" s="72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</row>
    <row r="87">
      <c r="A87" s="11"/>
      <c r="B87" s="11"/>
      <c r="C87" s="11"/>
      <c r="D87" s="11"/>
      <c r="E87" s="71"/>
      <c r="F87" s="72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</row>
    <row r="88">
      <c r="A88" s="11"/>
      <c r="B88" s="11"/>
      <c r="C88" s="11"/>
      <c r="D88" s="11"/>
      <c r="E88" s="71"/>
      <c r="F88" s="72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</row>
    <row r="89">
      <c r="A89" s="11"/>
      <c r="B89" s="11"/>
      <c r="C89" s="11"/>
      <c r="D89" s="11"/>
      <c r="E89" s="71"/>
      <c r="F89" s="72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</row>
    <row r="90">
      <c r="A90" s="11"/>
      <c r="B90" s="11"/>
      <c r="C90" s="11"/>
      <c r="D90" s="11"/>
      <c r="E90" s="71"/>
      <c r="F90" s="72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</row>
    <row r="91">
      <c r="A91" s="11"/>
      <c r="B91" s="11"/>
      <c r="C91" s="11"/>
      <c r="D91" s="11"/>
      <c r="E91" s="71"/>
      <c r="F91" s="72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</row>
    <row r="92">
      <c r="A92" s="11"/>
      <c r="B92" s="11"/>
      <c r="C92" s="11"/>
      <c r="D92" s="11"/>
      <c r="E92" s="71"/>
      <c r="F92" s="72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</row>
    <row r="93">
      <c r="A93" s="11"/>
      <c r="B93" s="11"/>
      <c r="C93" s="11"/>
      <c r="D93" s="11"/>
      <c r="E93" s="71"/>
      <c r="F93" s="72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</row>
    <row r="94">
      <c r="A94" s="11"/>
      <c r="B94" s="11"/>
      <c r="C94" s="11"/>
      <c r="D94" s="11"/>
      <c r="E94" s="71"/>
      <c r="F94" s="72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</row>
    <row r="95">
      <c r="A95" s="11"/>
      <c r="B95" s="11"/>
      <c r="C95" s="11"/>
      <c r="D95" s="11"/>
      <c r="E95" s="71"/>
      <c r="F95" s="72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</row>
    <row r="96">
      <c r="A96" s="11"/>
      <c r="B96" s="11"/>
      <c r="C96" s="11"/>
      <c r="D96" s="11"/>
      <c r="E96" s="71"/>
      <c r="F96" s="72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</row>
    <row r="97">
      <c r="A97" s="11"/>
      <c r="B97" s="11"/>
      <c r="C97" s="11"/>
      <c r="D97" s="11"/>
      <c r="E97" s="71"/>
      <c r="F97" s="72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</row>
    <row r="98">
      <c r="A98" s="11"/>
      <c r="B98" s="11"/>
      <c r="C98" s="11"/>
      <c r="D98" s="11"/>
      <c r="E98" s="71"/>
      <c r="F98" s="72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</row>
    <row r="99">
      <c r="A99" s="11"/>
      <c r="B99" s="11"/>
      <c r="C99" s="11"/>
      <c r="D99" s="11"/>
      <c r="E99" s="71"/>
      <c r="F99" s="72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</row>
    <row r="100">
      <c r="A100" s="11"/>
      <c r="B100" s="11"/>
      <c r="C100" s="11"/>
      <c r="D100" s="11"/>
      <c r="E100" s="71"/>
      <c r="F100" s="72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</row>
    <row r="101">
      <c r="A101" s="11"/>
      <c r="B101" s="11"/>
      <c r="C101" s="11"/>
      <c r="D101" s="11"/>
      <c r="E101" s="71"/>
      <c r="F101" s="72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</row>
    <row r="102">
      <c r="A102" s="11"/>
      <c r="B102" s="11"/>
      <c r="C102" s="11"/>
      <c r="D102" s="11"/>
      <c r="E102" s="71"/>
      <c r="F102" s="72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</row>
    <row r="103">
      <c r="A103" s="11"/>
      <c r="B103" s="11"/>
      <c r="C103" s="11"/>
      <c r="D103" s="11"/>
      <c r="E103" s="71"/>
      <c r="F103" s="72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</row>
    <row r="104">
      <c r="A104" s="11"/>
      <c r="B104" s="11"/>
      <c r="C104" s="11"/>
      <c r="D104" s="11"/>
      <c r="E104" s="71"/>
      <c r="F104" s="72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</row>
    <row r="105">
      <c r="A105" s="11"/>
      <c r="B105" s="11"/>
      <c r="C105" s="11"/>
      <c r="D105" s="11"/>
      <c r="E105" s="71"/>
      <c r="F105" s="72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</row>
    <row r="106">
      <c r="A106" s="11"/>
      <c r="B106" s="11"/>
      <c r="C106" s="11"/>
      <c r="D106" s="11"/>
      <c r="E106" s="71"/>
      <c r="F106" s="72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</row>
    <row r="107">
      <c r="A107" s="11"/>
      <c r="B107" s="11"/>
      <c r="C107" s="11"/>
      <c r="D107" s="11"/>
      <c r="E107" s="71"/>
      <c r="F107" s="72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</row>
    <row r="108">
      <c r="A108" s="11"/>
      <c r="B108" s="11"/>
      <c r="C108" s="11"/>
      <c r="D108" s="11"/>
      <c r="E108" s="71"/>
      <c r="F108" s="72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</row>
    <row r="109">
      <c r="A109" s="11"/>
      <c r="B109" s="11"/>
      <c r="C109" s="11"/>
      <c r="D109" s="11"/>
      <c r="E109" s="71"/>
      <c r="F109" s="72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</row>
    <row r="110">
      <c r="A110" s="11"/>
      <c r="B110" s="11"/>
      <c r="C110" s="11"/>
      <c r="D110" s="11"/>
      <c r="E110" s="71"/>
      <c r="F110" s="72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</row>
    <row r="111">
      <c r="A111" s="11"/>
      <c r="B111" s="11"/>
      <c r="C111" s="11"/>
      <c r="D111" s="11"/>
      <c r="E111" s="71"/>
      <c r="F111" s="72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</row>
    <row r="112">
      <c r="A112" s="11"/>
      <c r="B112" s="11"/>
      <c r="C112" s="11"/>
      <c r="D112" s="11"/>
      <c r="E112" s="71"/>
      <c r="F112" s="72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</row>
    <row r="113">
      <c r="A113" s="11"/>
      <c r="B113" s="11"/>
      <c r="C113" s="11"/>
      <c r="D113" s="11"/>
      <c r="E113" s="71"/>
      <c r="F113" s="72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</row>
    <row r="114">
      <c r="A114" s="11"/>
      <c r="B114" s="11"/>
      <c r="C114" s="11"/>
      <c r="D114" s="11"/>
      <c r="E114" s="71"/>
      <c r="F114" s="72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</row>
    <row r="115">
      <c r="A115" s="11"/>
      <c r="B115" s="11"/>
      <c r="C115" s="11"/>
      <c r="D115" s="11"/>
      <c r="E115" s="71"/>
      <c r="F115" s="72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</row>
    <row r="116">
      <c r="A116" s="11"/>
      <c r="B116" s="11"/>
      <c r="C116" s="11"/>
      <c r="D116" s="11"/>
      <c r="E116" s="71"/>
      <c r="F116" s="72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</row>
    <row r="117">
      <c r="A117" s="11"/>
      <c r="B117" s="11"/>
      <c r="C117" s="11"/>
      <c r="D117" s="11"/>
      <c r="E117" s="71"/>
      <c r="F117" s="72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</row>
    <row r="118">
      <c r="A118" s="11"/>
      <c r="B118" s="11"/>
      <c r="C118" s="11"/>
      <c r="D118" s="11"/>
      <c r="E118" s="71"/>
      <c r="F118" s="72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</row>
    <row r="119">
      <c r="A119" s="11"/>
      <c r="B119" s="11"/>
      <c r="C119" s="11"/>
      <c r="D119" s="11"/>
      <c r="E119" s="71"/>
      <c r="F119" s="72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</row>
    <row r="120">
      <c r="A120" s="11"/>
      <c r="B120" s="11"/>
      <c r="C120" s="11"/>
      <c r="D120" s="11"/>
      <c r="E120" s="71"/>
      <c r="F120" s="72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</row>
    <row r="121">
      <c r="A121" s="11"/>
      <c r="B121" s="11"/>
      <c r="C121" s="11"/>
      <c r="D121" s="11"/>
      <c r="E121" s="71"/>
      <c r="F121" s="72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</row>
    <row r="122">
      <c r="A122" s="11"/>
      <c r="B122" s="11"/>
      <c r="C122" s="11"/>
      <c r="D122" s="11"/>
      <c r="E122" s="71"/>
      <c r="F122" s="72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</row>
    <row r="123">
      <c r="A123" s="11"/>
      <c r="B123" s="11"/>
      <c r="C123" s="11"/>
      <c r="D123" s="11"/>
      <c r="E123" s="71"/>
      <c r="F123" s="72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</row>
    <row r="124">
      <c r="A124" s="11"/>
      <c r="B124" s="11"/>
      <c r="C124" s="11"/>
      <c r="D124" s="11"/>
      <c r="E124" s="71"/>
      <c r="F124" s="72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</row>
    <row r="125">
      <c r="A125" s="11"/>
      <c r="B125" s="11"/>
      <c r="C125" s="11"/>
      <c r="D125" s="11"/>
      <c r="E125" s="71"/>
      <c r="F125" s="72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</row>
    <row r="126">
      <c r="A126" s="11"/>
      <c r="B126" s="11"/>
      <c r="C126" s="11"/>
      <c r="D126" s="11"/>
      <c r="E126" s="71"/>
      <c r="F126" s="72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</row>
    <row r="127">
      <c r="A127" s="11"/>
      <c r="B127" s="11"/>
      <c r="C127" s="11"/>
      <c r="D127" s="11"/>
      <c r="E127" s="71"/>
      <c r="F127" s="72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</row>
    <row r="128">
      <c r="A128" s="11"/>
      <c r="B128" s="11"/>
      <c r="C128" s="11"/>
      <c r="D128" s="11"/>
      <c r="E128" s="71"/>
      <c r="F128" s="72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</row>
    <row r="129">
      <c r="A129" s="11"/>
      <c r="B129" s="11"/>
      <c r="C129" s="11"/>
      <c r="D129" s="11"/>
      <c r="E129" s="71"/>
      <c r="F129" s="72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</row>
    <row r="130">
      <c r="A130" s="11"/>
      <c r="B130" s="11"/>
      <c r="C130" s="11"/>
      <c r="D130" s="11"/>
      <c r="E130" s="71"/>
      <c r="F130" s="72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</row>
    <row r="131">
      <c r="A131" s="11"/>
      <c r="B131" s="11"/>
      <c r="C131" s="11"/>
      <c r="D131" s="11"/>
      <c r="E131" s="71"/>
      <c r="F131" s="72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</row>
    <row r="132">
      <c r="A132" s="11"/>
      <c r="B132" s="11"/>
      <c r="C132" s="11"/>
      <c r="D132" s="11"/>
      <c r="E132" s="71"/>
      <c r="F132" s="72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</row>
    <row r="133">
      <c r="A133" s="11"/>
      <c r="B133" s="11"/>
      <c r="C133" s="11"/>
      <c r="D133" s="11"/>
      <c r="E133" s="71"/>
      <c r="F133" s="72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</row>
    <row r="134">
      <c r="A134" s="11"/>
      <c r="B134" s="11"/>
      <c r="C134" s="11"/>
      <c r="D134" s="11"/>
      <c r="E134" s="71"/>
      <c r="F134" s="72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</row>
    <row r="135">
      <c r="A135" s="11"/>
      <c r="B135" s="11"/>
      <c r="C135" s="11"/>
      <c r="D135" s="11"/>
      <c r="E135" s="71"/>
      <c r="F135" s="72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</row>
    <row r="136">
      <c r="A136" s="11"/>
      <c r="B136" s="11"/>
      <c r="C136" s="11"/>
      <c r="D136" s="11"/>
      <c r="E136" s="71"/>
      <c r="F136" s="72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</row>
    <row r="137">
      <c r="A137" s="11"/>
      <c r="B137" s="11"/>
      <c r="C137" s="11"/>
      <c r="D137" s="11"/>
      <c r="E137" s="71"/>
      <c r="F137" s="72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</row>
    <row r="138">
      <c r="A138" s="11"/>
      <c r="B138" s="11"/>
      <c r="C138" s="11"/>
      <c r="D138" s="11"/>
      <c r="E138" s="71"/>
      <c r="F138" s="72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</row>
    <row r="139">
      <c r="A139" s="11"/>
      <c r="B139" s="11"/>
      <c r="C139" s="11"/>
      <c r="D139" s="11"/>
      <c r="E139" s="71"/>
      <c r="F139" s="72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</row>
    <row r="140">
      <c r="A140" s="11"/>
      <c r="B140" s="11"/>
      <c r="C140" s="11"/>
      <c r="D140" s="11"/>
      <c r="E140" s="71"/>
      <c r="F140" s="72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</row>
    <row r="141">
      <c r="A141" s="11"/>
      <c r="B141" s="11"/>
      <c r="C141" s="11"/>
      <c r="D141" s="11"/>
      <c r="E141" s="71"/>
      <c r="F141" s="72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</row>
    <row r="142">
      <c r="A142" s="11"/>
      <c r="B142" s="11"/>
      <c r="C142" s="11"/>
      <c r="D142" s="11"/>
      <c r="E142" s="71"/>
      <c r="F142" s="72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</row>
    <row r="143">
      <c r="A143" s="11"/>
      <c r="B143" s="11"/>
      <c r="C143" s="11"/>
      <c r="D143" s="11"/>
      <c r="E143" s="71"/>
      <c r="F143" s="72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</row>
    <row r="144">
      <c r="A144" s="11"/>
      <c r="B144" s="11"/>
      <c r="C144" s="11"/>
      <c r="D144" s="11"/>
      <c r="E144" s="71"/>
      <c r="F144" s="72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</row>
    <row r="145">
      <c r="A145" s="11"/>
      <c r="B145" s="11"/>
      <c r="C145" s="11"/>
      <c r="D145" s="11"/>
      <c r="E145" s="71"/>
      <c r="F145" s="72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</row>
    <row r="146">
      <c r="A146" s="11"/>
      <c r="B146" s="11"/>
      <c r="C146" s="11"/>
      <c r="D146" s="11"/>
      <c r="E146" s="71"/>
      <c r="F146" s="72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</row>
    <row r="147">
      <c r="A147" s="11"/>
      <c r="B147" s="11"/>
      <c r="C147" s="11"/>
      <c r="D147" s="11"/>
      <c r="E147" s="71"/>
      <c r="F147" s="72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</row>
    <row r="148">
      <c r="A148" s="11"/>
      <c r="B148" s="11"/>
      <c r="C148" s="11"/>
      <c r="D148" s="11"/>
      <c r="E148" s="71"/>
      <c r="F148" s="72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</row>
    <row r="149">
      <c r="A149" s="11"/>
      <c r="B149" s="11"/>
      <c r="C149" s="11"/>
      <c r="D149" s="11"/>
      <c r="E149" s="71"/>
      <c r="F149" s="72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</row>
    <row r="150">
      <c r="A150" s="11"/>
      <c r="B150" s="11"/>
      <c r="C150" s="11"/>
      <c r="D150" s="11"/>
      <c r="E150" s="71"/>
      <c r="F150" s="72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</row>
    <row r="151">
      <c r="A151" s="11"/>
      <c r="B151" s="11"/>
      <c r="C151" s="11"/>
      <c r="D151" s="11"/>
      <c r="E151" s="71"/>
      <c r="F151" s="72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</row>
    <row r="152">
      <c r="A152" s="11"/>
      <c r="B152" s="11"/>
      <c r="C152" s="11"/>
      <c r="D152" s="11"/>
      <c r="E152" s="71"/>
      <c r="F152" s="72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</row>
    <row r="153">
      <c r="A153" s="11"/>
      <c r="B153" s="11"/>
      <c r="C153" s="11"/>
      <c r="D153" s="11"/>
      <c r="E153" s="71"/>
      <c r="F153" s="72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</row>
    <row r="154">
      <c r="A154" s="11"/>
      <c r="B154" s="11"/>
      <c r="C154" s="11"/>
      <c r="D154" s="11"/>
      <c r="E154" s="71"/>
      <c r="F154" s="72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</row>
    <row r="155">
      <c r="A155" s="11"/>
      <c r="B155" s="11"/>
      <c r="C155" s="11"/>
      <c r="D155" s="11"/>
      <c r="E155" s="71"/>
      <c r="F155" s="72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</row>
    <row r="156">
      <c r="A156" s="11"/>
      <c r="B156" s="11"/>
      <c r="C156" s="11"/>
      <c r="D156" s="11"/>
      <c r="E156" s="71"/>
      <c r="F156" s="72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</row>
    <row r="157">
      <c r="A157" s="11"/>
      <c r="B157" s="11"/>
      <c r="C157" s="11"/>
      <c r="D157" s="11"/>
      <c r="E157" s="71"/>
      <c r="F157" s="72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</row>
    <row r="158">
      <c r="A158" s="11"/>
      <c r="B158" s="11"/>
      <c r="C158" s="11"/>
      <c r="D158" s="11"/>
      <c r="E158" s="71"/>
      <c r="F158" s="72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</row>
    <row r="159">
      <c r="A159" s="11"/>
      <c r="B159" s="11"/>
      <c r="C159" s="11"/>
      <c r="D159" s="11"/>
      <c r="E159" s="71"/>
      <c r="F159" s="72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</row>
    <row r="160">
      <c r="A160" s="11"/>
      <c r="B160" s="11"/>
      <c r="C160" s="11"/>
      <c r="D160" s="11"/>
      <c r="E160" s="71"/>
      <c r="F160" s="72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</row>
    <row r="161">
      <c r="A161" s="11"/>
      <c r="B161" s="11"/>
      <c r="C161" s="11"/>
      <c r="D161" s="11"/>
      <c r="E161" s="71"/>
      <c r="F161" s="72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</row>
    <row r="162">
      <c r="A162" s="11"/>
      <c r="B162" s="11"/>
      <c r="C162" s="11"/>
      <c r="D162" s="11"/>
      <c r="E162" s="71"/>
      <c r="F162" s="72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</row>
    <row r="163">
      <c r="A163" s="11"/>
      <c r="B163" s="11"/>
      <c r="C163" s="11"/>
      <c r="D163" s="11"/>
      <c r="E163" s="71"/>
      <c r="F163" s="72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</row>
    <row r="164">
      <c r="A164" s="11"/>
      <c r="B164" s="11"/>
      <c r="C164" s="11"/>
      <c r="D164" s="11"/>
      <c r="E164" s="71"/>
      <c r="F164" s="72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</row>
    <row r="165">
      <c r="A165" s="11"/>
      <c r="B165" s="11"/>
      <c r="C165" s="11"/>
      <c r="D165" s="11"/>
      <c r="E165" s="71"/>
      <c r="F165" s="72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</row>
    <row r="166">
      <c r="A166" s="11"/>
      <c r="B166" s="11"/>
      <c r="C166" s="11"/>
      <c r="D166" s="11"/>
      <c r="E166" s="71"/>
      <c r="F166" s="72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</row>
    <row r="167">
      <c r="A167" s="11"/>
      <c r="B167" s="11"/>
      <c r="C167" s="11"/>
      <c r="D167" s="11"/>
      <c r="E167" s="71"/>
      <c r="F167" s="72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</row>
    <row r="168">
      <c r="A168" s="11"/>
      <c r="B168" s="11"/>
      <c r="C168" s="11"/>
      <c r="D168" s="11"/>
      <c r="E168" s="71"/>
      <c r="F168" s="72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</row>
    <row r="169">
      <c r="A169" s="11"/>
      <c r="B169" s="11"/>
      <c r="C169" s="11"/>
      <c r="D169" s="11"/>
      <c r="E169" s="71"/>
      <c r="F169" s="72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</row>
    <row r="170">
      <c r="A170" s="11"/>
      <c r="B170" s="11"/>
      <c r="C170" s="11"/>
      <c r="D170" s="11"/>
      <c r="E170" s="71"/>
      <c r="F170" s="72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</row>
    <row r="171">
      <c r="A171" s="11"/>
      <c r="B171" s="11"/>
      <c r="C171" s="11"/>
      <c r="D171" s="11"/>
      <c r="E171" s="71"/>
      <c r="F171" s="72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</row>
    <row r="172">
      <c r="A172" s="11"/>
      <c r="B172" s="11"/>
      <c r="C172" s="11"/>
      <c r="D172" s="11"/>
      <c r="E172" s="71"/>
      <c r="F172" s="72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</row>
    <row r="173">
      <c r="A173" s="11"/>
      <c r="B173" s="11"/>
      <c r="C173" s="11"/>
      <c r="D173" s="11"/>
      <c r="E173" s="71"/>
      <c r="F173" s="72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</row>
    <row r="174">
      <c r="A174" s="11"/>
      <c r="B174" s="11"/>
      <c r="C174" s="11"/>
      <c r="D174" s="11"/>
      <c r="E174" s="71"/>
      <c r="F174" s="72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</row>
    <row r="175">
      <c r="A175" s="11"/>
      <c r="B175" s="11"/>
      <c r="C175" s="11"/>
      <c r="D175" s="11"/>
      <c r="E175" s="71"/>
      <c r="F175" s="72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</row>
    <row r="176">
      <c r="A176" s="11"/>
      <c r="B176" s="11"/>
      <c r="C176" s="11"/>
      <c r="D176" s="11"/>
      <c r="E176" s="71"/>
      <c r="F176" s="72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</row>
    <row r="177">
      <c r="A177" s="11"/>
      <c r="B177" s="11"/>
      <c r="C177" s="11"/>
      <c r="D177" s="11"/>
      <c r="E177" s="71"/>
      <c r="F177" s="72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</row>
    <row r="178">
      <c r="A178" s="11"/>
      <c r="B178" s="11"/>
      <c r="C178" s="11"/>
      <c r="D178" s="11"/>
      <c r="E178" s="71"/>
      <c r="F178" s="72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</row>
    <row r="179">
      <c r="A179" s="11"/>
      <c r="B179" s="11"/>
      <c r="C179" s="11"/>
      <c r="D179" s="11"/>
      <c r="E179" s="71"/>
      <c r="F179" s="72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</row>
    <row r="180">
      <c r="A180" s="11"/>
      <c r="B180" s="11"/>
      <c r="C180" s="11"/>
      <c r="D180" s="11"/>
      <c r="E180" s="71"/>
      <c r="F180" s="72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</row>
    <row r="181">
      <c r="A181" s="11"/>
      <c r="B181" s="11"/>
      <c r="C181" s="11"/>
      <c r="D181" s="11"/>
      <c r="E181" s="71"/>
      <c r="F181" s="72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</row>
    <row r="182">
      <c r="A182" s="11"/>
      <c r="B182" s="11"/>
      <c r="C182" s="11"/>
      <c r="D182" s="11"/>
      <c r="E182" s="71"/>
      <c r="F182" s="72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</row>
    <row r="183">
      <c r="A183" s="11"/>
      <c r="B183" s="11"/>
      <c r="C183" s="11"/>
      <c r="D183" s="11"/>
      <c r="E183" s="71"/>
      <c r="F183" s="72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</row>
    <row r="184">
      <c r="A184" s="11"/>
      <c r="B184" s="11"/>
      <c r="C184" s="11"/>
      <c r="D184" s="11"/>
      <c r="E184" s="71"/>
      <c r="F184" s="72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</row>
    <row r="185">
      <c r="A185" s="11"/>
      <c r="B185" s="11"/>
      <c r="C185" s="11"/>
      <c r="D185" s="11"/>
      <c r="E185" s="71"/>
      <c r="F185" s="72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</row>
    <row r="186">
      <c r="A186" s="11"/>
      <c r="B186" s="11"/>
      <c r="C186" s="11"/>
      <c r="D186" s="11"/>
      <c r="E186" s="71"/>
      <c r="F186" s="72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</row>
    <row r="187">
      <c r="A187" s="11"/>
      <c r="B187" s="11"/>
      <c r="C187" s="11"/>
      <c r="D187" s="11"/>
      <c r="E187" s="71"/>
      <c r="F187" s="72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</row>
    <row r="188">
      <c r="A188" s="11"/>
      <c r="B188" s="11"/>
      <c r="C188" s="11"/>
      <c r="D188" s="11"/>
      <c r="E188" s="71"/>
      <c r="F188" s="72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</row>
    <row r="189">
      <c r="A189" s="11"/>
      <c r="B189" s="11"/>
      <c r="C189" s="11"/>
      <c r="D189" s="11"/>
      <c r="E189" s="71"/>
      <c r="F189" s="72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</row>
    <row r="190">
      <c r="A190" s="11"/>
      <c r="B190" s="11"/>
      <c r="C190" s="11"/>
      <c r="D190" s="11"/>
      <c r="E190" s="71"/>
      <c r="F190" s="72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</row>
    <row r="191">
      <c r="A191" s="11"/>
      <c r="B191" s="11"/>
      <c r="C191" s="11"/>
      <c r="D191" s="11"/>
      <c r="E191" s="71"/>
      <c r="F191" s="72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</row>
    <row r="192">
      <c r="A192" s="11"/>
      <c r="B192" s="11"/>
      <c r="C192" s="11"/>
      <c r="D192" s="11"/>
      <c r="E192" s="71"/>
      <c r="F192" s="72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</row>
    <row r="193">
      <c r="A193" s="11"/>
      <c r="B193" s="11"/>
      <c r="C193" s="11"/>
      <c r="D193" s="11"/>
      <c r="E193" s="71"/>
      <c r="F193" s="72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</row>
    <row r="194">
      <c r="A194" s="11"/>
      <c r="B194" s="11"/>
      <c r="C194" s="11"/>
      <c r="D194" s="11"/>
      <c r="E194" s="71"/>
      <c r="F194" s="72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</row>
    <row r="195">
      <c r="A195" s="11"/>
      <c r="B195" s="11"/>
      <c r="C195" s="11"/>
      <c r="D195" s="11"/>
      <c r="E195" s="71"/>
      <c r="F195" s="72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</row>
    <row r="196">
      <c r="A196" s="11"/>
      <c r="B196" s="11"/>
      <c r="C196" s="11"/>
      <c r="D196" s="11"/>
      <c r="E196" s="71"/>
      <c r="F196" s="72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</row>
    <row r="197">
      <c r="A197" s="11"/>
      <c r="B197" s="11"/>
      <c r="C197" s="11"/>
      <c r="D197" s="11"/>
      <c r="E197" s="71"/>
      <c r="F197" s="72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</row>
    <row r="198">
      <c r="A198" s="11"/>
      <c r="B198" s="11"/>
      <c r="C198" s="11"/>
      <c r="D198" s="11"/>
      <c r="E198" s="71"/>
      <c r="F198" s="72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</row>
    <row r="199">
      <c r="A199" s="11"/>
      <c r="B199" s="11"/>
      <c r="C199" s="11"/>
      <c r="D199" s="11"/>
      <c r="E199" s="71"/>
      <c r="F199" s="72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</row>
    <row r="200">
      <c r="A200" s="11"/>
      <c r="B200" s="11"/>
      <c r="C200" s="11"/>
      <c r="D200" s="11"/>
      <c r="E200" s="71"/>
      <c r="F200" s="72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</row>
    <row r="201">
      <c r="A201" s="11"/>
      <c r="B201" s="11"/>
      <c r="C201" s="11"/>
      <c r="D201" s="11"/>
      <c r="E201" s="71"/>
      <c r="F201" s="72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</row>
    <row r="202">
      <c r="A202" s="11"/>
      <c r="B202" s="11"/>
      <c r="C202" s="11"/>
      <c r="D202" s="11"/>
      <c r="E202" s="71"/>
      <c r="F202" s="72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</row>
    <row r="203">
      <c r="A203" s="11"/>
      <c r="B203" s="11"/>
      <c r="C203" s="11"/>
      <c r="D203" s="11"/>
      <c r="E203" s="71"/>
      <c r="F203" s="72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</row>
    <row r="204">
      <c r="A204" s="11"/>
      <c r="B204" s="11"/>
      <c r="C204" s="11"/>
      <c r="D204" s="11"/>
      <c r="E204" s="71"/>
      <c r="F204" s="72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</row>
    <row r="205">
      <c r="A205" s="11"/>
      <c r="B205" s="11"/>
      <c r="C205" s="11"/>
      <c r="D205" s="11"/>
      <c r="E205" s="71"/>
      <c r="F205" s="72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</row>
    <row r="206">
      <c r="A206" s="11"/>
      <c r="B206" s="11"/>
      <c r="C206" s="11"/>
      <c r="D206" s="11"/>
      <c r="E206" s="71"/>
      <c r="F206" s="72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</row>
    <row r="207">
      <c r="A207" s="11"/>
      <c r="B207" s="11"/>
      <c r="C207" s="11"/>
      <c r="D207" s="11"/>
      <c r="E207" s="71"/>
      <c r="F207" s="72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</row>
    <row r="208">
      <c r="A208" s="11"/>
      <c r="B208" s="11"/>
      <c r="C208" s="11"/>
      <c r="D208" s="11"/>
      <c r="E208" s="71"/>
      <c r="F208" s="72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</row>
    <row r="209">
      <c r="A209" s="11"/>
      <c r="B209" s="11"/>
      <c r="C209" s="11"/>
      <c r="D209" s="11"/>
      <c r="E209" s="71"/>
      <c r="F209" s="72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</row>
    <row r="210">
      <c r="A210" s="11"/>
      <c r="B210" s="11"/>
      <c r="C210" s="11"/>
      <c r="D210" s="11"/>
      <c r="E210" s="71"/>
      <c r="F210" s="72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</row>
    <row r="211">
      <c r="A211" s="11"/>
      <c r="B211" s="11"/>
      <c r="C211" s="11"/>
      <c r="D211" s="11"/>
      <c r="E211" s="71"/>
      <c r="F211" s="72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</row>
    <row r="212">
      <c r="A212" s="11"/>
      <c r="B212" s="11"/>
      <c r="C212" s="11"/>
      <c r="D212" s="11"/>
      <c r="E212" s="71"/>
      <c r="F212" s="72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</row>
    <row r="213">
      <c r="A213" s="11"/>
      <c r="B213" s="11"/>
      <c r="C213" s="11"/>
      <c r="D213" s="11"/>
      <c r="E213" s="71"/>
      <c r="F213" s="72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</row>
    <row r="214">
      <c r="A214" s="11"/>
      <c r="B214" s="11"/>
      <c r="C214" s="11"/>
      <c r="D214" s="11"/>
      <c r="E214" s="71"/>
      <c r="F214" s="72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</row>
    <row r="215">
      <c r="A215" s="11"/>
      <c r="B215" s="11"/>
      <c r="C215" s="11"/>
      <c r="D215" s="11"/>
      <c r="E215" s="71"/>
      <c r="F215" s="72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</row>
    <row r="216">
      <c r="A216" s="11"/>
      <c r="B216" s="11"/>
      <c r="C216" s="11"/>
      <c r="D216" s="11"/>
      <c r="E216" s="71"/>
      <c r="F216" s="72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</row>
    <row r="217">
      <c r="A217" s="11"/>
      <c r="B217" s="11"/>
      <c r="C217" s="11"/>
      <c r="D217" s="11"/>
      <c r="E217" s="71"/>
      <c r="F217" s="72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</row>
    <row r="218">
      <c r="A218" s="11"/>
      <c r="B218" s="11"/>
      <c r="C218" s="11"/>
      <c r="D218" s="11"/>
      <c r="E218" s="71"/>
      <c r="F218" s="72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</row>
    <row r="219">
      <c r="A219" s="11"/>
      <c r="B219" s="11"/>
      <c r="C219" s="11"/>
      <c r="D219" s="11"/>
      <c r="E219" s="71"/>
      <c r="F219" s="72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</row>
    <row r="220">
      <c r="A220" s="11"/>
      <c r="B220" s="11"/>
      <c r="C220" s="11"/>
      <c r="D220" s="11"/>
      <c r="E220" s="71"/>
      <c r="F220" s="72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</row>
    <row r="221">
      <c r="A221" s="11"/>
      <c r="B221" s="11"/>
      <c r="C221" s="11"/>
      <c r="D221" s="11"/>
      <c r="E221" s="71"/>
      <c r="F221" s="72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</row>
    <row r="222">
      <c r="A222" s="11"/>
      <c r="B222" s="11"/>
      <c r="C222" s="11"/>
      <c r="D222" s="11"/>
      <c r="E222" s="71"/>
      <c r="F222" s="72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</row>
    <row r="223">
      <c r="A223" s="11"/>
      <c r="B223" s="11"/>
      <c r="C223" s="11"/>
      <c r="D223" s="11"/>
      <c r="E223" s="71"/>
      <c r="F223" s="72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</row>
    <row r="224">
      <c r="A224" s="11"/>
      <c r="B224" s="11"/>
      <c r="C224" s="11"/>
      <c r="D224" s="11"/>
      <c r="E224" s="71"/>
      <c r="F224" s="72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</row>
    <row r="225">
      <c r="A225" s="11"/>
      <c r="B225" s="11"/>
      <c r="C225" s="11"/>
      <c r="D225" s="11"/>
      <c r="E225" s="71"/>
      <c r="F225" s="72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</row>
    <row r="226">
      <c r="A226" s="11"/>
      <c r="B226" s="11"/>
      <c r="C226" s="11"/>
      <c r="D226" s="11"/>
      <c r="E226" s="71"/>
      <c r="F226" s="72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</row>
    <row r="227">
      <c r="A227" s="11"/>
      <c r="B227" s="11"/>
      <c r="C227" s="11"/>
      <c r="D227" s="11"/>
      <c r="E227" s="71"/>
      <c r="F227" s="72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</row>
    <row r="228">
      <c r="A228" s="11"/>
      <c r="B228" s="11"/>
      <c r="C228" s="11"/>
      <c r="D228" s="11"/>
      <c r="E228" s="71"/>
      <c r="F228" s="72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</row>
    <row r="229">
      <c r="A229" s="11"/>
      <c r="B229" s="11"/>
      <c r="C229" s="11"/>
      <c r="D229" s="11"/>
      <c r="E229" s="71"/>
      <c r="F229" s="72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</row>
    <row r="230">
      <c r="A230" s="11"/>
      <c r="B230" s="11"/>
      <c r="C230" s="11"/>
      <c r="D230" s="11"/>
      <c r="E230" s="71"/>
      <c r="F230" s="72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</row>
    <row r="231">
      <c r="A231" s="11"/>
      <c r="B231" s="11"/>
      <c r="C231" s="11"/>
      <c r="D231" s="11"/>
      <c r="E231" s="71"/>
      <c r="F231" s="72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</row>
    <row r="232">
      <c r="A232" s="11"/>
      <c r="B232" s="11"/>
      <c r="C232" s="11"/>
      <c r="D232" s="11"/>
      <c r="E232" s="71"/>
      <c r="F232" s="72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</row>
    <row r="233">
      <c r="A233" s="11"/>
      <c r="B233" s="11"/>
      <c r="C233" s="11"/>
      <c r="D233" s="11"/>
      <c r="E233" s="71"/>
      <c r="F233" s="72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</row>
    <row r="234">
      <c r="A234" s="11"/>
      <c r="B234" s="11"/>
      <c r="C234" s="11"/>
      <c r="D234" s="11"/>
      <c r="E234" s="71"/>
      <c r="F234" s="72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</row>
    <row r="235">
      <c r="A235" s="11"/>
      <c r="B235" s="11"/>
      <c r="C235" s="11"/>
      <c r="D235" s="11"/>
      <c r="E235" s="71"/>
      <c r="F235" s="72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</row>
    <row r="236">
      <c r="A236" s="11"/>
      <c r="B236" s="11"/>
      <c r="C236" s="11"/>
      <c r="D236" s="11"/>
      <c r="E236" s="71"/>
      <c r="F236" s="72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</row>
    <row r="237">
      <c r="A237" s="11"/>
      <c r="B237" s="11"/>
      <c r="C237" s="11"/>
      <c r="D237" s="11"/>
      <c r="E237" s="71"/>
      <c r="F237" s="72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</row>
    <row r="238">
      <c r="A238" s="11"/>
      <c r="B238" s="11"/>
      <c r="C238" s="11"/>
      <c r="D238" s="11"/>
      <c r="E238" s="71"/>
      <c r="F238" s="72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</row>
    <row r="239">
      <c r="A239" s="11"/>
      <c r="B239" s="11"/>
      <c r="C239" s="11"/>
      <c r="D239" s="11"/>
      <c r="E239" s="71"/>
      <c r="F239" s="72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</row>
    <row r="240">
      <c r="A240" s="11"/>
      <c r="B240" s="11"/>
      <c r="C240" s="11"/>
      <c r="D240" s="11"/>
      <c r="E240" s="71"/>
      <c r="F240" s="72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</row>
    <row r="241">
      <c r="A241" s="11"/>
      <c r="B241" s="11"/>
      <c r="C241" s="11"/>
      <c r="D241" s="11"/>
      <c r="E241" s="71"/>
      <c r="F241" s="72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</row>
    <row r="242">
      <c r="A242" s="11"/>
      <c r="B242" s="11"/>
      <c r="C242" s="11"/>
      <c r="D242" s="11"/>
      <c r="E242" s="71"/>
      <c r="F242" s="72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</row>
    <row r="243">
      <c r="A243" s="11"/>
      <c r="B243" s="11"/>
      <c r="C243" s="11"/>
      <c r="D243" s="11"/>
      <c r="E243" s="71"/>
      <c r="F243" s="72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</row>
    <row r="244">
      <c r="A244" s="11"/>
      <c r="B244" s="11"/>
      <c r="C244" s="11"/>
      <c r="D244" s="11"/>
      <c r="E244" s="71"/>
      <c r="F244" s="72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</row>
    <row r="245">
      <c r="A245" s="11"/>
      <c r="B245" s="11"/>
      <c r="C245" s="11"/>
      <c r="D245" s="11"/>
      <c r="E245" s="71"/>
      <c r="F245" s="72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</row>
    <row r="246">
      <c r="A246" s="11"/>
      <c r="B246" s="11"/>
      <c r="C246" s="11"/>
      <c r="D246" s="11"/>
      <c r="E246" s="71"/>
      <c r="F246" s="72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</row>
    <row r="247">
      <c r="A247" s="11"/>
      <c r="B247" s="11"/>
      <c r="C247" s="11"/>
      <c r="D247" s="11"/>
      <c r="E247" s="71"/>
      <c r="F247" s="72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</row>
    <row r="248">
      <c r="A248" s="11"/>
      <c r="B248" s="11"/>
      <c r="C248" s="11"/>
      <c r="D248" s="11"/>
      <c r="E248" s="71"/>
      <c r="F248" s="72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</row>
    <row r="249">
      <c r="A249" s="11"/>
      <c r="B249" s="11"/>
      <c r="C249" s="11"/>
      <c r="D249" s="11"/>
      <c r="E249" s="71"/>
      <c r="F249" s="72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</row>
    <row r="250">
      <c r="A250" s="11"/>
      <c r="B250" s="11"/>
      <c r="C250" s="11"/>
      <c r="D250" s="11"/>
      <c r="E250" s="71"/>
      <c r="F250" s="72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</row>
    <row r="251">
      <c r="A251" s="11"/>
      <c r="B251" s="11"/>
      <c r="C251" s="11"/>
      <c r="D251" s="11"/>
      <c r="E251" s="71"/>
      <c r="F251" s="72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</row>
    <row r="252">
      <c r="A252" s="11"/>
      <c r="B252" s="11"/>
      <c r="C252" s="11"/>
      <c r="D252" s="11"/>
      <c r="E252" s="71"/>
      <c r="F252" s="72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</row>
    <row r="253">
      <c r="A253" s="11"/>
      <c r="B253" s="11"/>
      <c r="C253" s="11"/>
      <c r="D253" s="11"/>
      <c r="E253" s="71"/>
      <c r="F253" s="72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</row>
    <row r="254">
      <c r="A254" s="11"/>
      <c r="B254" s="11"/>
      <c r="C254" s="11"/>
      <c r="D254" s="11"/>
      <c r="E254" s="71"/>
      <c r="F254" s="72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</row>
    <row r="255">
      <c r="A255" s="11"/>
      <c r="B255" s="11"/>
      <c r="C255" s="11"/>
      <c r="D255" s="11"/>
      <c r="E255" s="71"/>
      <c r="F255" s="72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</row>
    <row r="256">
      <c r="A256" s="11"/>
      <c r="B256" s="11"/>
      <c r="C256" s="11"/>
      <c r="D256" s="11"/>
      <c r="E256" s="71"/>
      <c r="F256" s="72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</row>
    <row r="257">
      <c r="A257" s="11"/>
      <c r="B257" s="11"/>
      <c r="C257" s="11"/>
      <c r="D257" s="11"/>
      <c r="E257" s="71"/>
      <c r="F257" s="72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</row>
    <row r="258">
      <c r="A258" s="11"/>
      <c r="B258" s="11"/>
      <c r="C258" s="11"/>
      <c r="D258" s="11"/>
      <c r="E258" s="71"/>
      <c r="F258" s="72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</row>
    <row r="259">
      <c r="A259" s="11"/>
      <c r="B259" s="11"/>
      <c r="C259" s="11"/>
      <c r="D259" s="11"/>
      <c r="E259" s="71"/>
      <c r="F259" s="72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</row>
    <row r="260">
      <c r="A260" s="11"/>
      <c r="B260" s="11"/>
      <c r="C260" s="11"/>
      <c r="D260" s="11"/>
      <c r="E260" s="71"/>
      <c r="F260" s="72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</row>
    <row r="261">
      <c r="A261" s="11"/>
      <c r="B261" s="11"/>
      <c r="C261" s="11"/>
      <c r="D261" s="11"/>
      <c r="E261" s="71"/>
      <c r="F261" s="72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</row>
    <row r="262">
      <c r="A262" s="11"/>
      <c r="B262" s="11"/>
      <c r="C262" s="11"/>
      <c r="D262" s="11"/>
      <c r="E262" s="71"/>
      <c r="F262" s="72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</row>
    <row r="263">
      <c r="A263" s="11"/>
      <c r="B263" s="11"/>
      <c r="C263" s="11"/>
      <c r="D263" s="11"/>
      <c r="E263" s="71"/>
      <c r="F263" s="72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</row>
    <row r="264">
      <c r="A264" s="11"/>
      <c r="B264" s="11"/>
      <c r="C264" s="11"/>
      <c r="D264" s="11"/>
      <c r="E264" s="71"/>
      <c r="F264" s="72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</row>
    <row r="265">
      <c r="A265" s="11"/>
      <c r="B265" s="11"/>
      <c r="C265" s="11"/>
      <c r="D265" s="11"/>
      <c r="E265" s="71"/>
      <c r="F265" s="72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</row>
    <row r="266">
      <c r="A266" s="11"/>
      <c r="B266" s="11"/>
      <c r="C266" s="11"/>
      <c r="D266" s="11"/>
      <c r="E266" s="71"/>
      <c r="F266" s="72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</row>
    <row r="267">
      <c r="A267" s="11"/>
      <c r="B267" s="11"/>
      <c r="C267" s="11"/>
      <c r="D267" s="11"/>
      <c r="E267" s="71"/>
      <c r="F267" s="72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</row>
    <row r="268">
      <c r="A268" s="11"/>
      <c r="B268" s="11"/>
      <c r="C268" s="11"/>
      <c r="D268" s="11"/>
      <c r="E268" s="71"/>
      <c r="F268" s="72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</row>
    <row r="269">
      <c r="A269" s="11"/>
      <c r="B269" s="11"/>
      <c r="C269" s="11"/>
      <c r="D269" s="11"/>
      <c r="E269" s="71"/>
      <c r="F269" s="72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</row>
    <row r="270">
      <c r="A270" s="11"/>
      <c r="B270" s="11"/>
      <c r="C270" s="11"/>
      <c r="D270" s="11"/>
      <c r="E270" s="71"/>
      <c r="F270" s="72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</row>
    <row r="271">
      <c r="A271" s="11"/>
      <c r="B271" s="11"/>
      <c r="C271" s="11"/>
      <c r="D271" s="11"/>
      <c r="E271" s="71"/>
      <c r="F271" s="72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</row>
    <row r="272">
      <c r="A272" s="11"/>
      <c r="B272" s="11"/>
      <c r="C272" s="11"/>
      <c r="D272" s="11"/>
      <c r="E272" s="71"/>
      <c r="F272" s="72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</row>
    <row r="273">
      <c r="A273" s="11"/>
      <c r="B273" s="11"/>
      <c r="C273" s="11"/>
      <c r="D273" s="11"/>
      <c r="E273" s="71"/>
      <c r="F273" s="72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</row>
    <row r="274">
      <c r="A274" s="11"/>
      <c r="B274" s="11"/>
      <c r="C274" s="11"/>
      <c r="D274" s="11"/>
      <c r="E274" s="71"/>
      <c r="F274" s="72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</row>
    <row r="275">
      <c r="A275" s="11"/>
      <c r="B275" s="11"/>
      <c r="C275" s="11"/>
      <c r="D275" s="11"/>
      <c r="E275" s="71"/>
      <c r="F275" s="72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</row>
    <row r="276">
      <c r="A276" s="11"/>
      <c r="B276" s="11"/>
      <c r="C276" s="11"/>
      <c r="D276" s="11"/>
      <c r="E276" s="71"/>
      <c r="F276" s="72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</row>
    <row r="277">
      <c r="A277" s="11"/>
      <c r="B277" s="11"/>
      <c r="C277" s="11"/>
      <c r="D277" s="11"/>
      <c r="E277" s="71"/>
      <c r="F277" s="72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</row>
    <row r="278">
      <c r="A278" s="11"/>
      <c r="B278" s="11"/>
      <c r="C278" s="11"/>
      <c r="D278" s="11"/>
      <c r="E278" s="71"/>
      <c r="F278" s="72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</row>
    <row r="279">
      <c r="A279" s="11"/>
      <c r="B279" s="11"/>
      <c r="C279" s="11"/>
      <c r="D279" s="11"/>
      <c r="E279" s="71"/>
      <c r="F279" s="72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</row>
    <row r="280">
      <c r="A280" s="11"/>
      <c r="B280" s="11"/>
      <c r="C280" s="11"/>
      <c r="D280" s="11"/>
      <c r="E280" s="71"/>
      <c r="F280" s="72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</row>
    <row r="281">
      <c r="A281" s="11"/>
      <c r="B281" s="11"/>
      <c r="C281" s="11"/>
      <c r="D281" s="11"/>
      <c r="E281" s="71"/>
      <c r="F281" s="72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</row>
    <row r="282">
      <c r="A282" s="11"/>
      <c r="B282" s="11"/>
      <c r="C282" s="11"/>
      <c r="D282" s="11"/>
      <c r="E282" s="71"/>
      <c r="F282" s="72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</row>
    <row r="283">
      <c r="A283" s="11"/>
      <c r="B283" s="11"/>
      <c r="C283" s="11"/>
      <c r="D283" s="11"/>
      <c r="E283" s="71"/>
      <c r="F283" s="72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</row>
    <row r="284">
      <c r="A284" s="11"/>
      <c r="B284" s="11"/>
      <c r="C284" s="11"/>
      <c r="D284" s="11"/>
      <c r="E284" s="71"/>
      <c r="F284" s="72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</row>
    <row r="285">
      <c r="A285" s="11"/>
      <c r="B285" s="11"/>
      <c r="C285" s="11"/>
      <c r="D285" s="11"/>
      <c r="E285" s="71"/>
      <c r="F285" s="72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</row>
    <row r="286">
      <c r="A286" s="11"/>
      <c r="B286" s="11"/>
      <c r="C286" s="11"/>
      <c r="D286" s="11"/>
      <c r="E286" s="71"/>
      <c r="F286" s="72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</row>
    <row r="287">
      <c r="A287" s="11"/>
      <c r="B287" s="11"/>
      <c r="C287" s="11"/>
      <c r="D287" s="11"/>
      <c r="E287" s="71"/>
      <c r="F287" s="72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</row>
    <row r="288">
      <c r="A288" s="11"/>
      <c r="B288" s="11"/>
      <c r="C288" s="11"/>
      <c r="D288" s="11"/>
      <c r="E288" s="71"/>
      <c r="F288" s="72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</row>
    <row r="289">
      <c r="A289" s="11"/>
      <c r="B289" s="11"/>
      <c r="C289" s="11"/>
      <c r="D289" s="11"/>
      <c r="E289" s="71"/>
      <c r="F289" s="72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</row>
    <row r="290">
      <c r="A290" s="11"/>
      <c r="B290" s="11"/>
      <c r="C290" s="11"/>
      <c r="D290" s="11"/>
      <c r="E290" s="71"/>
      <c r="F290" s="72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</row>
    <row r="291">
      <c r="A291" s="11"/>
      <c r="B291" s="11"/>
      <c r="C291" s="11"/>
      <c r="D291" s="11"/>
      <c r="E291" s="71"/>
      <c r="F291" s="72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</row>
    <row r="292">
      <c r="A292" s="11"/>
      <c r="B292" s="11"/>
      <c r="C292" s="11"/>
      <c r="D292" s="11"/>
      <c r="E292" s="71"/>
      <c r="F292" s="72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</row>
    <row r="293">
      <c r="A293" s="11"/>
      <c r="B293" s="11"/>
      <c r="C293" s="11"/>
      <c r="D293" s="11"/>
      <c r="E293" s="71"/>
      <c r="F293" s="72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</row>
    <row r="294">
      <c r="A294" s="11"/>
      <c r="B294" s="11"/>
      <c r="C294" s="11"/>
      <c r="D294" s="11"/>
      <c r="E294" s="71"/>
      <c r="F294" s="72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</row>
    <row r="295">
      <c r="A295" s="11"/>
      <c r="B295" s="11"/>
      <c r="C295" s="11"/>
      <c r="D295" s="11"/>
      <c r="E295" s="71"/>
      <c r="F295" s="72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</row>
    <row r="296">
      <c r="A296" s="11"/>
      <c r="B296" s="11"/>
      <c r="C296" s="11"/>
      <c r="D296" s="11"/>
      <c r="E296" s="71"/>
      <c r="F296" s="72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</row>
    <row r="297">
      <c r="A297" s="11"/>
      <c r="B297" s="11"/>
      <c r="C297" s="11"/>
      <c r="D297" s="11"/>
      <c r="E297" s="71"/>
      <c r="F297" s="72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</row>
    <row r="298">
      <c r="A298" s="11"/>
      <c r="B298" s="11"/>
      <c r="C298" s="11"/>
      <c r="D298" s="11"/>
      <c r="E298" s="71"/>
      <c r="F298" s="72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</row>
    <row r="299">
      <c r="A299" s="11"/>
      <c r="B299" s="11"/>
      <c r="C299" s="11"/>
      <c r="D299" s="11"/>
      <c r="E299" s="71"/>
      <c r="F299" s="72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</row>
    <row r="300">
      <c r="A300" s="11"/>
      <c r="B300" s="11"/>
      <c r="C300" s="11"/>
      <c r="D300" s="11"/>
      <c r="E300" s="71"/>
      <c r="F300" s="72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</row>
    <row r="301">
      <c r="A301" s="11"/>
      <c r="B301" s="11"/>
      <c r="C301" s="11"/>
      <c r="D301" s="11"/>
      <c r="E301" s="71"/>
      <c r="F301" s="72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</row>
    <row r="302">
      <c r="A302" s="11"/>
      <c r="B302" s="11"/>
      <c r="C302" s="11"/>
      <c r="D302" s="11"/>
      <c r="E302" s="71"/>
      <c r="F302" s="72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</row>
    <row r="303">
      <c r="A303" s="11"/>
      <c r="B303" s="11"/>
      <c r="C303" s="11"/>
      <c r="D303" s="11"/>
      <c r="E303" s="71"/>
      <c r="F303" s="72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</row>
    <row r="304">
      <c r="A304" s="11"/>
      <c r="B304" s="11"/>
      <c r="C304" s="11"/>
      <c r="D304" s="11"/>
      <c r="E304" s="71"/>
      <c r="F304" s="72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</row>
    <row r="305">
      <c r="A305" s="11"/>
      <c r="B305" s="11"/>
      <c r="C305" s="11"/>
      <c r="D305" s="11"/>
      <c r="E305" s="71"/>
      <c r="F305" s="72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</row>
    <row r="306">
      <c r="A306" s="11"/>
      <c r="B306" s="11"/>
      <c r="C306" s="11"/>
      <c r="D306" s="11"/>
      <c r="E306" s="71"/>
      <c r="F306" s="72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</row>
    <row r="307">
      <c r="A307" s="11"/>
      <c r="B307" s="11"/>
      <c r="C307" s="11"/>
      <c r="D307" s="11"/>
      <c r="E307" s="71"/>
      <c r="F307" s="72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</row>
    <row r="308">
      <c r="A308" s="11"/>
      <c r="B308" s="11"/>
      <c r="C308" s="11"/>
      <c r="D308" s="11"/>
      <c r="E308" s="71"/>
      <c r="F308" s="72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</row>
    <row r="309">
      <c r="A309" s="11"/>
      <c r="B309" s="11"/>
      <c r="C309" s="11"/>
      <c r="D309" s="11"/>
      <c r="E309" s="71"/>
      <c r="F309" s="72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</row>
    <row r="310">
      <c r="A310" s="11"/>
      <c r="B310" s="11"/>
      <c r="C310" s="11"/>
      <c r="D310" s="11"/>
      <c r="E310" s="71"/>
      <c r="F310" s="72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</row>
    <row r="311">
      <c r="A311" s="11"/>
      <c r="B311" s="11"/>
      <c r="C311" s="11"/>
      <c r="D311" s="11"/>
      <c r="E311" s="71"/>
      <c r="F311" s="72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</row>
    <row r="312">
      <c r="A312" s="11"/>
      <c r="B312" s="11"/>
      <c r="C312" s="11"/>
      <c r="D312" s="11"/>
      <c r="E312" s="71"/>
      <c r="F312" s="72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</row>
    <row r="313">
      <c r="A313" s="11"/>
      <c r="B313" s="11"/>
      <c r="C313" s="11"/>
      <c r="D313" s="11"/>
      <c r="E313" s="71"/>
      <c r="F313" s="72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</row>
    <row r="314">
      <c r="A314" s="11"/>
      <c r="B314" s="11"/>
      <c r="C314" s="11"/>
      <c r="D314" s="11"/>
      <c r="E314" s="71"/>
      <c r="F314" s="72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</row>
    <row r="315">
      <c r="A315" s="11"/>
      <c r="B315" s="11"/>
      <c r="C315" s="11"/>
      <c r="D315" s="11"/>
      <c r="E315" s="71"/>
      <c r="F315" s="72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</row>
    <row r="316">
      <c r="A316" s="11"/>
      <c r="B316" s="11"/>
      <c r="C316" s="11"/>
      <c r="D316" s="11"/>
      <c r="E316" s="71"/>
      <c r="F316" s="72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</row>
    <row r="317">
      <c r="A317" s="11"/>
      <c r="B317" s="11"/>
      <c r="C317" s="11"/>
      <c r="D317" s="11"/>
      <c r="E317" s="71"/>
      <c r="F317" s="72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</row>
    <row r="318">
      <c r="A318" s="11"/>
      <c r="B318" s="11"/>
      <c r="C318" s="11"/>
      <c r="D318" s="11"/>
      <c r="E318" s="71"/>
      <c r="F318" s="72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</row>
    <row r="319">
      <c r="A319" s="11"/>
      <c r="B319" s="11"/>
      <c r="C319" s="11"/>
      <c r="D319" s="11"/>
      <c r="E319" s="71"/>
      <c r="F319" s="72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</row>
    <row r="320">
      <c r="A320" s="11"/>
      <c r="B320" s="11"/>
      <c r="C320" s="11"/>
      <c r="D320" s="11"/>
      <c r="E320" s="71"/>
      <c r="F320" s="72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</row>
    <row r="321">
      <c r="A321" s="11"/>
      <c r="B321" s="11"/>
      <c r="C321" s="11"/>
      <c r="D321" s="11"/>
      <c r="E321" s="71"/>
      <c r="F321" s="72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</row>
    <row r="322">
      <c r="A322" s="11"/>
      <c r="B322" s="11"/>
      <c r="C322" s="11"/>
      <c r="D322" s="11"/>
      <c r="E322" s="71"/>
      <c r="F322" s="72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</row>
    <row r="323">
      <c r="A323" s="11"/>
      <c r="B323" s="11"/>
      <c r="C323" s="11"/>
      <c r="D323" s="11"/>
      <c r="E323" s="71"/>
      <c r="F323" s="72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</row>
    <row r="324">
      <c r="A324" s="11"/>
      <c r="B324" s="11"/>
      <c r="C324" s="11"/>
      <c r="D324" s="11"/>
      <c r="E324" s="71"/>
      <c r="F324" s="72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</row>
    <row r="325">
      <c r="A325" s="11"/>
      <c r="B325" s="11"/>
      <c r="C325" s="11"/>
      <c r="D325" s="11"/>
      <c r="E325" s="71"/>
      <c r="F325" s="72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</row>
    <row r="326">
      <c r="A326" s="11"/>
      <c r="B326" s="11"/>
      <c r="C326" s="11"/>
      <c r="D326" s="11"/>
      <c r="E326" s="71"/>
      <c r="F326" s="72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</row>
    <row r="327">
      <c r="A327" s="11"/>
      <c r="B327" s="11"/>
      <c r="C327" s="11"/>
      <c r="D327" s="11"/>
      <c r="E327" s="71"/>
      <c r="F327" s="72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</row>
    <row r="328">
      <c r="A328" s="11"/>
      <c r="B328" s="11"/>
      <c r="C328" s="11"/>
      <c r="D328" s="11"/>
      <c r="E328" s="71"/>
      <c r="F328" s="72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</row>
    <row r="329">
      <c r="A329" s="11"/>
      <c r="B329" s="11"/>
      <c r="C329" s="11"/>
      <c r="D329" s="11"/>
      <c r="E329" s="71"/>
      <c r="F329" s="72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</row>
    <row r="330">
      <c r="A330" s="11"/>
      <c r="B330" s="11"/>
      <c r="C330" s="11"/>
      <c r="D330" s="11"/>
      <c r="E330" s="71"/>
      <c r="F330" s="72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</row>
    <row r="331">
      <c r="A331" s="11"/>
      <c r="B331" s="11"/>
      <c r="C331" s="11"/>
      <c r="D331" s="11"/>
      <c r="E331" s="71"/>
      <c r="F331" s="72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</row>
    <row r="332">
      <c r="A332" s="11"/>
      <c r="B332" s="11"/>
      <c r="C332" s="11"/>
      <c r="D332" s="11"/>
      <c r="E332" s="71"/>
      <c r="F332" s="72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</row>
    <row r="333">
      <c r="A333" s="11"/>
      <c r="B333" s="11"/>
      <c r="C333" s="11"/>
      <c r="D333" s="11"/>
      <c r="E333" s="71"/>
      <c r="F333" s="72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</row>
    <row r="334">
      <c r="A334" s="11"/>
      <c r="B334" s="11"/>
      <c r="C334" s="11"/>
      <c r="D334" s="11"/>
      <c r="E334" s="71"/>
      <c r="F334" s="72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</row>
    <row r="335">
      <c r="A335" s="11"/>
      <c r="B335" s="11"/>
      <c r="C335" s="11"/>
      <c r="D335" s="11"/>
      <c r="E335" s="71"/>
      <c r="F335" s="72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</row>
    <row r="336">
      <c r="A336" s="11"/>
      <c r="B336" s="11"/>
      <c r="C336" s="11"/>
      <c r="D336" s="11"/>
      <c r="E336" s="71"/>
      <c r="F336" s="72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</row>
    <row r="337">
      <c r="A337" s="11"/>
      <c r="B337" s="11"/>
      <c r="C337" s="11"/>
      <c r="D337" s="11"/>
      <c r="E337" s="71"/>
      <c r="F337" s="72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</row>
    <row r="338">
      <c r="A338" s="11"/>
      <c r="B338" s="11"/>
      <c r="C338" s="11"/>
      <c r="D338" s="11"/>
      <c r="E338" s="71"/>
      <c r="F338" s="72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</row>
    <row r="339">
      <c r="A339" s="11"/>
      <c r="B339" s="11"/>
      <c r="C339" s="11"/>
      <c r="D339" s="11"/>
      <c r="E339" s="71"/>
      <c r="F339" s="72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</row>
    <row r="340">
      <c r="A340" s="11"/>
      <c r="B340" s="11"/>
      <c r="C340" s="11"/>
      <c r="D340" s="11"/>
      <c r="E340" s="71"/>
      <c r="F340" s="72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</row>
    <row r="341">
      <c r="A341" s="11"/>
      <c r="B341" s="11"/>
      <c r="C341" s="11"/>
      <c r="D341" s="11"/>
      <c r="E341" s="71"/>
      <c r="F341" s="72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</row>
    <row r="342">
      <c r="A342" s="11"/>
      <c r="B342" s="11"/>
      <c r="C342" s="11"/>
      <c r="D342" s="11"/>
      <c r="E342" s="71"/>
      <c r="F342" s="72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</row>
    <row r="343">
      <c r="A343" s="11"/>
      <c r="B343" s="11"/>
      <c r="C343" s="11"/>
      <c r="D343" s="11"/>
      <c r="E343" s="71"/>
      <c r="F343" s="72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</row>
    <row r="344">
      <c r="A344" s="11"/>
      <c r="B344" s="11"/>
      <c r="C344" s="11"/>
      <c r="D344" s="11"/>
      <c r="E344" s="71"/>
      <c r="F344" s="72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</row>
    <row r="345">
      <c r="A345" s="11"/>
      <c r="B345" s="11"/>
      <c r="C345" s="11"/>
      <c r="D345" s="11"/>
      <c r="E345" s="71"/>
      <c r="F345" s="72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</row>
    <row r="346">
      <c r="A346" s="11"/>
      <c r="B346" s="11"/>
      <c r="C346" s="11"/>
      <c r="D346" s="11"/>
      <c r="E346" s="71"/>
      <c r="F346" s="72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</row>
    <row r="347">
      <c r="A347" s="11"/>
      <c r="B347" s="11"/>
      <c r="C347" s="11"/>
      <c r="D347" s="11"/>
      <c r="E347" s="71"/>
      <c r="F347" s="72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</row>
    <row r="348">
      <c r="A348" s="11"/>
      <c r="B348" s="11"/>
      <c r="C348" s="11"/>
      <c r="D348" s="11"/>
      <c r="E348" s="71"/>
      <c r="F348" s="72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</row>
    <row r="349">
      <c r="A349" s="11"/>
      <c r="B349" s="11"/>
      <c r="C349" s="11"/>
      <c r="D349" s="11"/>
      <c r="E349" s="71"/>
      <c r="F349" s="72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</row>
    <row r="350">
      <c r="A350" s="11"/>
      <c r="B350" s="11"/>
      <c r="C350" s="11"/>
      <c r="D350" s="11"/>
      <c r="E350" s="71"/>
      <c r="F350" s="72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</row>
    <row r="351">
      <c r="A351" s="11"/>
      <c r="B351" s="11"/>
      <c r="C351" s="11"/>
      <c r="D351" s="11"/>
      <c r="E351" s="71"/>
      <c r="F351" s="72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</row>
    <row r="352">
      <c r="A352" s="11"/>
      <c r="B352" s="11"/>
      <c r="C352" s="11"/>
      <c r="D352" s="11"/>
      <c r="E352" s="71"/>
      <c r="F352" s="72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</row>
    <row r="353">
      <c r="A353" s="11"/>
      <c r="B353" s="11"/>
      <c r="C353" s="11"/>
      <c r="D353" s="11"/>
      <c r="E353" s="71"/>
      <c r="F353" s="72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</row>
    <row r="354">
      <c r="A354" s="11"/>
      <c r="B354" s="11"/>
      <c r="C354" s="11"/>
      <c r="D354" s="11"/>
      <c r="E354" s="71"/>
      <c r="F354" s="72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</row>
    <row r="355">
      <c r="A355" s="11"/>
      <c r="B355" s="11"/>
      <c r="C355" s="11"/>
      <c r="D355" s="11"/>
      <c r="E355" s="71"/>
      <c r="F355" s="72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</row>
    <row r="356">
      <c r="A356" s="11"/>
      <c r="B356" s="11"/>
      <c r="C356" s="11"/>
      <c r="D356" s="11"/>
      <c r="E356" s="71"/>
      <c r="F356" s="72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</row>
    <row r="357">
      <c r="A357" s="11"/>
      <c r="B357" s="11"/>
      <c r="C357" s="11"/>
      <c r="D357" s="11"/>
      <c r="E357" s="71"/>
      <c r="F357" s="72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</row>
    <row r="358">
      <c r="A358" s="11"/>
      <c r="B358" s="11"/>
      <c r="C358" s="11"/>
      <c r="D358" s="11"/>
      <c r="E358" s="71"/>
      <c r="F358" s="72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</row>
    <row r="359">
      <c r="A359" s="11"/>
      <c r="B359" s="11"/>
      <c r="C359" s="11"/>
      <c r="D359" s="11"/>
      <c r="E359" s="71"/>
      <c r="F359" s="72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</row>
    <row r="360">
      <c r="A360" s="11"/>
      <c r="B360" s="11"/>
      <c r="C360" s="11"/>
      <c r="D360" s="11"/>
      <c r="E360" s="71"/>
      <c r="F360" s="72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</row>
    <row r="361">
      <c r="A361" s="11"/>
      <c r="B361" s="11"/>
      <c r="C361" s="11"/>
      <c r="D361" s="11"/>
      <c r="E361" s="71"/>
      <c r="F361" s="72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</row>
    <row r="362">
      <c r="A362" s="11"/>
      <c r="B362" s="11"/>
      <c r="C362" s="11"/>
      <c r="D362" s="11"/>
      <c r="E362" s="71"/>
      <c r="F362" s="72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</row>
    <row r="363">
      <c r="A363" s="11"/>
      <c r="B363" s="11"/>
      <c r="C363" s="11"/>
      <c r="D363" s="11"/>
      <c r="E363" s="71"/>
      <c r="F363" s="72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</row>
    <row r="364">
      <c r="A364" s="11"/>
      <c r="B364" s="11"/>
      <c r="C364" s="11"/>
      <c r="D364" s="11"/>
      <c r="E364" s="71"/>
      <c r="F364" s="72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</row>
    <row r="365">
      <c r="A365" s="11"/>
      <c r="B365" s="11"/>
      <c r="C365" s="11"/>
      <c r="D365" s="11"/>
      <c r="E365" s="71"/>
      <c r="F365" s="72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</row>
    <row r="366">
      <c r="A366" s="11"/>
      <c r="B366" s="11"/>
      <c r="C366" s="11"/>
      <c r="D366" s="11"/>
      <c r="E366" s="71"/>
      <c r="F366" s="72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</row>
    <row r="367">
      <c r="A367" s="11"/>
      <c r="B367" s="11"/>
      <c r="C367" s="11"/>
      <c r="D367" s="11"/>
      <c r="E367" s="71"/>
      <c r="F367" s="72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</row>
    <row r="368">
      <c r="A368" s="11"/>
      <c r="B368" s="11"/>
      <c r="C368" s="11"/>
      <c r="D368" s="11"/>
      <c r="E368" s="71"/>
      <c r="F368" s="72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</row>
    <row r="369">
      <c r="A369" s="11"/>
      <c r="B369" s="11"/>
      <c r="C369" s="11"/>
      <c r="D369" s="11"/>
      <c r="E369" s="71"/>
      <c r="F369" s="72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</row>
    <row r="370">
      <c r="A370" s="11"/>
      <c r="B370" s="11"/>
      <c r="C370" s="11"/>
      <c r="D370" s="11"/>
      <c r="E370" s="71"/>
      <c r="F370" s="72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</row>
    <row r="371">
      <c r="A371" s="11"/>
      <c r="B371" s="11"/>
      <c r="C371" s="11"/>
      <c r="D371" s="11"/>
      <c r="E371" s="71"/>
      <c r="F371" s="72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</row>
    <row r="372">
      <c r="A372" s="11"/>
      <c r="B372" s="11"/>
      <c r="C372" s="11"/>
      <c r="D372" s="11"/>
      <c r="E372" s="71"/>
      <c r="F372" s="72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</row>
    <row r="373">
      <c r="A373" s="11"/>
      <c r="B373" s="11"/>
      <c r="C373" s="11"/>
      <c r="D373" s="11"/>
      <c r="E373" s="71"/>
      <c r="F373" s="72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</row>
    <row r="374">
      <c r="A374" s="11"/>
      <c r="B374" s="11"/>
      <c r="C374" s="11"/>
      <c r="D374" s="11"/>
      <c r="E374" s="71"/>
      <c r="F374" s="72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</row>
    <row r="375">
      <c r="A375" s="11"/>
      <c r="B375" s="11"/>
      <c r="C375" s="11"/>
      <c r="D375" s="11"/>
      <c r="E375" s="71"/>
      <c r="F375" s="72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</row>
    <row r="376">
      <c r="A376" s="11"/>
      <c r="B376" s="11"/>
      <c r="C376" s="11"/>
      <c r="D376" s="11"/>
      <c r="E376" s="71"/>
      <c r="F376" s="72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</row>
    <row r="377">
      <c r="A377" s="11"/>
      <c r="B377" s="11"/>
      <c r="C377" s="11"/>
      <c r="D377" s="11"/>
      <c r="E377" s="71"/>
      <c r="F377" s="72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</row>
    <row r="378">
      <c r="A378" s="11"/>
      <c r="B378" s="11"/>
      <c r="C378" s="11"/>
      <c r="D378" s="11"/>
      <c r="E378" s="71"/>
      <c r="F378" s="72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</row>
    <row r="379">
      <c r="A379" s="11"/>
      <c r="B379" s="11"/>
      <c r="C379" s="11"/>
      <c r="D379" s="11"/>
      <c r="E379" s="71"/>
      <c r="F379" s="72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</row>
    <row r="380">
      <c r="A380" s="11"/>
      <c r="B380" s="11"/>
      <c r="C380" s="11"/>
      <c r="D380" s="11"/>
      <c r="E380" s="71"/>
      <c r="F380" s="72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</row>
    <row r="381">
      <c r="A381" s="11"/>
      <c r="B381" s="11"/>
      <c r="C381" s="11"/>
      <c r="D381" s="11"/>
      <c r="E381" s="71"/>
      <c r="F381" s="72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</row>
    <row r="382">
      <c r="A382" s="11"/>
      <c r="B382" s="11"/>
      <c r="C382" s="11"/>
      <c r="D382" s="11"/>
      <c r="E382" s="71"/>
      <c r="F382" s="72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</row>
    <row r="383">
      <c r="A383" s="11"/>
      <c r="B383" s="11"/>
      <c r="C383" s="11"/>
      <c r="D383" s="11"/>
      <c r="E383" s="71"/>
      <c r="F383" s="72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</row>
    <row r="384">
      <c r="A384" s="11"/>
      <c r="B384" s="11"/>
      <c r="C384" s="11"/>
      <c r="D384" s="11"/>
      <c r="E384" s="71"/>
      <c r="F384" s="72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</row>
    <row r="385">
      <c r="A385" s="11"/>
      <c r="B385" s="11"/>
      <c r="C385" s="11"/>
      <c r="D385" s="11"/>
      <c r="E385" s="71"/>
      <c r="F385" s="72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</row>
    <row r="386">
      <c r="A386" s="11"/>
      <c r="B386" s="11"/>
      <c r="C386" s="11"/>
      <c r="D386" s="11"/>
      <c r="E386" s="71"/>
      <c r="F386" s="72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</row>
    <row r="387">
      <c r="A387" s="11"/>
      <c r="B387" s="11"/>
      <c r="C387" s="11"/>
      <c r="D387" s="11"/>
      <c r="E387" s="71"/>
      <c r="F387" s="72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</row>
    <row r="388">
      <c r="A388" s="11"/>
      <c r="B388" s="11"/>
      <c r="C388" s="11"/>
      <c r="D388" s="11"/>
      <c r="E388" s="71"/>
      <c r="F388" s="72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</row>
    <row r="389">
      <c r="A389" s="11"/>
      <c r="B389" s="11"/>
      <c r="C389" s="11"/>
      <c r="D389" s="11"/>
      <c r="E389" s="71"/>
      <c r="F389" s="72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</row>
    <row r="390">
      <c r="A390" s="11"/>
      <c r="B390" s="11"/>
      <c r="C390" s="11"/>
      <c r="D390" s="11"/>
      <c r="E390" s="71"/>
      <c r="F390" s="72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</row>
    <row r="391">
      <c r="A391" s="11"/>
      <c r="B391" s="11"/>
      <c r="C391" s="11"/>
      <c r="D391" s="11"/>
      <c r="E391" s="71"/>
      <c r="F391" s="72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</row>
    <row r="392">
      <c r="A392" s="11"/>
      <c r="B392" s="11"/>
      <c r="C392" s="11"/>
      <c r="D392" s="11"/>
      <c r="E392" s="71"/>
      <c r="F392" s="72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</row>
    <row r="393">
      <c r="A393" s="11"/>
      <c r="B393" s="11"/>
      <c r="C393" s="11"/>
      <c r="D393" s="11"/>
      <c r="E393" s="71"/>
      <c r="F393" s="72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</row>
    <row r="394">
      <c r="A394" s="11"/>
      <c r="B394" s="11"/>
      <c r="C394" s="11"/>
      <c r="D394" s="11"/>
      <c r="E394" s="71"/>
      <c r="F394" s="72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</row>
    <row r="395">
      <c r="A395" s="11"/>
      <c r="B395" s="11"/>
      <c r="C395" s="11"/>
      <c r="D395" s="11"/>
      <c r="E395" s="71"/>
      <c r="F395" s="72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</row>
    <row r="396">
      <c r="A396" s="11"/>
      <c r="B396" s="11"/>
      <c r="C396" s="11"/>
      <c r="D396" s="11"/>
      <c r="E396" s="71"/>
      <c r="F396" s="72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</row>
    <row r="397">
      <c r="A397" s="11"/>
      <c r="B397" s="11"/>
      <c r="C397" s="11"/>
      <c r="D397" s="11"/>
      <c r="E397" s="71"/>
      <c r="F397" s="72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</row>
    <row r="398">
      <c r="A398" s="11"/>
      <c r="B398" s="11"/>
      <c r="C398" s="11"/>
      <c r="D398" s="11"/>
      <c r="E398" s="71"/>
      <c r="F398" s="72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</row>
    <row r="399">
      <c r="A399" s="11"/>
      <c r="B399" s="11"/>
      <c r="C399" s="11"/>
      <c r="D399" s="11"/>
      <c r="E399" s="71"/>
      <c r="F399" s="72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</row>
    <row r="400">
      <c r="A400" s="11"/>
      <c r="B400" s="11"/>
      <c r="C400" s="11"/>
      <c r="D400" s="11"/>
      <c r="E400" s="71"/>
      <c r="F400" s="72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</row>
    <row r="401">
      <c r="A401" s="11"/>
      <c r="B401" s="11"/>
      <c r="C401" s="11"/>
      <c r="D401" s="11"/>
      <c r="E401" s="71"/>
      <c r="F401" s="72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</row>
    <row r="402">
      <c r="A402" s="11"/>
      <c r="B402" s="11"/>
      <c r="C402" s="11"/>
      <c r="D402" s="11"/>
      <c r="E402" s="71"/>
      <c r="F402" s="72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</row>
    <row r="403">
      <c r="A403" s="11"/>
      <c r="B403" s="11"/>
      <c r="C403" s="11"/>
      <c r="D403" s="11"/>
      <c r="E403" s="71"/>
      <c r="F403" s="72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</row>
    <row r="404">
      <c r="A404" s="11"/>
      <c r="B404" s="11"/>
      <c r="C404" s="11"/>
      <c r="D404" s="11"/>
      <c r="E404" s="71"/>
      <c r="F404" s="72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</row>
    <row r="405">
      <c r="A405" s="11"/>
      <c r="B405" s="11"/>
      <c r="C405" s="11"/>
      <c r="D405" s="11"/>
      <c r="E405" s="71"/>
      <c r="F405" s="72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</row>
    <row r="406">
      <c r="A406" s="11"/>
      <c r="B406" s="11"/>
      <c r="C406" s="11"/>
      <c r="D406" s="11"/>
      <c r="E406" s="71"/>
      <c r="F406" s="72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</row>
    <row r="407">
      <c r="A407" s="11"/>
      <c r="B407" s="11"/>
      <c r="C407" s="11"/>
      <c r="D407" s="11"/>
      <c r="E407" s="71"/>
      <c r="F407" s="72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</row>
    <row r="408">
      <c r="A408" s="11"/>
      <c r="B408" s="11"/>
      <c r="C408" s="11"/>
      <c r="D408" s="11"/>
      <c r="E408" s="71"/>
      <c r="F408" s="72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</row>
    <row r="409">
      <c r="A409" s="11"/>
      <c r="B409" s="11"/>
      <c r="C409" s="11"/>
      <c r="D409" s="11"/>
      <c r="E409" s="71"/>
      <c r="F409" s="72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</row>
    <row r="410">
      <c r="A410" s="11"/>
      <c r="B410" s="11"/>
      <c r="C410" s="11"/>
      <c r="D410" s="11"/>
      <c r="E410" s="71"/>
      <c r="F410" s="72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</row>
    <row r="411">
      <c r="A411" s="11"/>
      <c r="B411" s="11"/>
      <c r="C411" s="11"/>
      <c r="D411" s="11"/>
      <c r="E411" s="71"/>
      <c r="F411" s="72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</row>
    <row r="412">
      <c r="A412" s="11"/>
      <c r="B412" s="11"/>
      <c r="C412" s="11"/>
      <c r="D412" s="11"/>
      <c r="E412" s="71"/>
      <c r="F412" s="72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</row>
    <row r="413">
      <c r="A413" s="11"/>
      <c r="B413" s="11"/>
      <c r="C413" s="11"/>
      <c r="D413" s="11"/>
      <c r="E413" s="71"/>
      <c r="F413" s="72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</row>
    <row r="414">
      <c r="A414" s="11"/>
      <c r="B414" s="11"/>
      <c r="C414" s="11"/>
      <c r="D414" s="11"/>
      <c r="E414" s="71"/>
      <c r="F414" s="72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</row>
    <row r="415">
      <c r="A415" s="11"/>
      <c r="B415" s="11"/>
      <c r="C415" s="11"/>
      <c r="D415" s="11"/>
      <c r="E415" s="71"/>
      <c r="F415" s="72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</row>
    <row r="416">
      <c r="A416" s="11"/>
      <c r="B416" s="11"/>
      <c r="C416" s="11"/>
      <c r="D416" s="11"/>
      <c r="E416" s="71"/>
      <c r="F416" s="72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</row>
    <row r="417">
      <c r="A417" s="11"/>
      <c r="B417" s="11"/>
      <c r="C417" s="11"/>
      <c r="D417" s="11"/>
      <c r="E417" s="71"/>
      <c r="F417" s="72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</row>
    <row r="418">
      <c r="A418" s="11"/>
      <c r="B418" s="11"/>
      <c r="C418" s="11"/>
      <c r="D418" s="11"/>
      <c r="E418" s="71"/>
      <c r="F418" s="72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</row>
    <row r="419">
      <c r="A419" s="11"/>
      <c r="B419" s="11"/>
      <c r="C419" s="11"/>
      <c r="D419" s="11"/>
      <c r="E419" s="71"/>
      <c r="F419" s="72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</row>
    <row r="420">
      <c r="A420" s="11"/>
      <c r="B420" s="11"/>
      <c r="C420" s="11"/>
      <c r="D420" s="11"/>
      <c r="E420" s="71"/>
      <c r="F420" s="72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</row>
    <row r="421">
      <c r="A421" s="11"/>
      <c r="B421" s="11"/>
      <c r="C421" s="11"/>
      <c r="D421" s="11"/>
      <c r="E421" s="71"/>
      <c r="F421" s="72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</row>
    <row r="422">
      <c r="A422" s="11"/>
      <c r="B422" s="11"/>
      <c r="C422" s="11"/>
      <c r="D422" s="11"/>
      <c r="E422" s="71"/>
      <c r="F422" s="72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</row>
    <row r="423">
      <c r="A423" s="11"/>
      <c r="B423" s="11"/>
      <c r="C423" s="11"/>
      <c r="D423" s="11"/>
      <c r="E423" s="71"/>
      <c r="F423" s="72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</row>
    <row r="424">
      <c r="A424" s="11"/>
      <c r="B424" s="11"/>
      <c r="C424" s="11"/>
      <c r="D424" s="11"/>
      <c r="E424" s="71"/>
      <c r="F424" s="72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</row>
    <row r="425">
      <c r="A425" s="11"/>
      <c r="B425" s="11"/>
      <c r="C425" s="11"/>
      <c r="D425" s="11"/>
      <c r="E425" s="71"/>
      <c r="F425" s="72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</row>
    <row r="426">
      <c r="A426" s="11"/>
      <c r="B426" s="11"/>
      <c r="C426" s="11"/>
      <c r="D426" s="11"/>
      <c r="E426" s="71"/>
      <c r="F426" s="72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</row>
    <row r="427">
      <c r="A427" s="11"/>
      <c r="B427" s="11"/>
      <c r="C427" s="11"/>
      <c r="D427" s="11"/>
      <c r="E427" s="71"/>
      <c r="F427" s="72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</row>
    <row r="428">
      <c r="A428" s="11"/>
      <c r="B428" s="11"/>
      <c r="C428" s="11"/>
      <c r="D428" s="11"/>
      <c r="E428" s="71"/>
      <c r="F428" s="72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</row>
    <row r="429">
      <c r="A429" s="11"/>
      <c r="B429" s="11"/>
      <c r="C429" s="11"/>
      <c r="D429" s="11"/>
      <c r="E429" s="71"/>
      <c r="F429" s="72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</row>
    <row r="430">
      <c r="A430" s="11"/>
      <c r="B430" s="11"/>
      <c r="C430" s="11"/>
      <c r="D430" s="11"/>
      <c r="E430" s="71"/>
      <c r="F430" s="72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</row>
    <row r="431">
      <c r="A431" s="11"/>
      <c r="B431" s="11"/>
      <c r="C431" s="11"/>
      <c r="D431" s="11"/>
      <c r="E431" s="71"/>
      <c r="F431" s="72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</row>
    <row r="432">
      <c r="A432" s="11"/>
      <c r="B432" s="11"/>
      <c r="C432" s="11"/>
      <c r="D432" s="11"/>
      <c r="E432" s="71"/>
      <c r="F432" s="72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</row>
    <row r="433">
      <c r="A433" s="11"/>
      <c r="B433" s="11"/>
      <c r="C433" s="11"/>
      <c r="D433" s="11"/>
      <c r="E433" s="71"/>
      <c r="F433" s="72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</row>
    <row r="434">
      <c r="A434" s="11"/>
      <c r="B434" s="11"/>
      <c r="C434" s="11"/>
      <c r="D434" s="11"/>
      <c r="E434" s="71"/>
      <c r="F434" s="72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</row>
    <row r="435">
      <c r="A435" s="11"/>
      <c r="B435" s="11"/>
      <c r="C435" s="11"/>
      <c r="D435" s="11"/>
      <c r="E435" s="71"/>
      <c r="F435" s="72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</row>
    <row r="436">
      <c r="A436" s="11"/>
      <c r="B436" s="11"/>
      <c r="C436" s="11"/>
      <c r="D436" s="11"/>
      <c r="E436" s="71"/>
      <c r="F436" s="72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</row>
    <row r="437">
      <c r="A437" s="11"/>
      <c r="B437" s="11"/>
      <c r="C437" s="11"/>
      <c r="D437" s="11"/>
      <c r="E437" s="71"/>
      <c r="F437" s="72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</row>
    <row r="438">
      <c r="A438" s="11"/>
      <c r="B438" s="11"/>
      <c r="C438" s="11"/>
      <c r="D438" s="11"/>
      <c r="E438" s="71"/>
      <c r="F438" s="72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</row>
    <row r="439">
      <c r="A439" s="11"/>
      <c r="B439" s="11"/>
      <c r="C439" s="11"/>
      <c r="D439" s="11"/>
      <c r="E439" s="71"/>
      <c r="F439" s="72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</row>
    <row r="440">
      <c r="A440" s="11"/>
      <c r="B440" s="11"/>
      <c r="C440" s="11"/>
      <c r="D440" s="11"/>
      <c r="E440" s="71"/>
      <c r="F440" s="72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</row>
    <row r="441">
      <c r="A441" s="11"/>
      <c r="B441" s="11"/>
      <c r="C441" s="11"/>
      <c r="D441" s="11"/>
      <c r="E441" s="71"/>
      <c r="F441" s="72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</row>
    <row r="442">
      <c r="A442" s="11"/>
      <c r="B442" s="11"/>
      <c r="C442" s="11"/>
      <c r="D442" s="11"/>
      <c r="E442" s="71"/>
      <c r="F442" s="72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</row>
    <row r="443">
      <c r="A443" s="11"/>
      <c r="B443" s="11"/>
      <c r="C443" s="11"/>
      <c r="D443" s="11"/>
      <c r="E443" s="71"/>
      <c r="F443" s="72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</row>
    <row r="444">
      <c r="A444" s="11"/>
      <c r="B444" s="11"/>
      <c r="C444" s="11"/>
      <c r="D444" s="11"/>
      <c r="E444" s="71"/>
      <c r="F444" s="72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</row>
    <row r="445">
      <c r="A445" s="11"/>
      <c r="B445" s="11"/>
      <c r="C445" s="11"/>
      <c r="D445" s="11"/>
      <c r="E445" s="71"/>
      <c r="F445" s="72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</row>
    <row r="446">
      <c r="A446" s="11"/>
      <c r="B446" s="11"/>
      <c r="C446" s="11"/>
      <c r="D446" s="11"/>
      <c r="E446" s="71"/>
      <c r="F446" s="72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</row>
    <row r="447">
      <c r="A447" s="11"/>
      <c r="B447" s="11"/>
      <c r="C447" s="11"/>
      <c r="D447" s="11"/>
      <c r="E447" s="71"/>
      <c r="F447" s="72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</row>
    <row r="448">
      <c r="A448" s="11"/>
      <c r="B448" s="11"/>
      <c r="C448" s="11"/>
      <c r="D448" s="11"/>
      <c r="E448" s="71"/>
      <c r="F448" s="72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</row>
    <row r="449">
      <c r="A449" s="11"/>
      <c r="B449" s="11"/>
      <c r="C449" s="11"/>
      <c r="D449" s="11"/>
      <c r="E449" s="71"/>
      <c r="F449" s="72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</row>
    <row r="450">
      <c r="A450" s="11"/>
      <c r="B450" s="11"/>
      <c r="C450" s="11"/>
      <c r="D450" s="11"/>
      <c r="E450" s="71"/>
      <c r="F450" s="72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</row>
    <row r="451">
      <c r="A451" s="11"/>
      <c r="B451" s="11"/>
      <c r="C451" s="11"/>
      <c r="D451" s="11"/>
      <c r="E451" s="71"/>
      <c r="F451" s="72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</row>
    <row r="452">
      <c r="A452" s="11"/>
      <c r="B452" s="11"/>
      <c r="C452" s="11"/>
      <c r="D452" s="11"/>
      <c r="E452" s="71"/>
      <c r="F452" s="72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</row>
    <row r="453">
      <c r="A453" s="11"/>
      <c r="B453" s="11"/>
      <c r="C453" s="11"/>
      <c r="D453" s="11"/>
      <c r="E453" s="71"/>
      <c r="F453" s="72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</row>
    <row r="454">
      <c r="A454" s="11"/>
      <c r="B454" s="11"/>
      <c r="C454" s="11"/>
      <c r="D454" s="11"/>
      <c r="E454" s="71"/>
      <c r="F454" s="72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</row>
    <row r="455">
      <c r="A455" s="11"/>
      <c r="B455" s="11"/>
      <c r="C455" s="11"/>
      <c r="D455" s="11"/>
      <c r="E455" s="71"/>
      <c r="F455" s="72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</row>
    <row r="456">
      <c r="A456" s="11"/>
      <c r="B456" s="11"/>
      <c r="C456" s="11"/>
      <c r="D456" s="11"/>
      <c r="E456" s="71"/>
      <c r="F456" s="72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</row>
    <row r="457">
      <c r="A457" s="11"/>
      <c r="B457" s="11"/>
      <c r="C457" s="11"/>
      <c r="D457" s="11"/>
      <c r="E457" s="71"/>
      <c r="F457" s="72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</row>
    <row r="458">
      <c r="A458" s="11"/>
      <c r="B458" s="11"/>
      <c r="C458" s="11"/>
      <c r="D458" s="11"/>
      <c r="E458" s="71"/>
      <c r="F458" s="72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</row>
    <row r="459">
      <c r="A459" s="11"/>
      <c r="B459" s="11"/>
      <c r="C459" s="11"/>
      <c r="D459" s="11"/>
      <c r="E459" s="71"/>
      <c r="F459" s="72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</row>
    <row r="460">
      <c r="A460" s="11"/>
      <c r="B460" s="11"/>
      <c r="C460" s="11"/>
      <c r="D460" s="11"/>
      <c r="E460" s="71"/>
      <c r="F460" s="72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</row>
    <row r="461">
      <c r="A461" s="11"/>
      <c r="B461" s="11"/>
      <c r="C461" s="11"/>
      <c r="D461" s="11"/>
      <c r="E461" s="71"/>
      <c r="F461" s="72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</row>
    <row r="462">
      <c r="A462" s="11"/>
      <c r="B462" s="11"/>
      <c r="C462" s="11"/>
      <c r="D462" s="11"/>
      <c r="E462" s="71"/>
      <c r="F462" s="72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</row>
    <row r="463">
      <c r="A463" s="11"/>
      <c r="B463" s="11"/>
      <c r="C463" s="11"/>
      <c r="D463" s="11"/>
      <c r="E463" s="71"/>
      <c r="F463" s="72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</row>
    <row r="464">
      <c r="A464" s="11"/>
      <c r="B464" s="11"/>
      <c r="C464" s="11"/>
      <c r="D464" s="11"/>
      <c r="E464" s="71"/>
      <c r="F464" s="72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</row>
    <row r="465">
      <c r="A465" s="11"/>
      <c r="B465" s="11"/>
      <c r="C465" s="11"/>
      <c r="D465" s="11"/>
      <c r="E465" s="71"/>
      <c r="F465" s="72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</row>
    <row r="466">
      <c r="A466" s="11"/>
      <c r="B466" s="11"/>
      <c r="C466" s="11"/>
      <c r="D466" s="11"/>
      <c r="E466" s="71"/>
      <c r="F466" s="72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</row>
    <row r="467">
      <c r="A467" s="11"/>
      <c r="B467" s="11"/>
      <c r="C467" s="11"/>
      <c r="D467" s="11"/>
      <c r="E467" s="71"/>
      <c r="F467" s="72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</row>
    <row r="468">
      <c r="A468" s="11"/>
      <c r="B468" s="11"/>
      <c r="C468" s="11"/>
      <c r="D468" s="11"/>
      <c r="E468" s="71"/>
      <c r="F468" s="72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</row>
    <row r="469">
      <c r="A469" s="11"/>
      <c r="B469" s="11"/>
      <c r="C469" s="11"/>
      <c r="D469" s="11"/>
      <c r="E469" s="71"/>
      <c r="F469" s="72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</row>
    <row r="470">
      <c r="A470" s="11"/>
      <c r="B470" s="11"/>
      <c r="C470" s="11"/>
      <c r="D470" s="11"/>
      <c r="E470" s="71"/>
      <c r="F470" s="72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</row>
    <row r="471">
      <c r="A471" s="11"/>
      <c r="B471" s="11"/>
      <c r="C471" s="11"/>
      <c r="D471" s="11"/>
      <c r="E471" s="71"/>
      <c r="F471" s="72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</row>
    <row r="472">
      <c r="A472" s="11"/>
      <c r="B472" s="11"/>
      <c r="C472" s="11"/>
      <c r="D472" s="11"/>
      <c r="E472" s="71"/>
      <c r="F472" s="72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</row>
    <row r="473">
      <c r="A473" s="11"/>
      <c r="B473" s="11"/>
      <c r="C473" s="11"/>
      <c r="D473" s="11"/>
      <c r="E473" s="71"/>
      <c r="F473" s="72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</row>
    <row r="474">
      <c r="A474" s="11"/>
      <c r="B474" s="11"/>
      <c r="C474" s="11"/>
      <c r="D474" s="11"/>
      <c r="E474" s="71"/>
      <c r="F474" s="72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</row>
    <row r="475">
      <c r="A475" s="11"/>
      <c r="B475" s="11"/>
      <c r="C475" s="11"/>
      <c r="D475" s="11"/>
      <c r="E475" s="71"/>
      <c r="F475" s="72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</row>
    <row r="476">
      <c r="A476" s="11"/>
      <c r="B476" s="11"/>
      <c r="C476" s="11"/>
      <c r="D476" s="11"/>
      <c r="E476" s="71"/>
      <c r="F476" s="72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</row>
    <row r="477">
      <c r="A477" s="11"/>
      <c r="B477" s="11"/>
      <c r="C477" s="11"/>
      <c r="D477" s="11"/>
      <c r="E477" s="71"/>
      <c r="F477" s="72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</row>
    <row r="478">
      <c r="A478" s="11"/>
      <c r="B478" s="11"/>
      <c r="C478" s="11"/>
      <c r="D478" s="11"/>
      <c r="E478" s="71"/>
      <c r="F478" s="72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</row>
    <row r="479">
      <c r="A479" s="11"/>
      <c r="B479" s="11"/>
      <c r="C479" s="11"/>
      <c r="D479" s="11"/>
      <c r="E479" s="71"/>
      <c r="F479" s="72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</row>
    <row r="480">
      <c r="A480" s="11"/>
      <c r="B480" s="11"/>
      <c r="C480" s="11"/>
      <c r="D480" s="11"/>
      <c r="E480" s="71"/>
      <c r="F480" s="72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</row>
    <row r="481">
      <c r="A481" s="11"/>
      <c r="B481" s="11"/>
      <c r="C481" s="11"/>
      <c r="D481" s="11"/>
      <c r="E481" s="71"/>
      <c r="F481" s="72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</row>
    <row r="482">
      <c r="A482" s="11"/>
      <c r="B482" s="11"/>
      <c r="C482" s="11"/>
      <c r="D482" s="11"/>
      <c r="E482" s="71"/>
      <c r="F482" s="72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</row>
    <row r="483">
      <c r="A483" s="11"/>
      <c r="B483" s="11"/>
      <c r="C483" s="11"/>
      <c r="D483" s="11"/>
      <c r="E483" s="71"/>
      <c r="F483" s="72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</row>
    <row r="484">
      <c r="A484" s="11"/>
      <c r="B484" s="11"/>
      <c r="C484" s="11"/>
      <c r="D484" s="11"/>
      <c r="E484" s="71"/>
      <c r="F484" s="72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</row>
    <row r="485">
      <c r="A485" s="11"/>
      <c r="B485" s="11"/>
      <c r="C485" s="11"/>
      <c r="D485" s="11"/>
      <c r="E485" s="71"/>
      <c r="F485" s="72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</row>
    <row r="486">
      <c r="A486" s="11"/>
      <c r="B486" s="11"/>
      <c r="C486" s="11"/>
      <c r="D486" s="11"/>
      <c r="E486" s="71"/>
      <c r="F486" s="72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</row>
    <row r="487">
      <c r="A487" s="11"/>
      <c r="B487" s="11"/>
      <c r="C487" s="11"/>
      <c r="D487" s="11"/>
      <c r="E487" s="71"/>
      <c r="F487" s="72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</row>
    <row r="488">
      <c r="A488" s="11"/>
      <c r="B488" s="11"/>
      <c r="C488" s="11"/>
      <c r="D488" s="11"/>
      <c r="E488" s="71"/>
      <c r="F488" s="72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</row>
    <row r="489">
      <c r="A489" s="11"/>
      <c r="B489" s="11"/>
      <c r="C489" s="11"/>
      <c r="D489" s="11"/>
      <c r="E489" s="71"/>
      <c r="F489" s="72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</row>
    <row r="490">
      <c r="A490" s="11"/>
      <c r="B490" s="11"/>
      <c r="C490" s="11"/>
      <c r="D490" s="11"/>
      <c r="E490" s="71"/>
      <c r="F490" s="72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</row>
    <row r="491">
      <c r="A491" s="11"/>
      <c r="B491" s="11"/>
      <c r="C491" s="11"/>
      <c r="D491" s="11"/>
      <c r="E491" s="71"/>
      <c r="F491" s="72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</row>
    <row r="492">
      <c r="A492" s="11"/>
      <c r="B492" s="11"/>
      <c r="C492" s="11"/>
      <c r="D492" s="11"/>
      <c r="E492" s="71"/>
      <c r="F492" s="72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</row>
    <row r="493">
      <c r="A493" s="11"/>
      <c r="B493" s="11"/>
      <c r="C493" s="11"/>
      <c r="D493" s="11"/>
      <c r="E493" s="71"/>
      <c r="F493" s="72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</row>
    <row r="494">
      <c r="A494" s="11"/>
      <c r="B494" s="11"/>
      <c r="C494" s="11"/>
      <c r="D494" s="11"/>
      <c r="E494" s="71"/>
      <c r="F494" s="72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</row>
    <row r="495">
      <c r="A495" s="11"/>
      <c r="B495" s="11"/>
      <c r="C495" s="11"/>
      <c r="D495" s="11"/>
      <c r="E495" s="71"/>
      <c r="F495" s="72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</row>
    <row r="496">
      <c r="A496" s="11"/>
      <c r="B496" s="11"/>
      <c r="C496" s="11"/>
      <c r="D496" s="11"/>
      <c r="E496" s="71"/>
      <c r="F496" s="72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</row>
    <row r="497">
      <c r="A497" s="11"/>
      <c r="B497" s="11"/>
      <c r="C497" s="11"/>
      <c r="D497" s="11"/>
      <c r="E497" s="71"/>
      <c r="F497" s="72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</row>
    <row r="498">
      <c r="A498" s="11"/>
      <c r="B498" s="11"/>
      <c r="C498" s="11"/>
      <c r="D498" s="11"/>
      <c r="E498" s="71"/>
      <c r="F498" s="72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</row>
    <row r="499">
      <c r="A499" s="11"/>
      <c r="B499" s="11"/>
      <c r="C499" s="11"/>
      <c r="D499" s="11"/>
      <c r="E499" s="71"/>
      <c r="F499" s="72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</row>
    <row r="500">
      <c r="A500" s="11"/>
      <c r="B500" s="11"/>
      <c r="C500" s="11"/>
      <c r="D500" s="11"/>
      <c r="E500" s="71"/>
      <c r="F500" s="72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</row>
    <row r="501">
      <c r="A501" s="11"/>
      <c r="B501" s="11"/>
      <c r="C501" s="11"/>
      <c r="D501" s="11"/>
      <c r="E501" s="71"/>
      <c r="F501" s="72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</row>
    <row r="502">
      <c r="A502" s="11"/>
      <c r="B502" s="11"/>
      <c r="C502" s="11"/>
      <c r="D502" s="11"/>
      <c r="E502" s="71"/>
      <c r="F502" s="72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</row>
    <row r="503">
      <c r="A503" s="11"/>
      <c r="B503" s="11"/>
      <c r="C503" s="11"/>
      <c r="D503" s="11"/>
      <c r="E503" s="71"/>
      <c r="F503" s="72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</row>
    <row r="504">
      <c r="A504" s="11"/>
      <c r="B504" s="11"/>
      <c r="C504" s="11"/>
      <c r="D504" s="11"/>
      <c r="E504" s="71"/>
      <c r="F504" s="72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</row>
    <row r="505">
      <c r="A505" s="11"/>
      <c r="B505" s="11"/>
      <c r="C505" s="11"/>
      <c r="D505" s="11"/>
      <c r="E505" s="71"/>
      <c r="F505" s="72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</row>
    <row r="506">
      <c r="A506" s="11"/>
      <c r="B506" s="11"/>
      <c r="C506" s="11"/>
      <c r="D506" s="11"/>
      <c r="E506" s="71"/>
      <c r="F506" s="72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</row>
    <row r="507">
      <c r="A507" s="11"/>
      <c r="B507" s="11"/>
      <c r="C507" s="11"/>
      <c r="D507" s="11"/>
      <c r="E507" s="71"/>
      <c r="F507" s="72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</row>
    <row r="508">
      <c r="A508" s="11"/>
      <c r="B508" s="11"/>
      <c r="C508" s="11"/>
      <c r="D508" s="11"/>
      <c r="E508" s="71"/>
      <c r="F508" s="72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</row>
    <row r="509">
      <c r="A509" s="11"/>
      <c r="B509" s="11"/>
      <c r="C509" s="11"/>
      <c r="D509" s="11"/>
      <c r="E509" s="71"/>
      <c r="F509" s="72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</row>
    <row r="510">
      <c r="A510" s="11"/>
      <c r="B510" s="11"/>
      <c r="C510" s="11"/>
      <c r="D510" s="11"/>
      <c r="E510" s="71"/>
      <c r="F510" s="72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</row>
    <row r="511">
      <c r="A511" s="11"/>
      <c r="B511" s="11"/>
      <c r="C511" s="11"/>
      <c r="D511" s="11"/>
      <c r="E511" s="71"/>
      <c r="F511" s="72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</row>
    <row r="512">
      <c r="A512" s="11"/>
      <c r="B512" s="11"/>
      <c r="C512" s="11"/>
      <c r="D512" s="11"/>
      <c r="E512" s="71"/>
      <c r="F512" s="72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</row>
    <row r="513">
      <c r="A513" s="11"/>
      <c r="B513" s="11"/>
      <c r="C513" s="11"/>
      <c r="D513" s="11"/>
      <c r="E513" s="71"/>
      <c r="F513" s="72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</row>
    <row r="514">
      <c r="A514" s="11"/>
      <c r="B514" s="11"/>
      <c r="C514" s="11"/>
      <c r="D514" s="11"/>
      <c r="E514" s="71"/>
      <c r="F514" s="72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</row>
    <row r="515">
      <c r="A515" s="11"/>
      <c r="B515" s="11"/>
      <c r="C515" s="11"/>
      <c r="D515" s="11"/>
      <c r="E515" s="71"/>
      <c r="F515" s="72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</row>
    <row r="516">
      <c r="A516" s="11"/>
      <c r="B516" s="11"/>
      <c r="C516" s="11"/>
      <c r="D516" s="11"/>
      <c r="E516" s="71"/>
      <c r="F516" s="72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</row>
    <row r="517">
      <c r="A517" s="11"/>
      <c r="B517" s="11"/>
      <c r="C517" s="11"/>
      <c r="D517" s="11"/>
      <c r="E517" s="71"/>
      <c r="F517" s="72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</row>
    <row r="518">
      <c r="A518" s="11"/>
      <c r="B518" s="11"/>
      <c r="C518" s="11"/>
      <c r="D518" s="11"/>
      <c r="E518" s="71"/>
      <c r="F518" s="72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</row>
    <row r="519">
      <c r="A519" s="11"/>
      <c r="B519" s="11"/>
      <c r="C519" s="11"/>
      <c r="D519" s="11"/>
      <c r="E519" s="71"/>
      <c r="F519" s="72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</row>
    <row r="520">
      <c r="A520" s="11"/>
      <c r="B520" s="11"/>
      <c r="C520" s="11"/>
      <c r="D520" s="11"/>
      <c r="E520" s="71"/>
      <c r="F520" s="72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</row>
    <row r="521">
      <c r="A521" s="11"/>
      <c r="B521" s="11"/>
      <c r="C521" s="11"/>
      <c r="D521" s="11"/>
      <c r="E521" s="71"/>
      <c r="F521" s="72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</row>
    <row r="522">
      <c r="A522" s="11"/>
      <c r="B522" s="11"/>
      <c r="C522" s="11"/>
      <c r="D522" s="11"/>
      <c r="E522" s="71"/>
      <c r="F522" s="72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</row>
    <row r="523">
      <c r="A523" s="11"/>
      <c r="B523" s="11"/>
      <c r="C523" s="11"/>
      <c r="D523" s="11"/>
      <c r="E523" s="71"/>
      <c r="F523" s="72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</row>
    <row r="524">
      <c r="A524" s="11"/>
      <c r="B524" s="11"/>
      <c r="C524" s="11"/>
      <c r="D524" s="11"/>
      <c r="E524" s="71"/>
      <c r="F524" s="72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</row>
    <row r="525">
      <c r="A525" s="11"/>
      <c r="B525" s="11"/>
      <c r="C525" s="11"/>
      <c r="D525" s="11"/>
      <c r="E525" s="71"/>
      <c r="F525" s="72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</row>
    <row r="526">
      <c r="A526" s="11"/>
      <c r="B526" s="11"/>
      <c r="C526" s="11"/>
      <c r="D526" s="11"/>
      <c r="E526" s="71"/>
      <c r="F526" s="72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</row>
    <row r="527">
      <c r="A527" s="11"/>
      <c r="B527" s="11"/>
      <c r="C527" s="11"/>
      <c r="D527" s="11"/>
      <c r="E527" s="71"/>
      <c r="F527" s="72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</row>
    <row r="528">
      <c r="A528" s="11"/>
      <c r="B528" s="11"/>
      <c r="C528" s="11"/>
      <c r="D528" s="11"/>
      <c r="E528" s="71"/>
      <c r="F528" s="72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</row>
    <row r="529">
      <c r="A529" s="11"/>
      <c r="B529" s="11"/>
      <c r="C529" s="11"/>
      <c r="D529" s="11"/>
      <c r="E529" s="71"/>
      <c r="F529" s="72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</row>
    <row r="530">
      <c r="A530" s="11"/>
      <c r="B530" s="11"/>
      <c r="C530" s="11"/>
      <c r="D530" s="11"/>
      <c r="E530" s="71"/>
      <c r="F530" s="72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</row>
    <row r="531">
      <c r="A531" s="11"/>
      <c r="B531" s="11"/>
      <c r="C531" s="11"/>
      <c r="D531" s="11"/>
      <c r="E531" s="71"/>
      <c r="F531" s="72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</row>
    <row r="532">
      <c r="A532" s="11"/>
      <c r="B532" s="11"/>
      <c r="C532" s="11"/>
      <c r="D532" s="11"/>
      <c r="E532" s="71"/>
      <c r="F532" s="72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</row>
    <row r="533">
      <c r="A533" s="11"/>
      <c r="B533" s="11"/>
      <c r="C533" s="11"/>
      <c r="D533" s="11"/>
      <c r="E533" s="71"/>
      <c r="F533" s="72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</row>
    <row r="534">
      <c r="A534" s="11"/>
      <c r="B534" s="11"/>
      <c r="C534" s="11"/>
      <c r="D534" s="11"/>
      <c r="E534" s="71"/>
      <c r="F534" s="72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</row>
    <row r="535">
      <c r="A535" s="11"/>
      <c r="B535" s="11"/>
      <c r="C535" s="11"/>
      <c r="D535" s="11"/>
      <c r="E535" s="71"/>
      <c r="F535" s="72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</row>
    <row r="536">
      <c r="A536" s="11"/>
      <c r="B536" s="11"/>
      <c r="C536" s="11"/>
      <c r="D536" s="11"/>
      <c r="E536" s="71"/>
      <c r="F536" s="72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</row>
    <row r="537">
      <c r="A537" s="11"/>
      <c r="B537" s="11"/>
      <c r="C537" s="11"/>
      <c r="D537" s="11"/>
      <c r="E537" s="71"/>
      <c r="F537" s="72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</row>
    <row r="538">
      <c r="A538" s="11"/>
      <c r="B538" s="11"/>
      <c r="C538" s="11"/>
      <c r="D538" s="11"/>
      <c r="E538" s="71"/>
      <c r="F538" s="72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</row>
    <row r="539">
      <c r="A539" s="11"/>
      <c r="B539" s="11"/>
      <c r="C539" s="11"/>
      <c r="D539" s="11"/>
      <c r="E539" s="71"/>
      <c r="F539" s="72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</row>
    <row r="540">
      <c r="A540" s="11"/>
      <c r="B540" s="11"/>
      <c r="C540" s="11"/>
      <c r="D540" s="11"/>
      <c r="E540" s="71"/>
      <c r="F540" s="72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</row>
    <row r="541">
      <c r="A541" s="11"/>
      <c r="B541" s="11"/>
      <c r="C541" s="11"/>
      <c r="D541" s="11"/>
      <c r="E541" s="71"/>
      <c r="F541" s="72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</row>
    <row r="542">
      <c r="A542" s="11"/>
      <c r="B542" s="11"/>
      <c r="C542" s="11"/>
      <c r="D542" s="11"/>
      <c r="E542" s="71"/>
      <c r="F542" s="72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</row>
    <row r="543">
      <c r="A543" s="11"/>
      <c r="B543" s="11"/>
      <c r="C543" s="11"/>
      <c r="D543" s="11"/>
      <c r="E543" s="71"/>
      <c r="F543" s="72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</row>
    <row r="544">
      <c r="A544" s="11"/>
      <c r="B544" s="11"/>
      <c r="C544" s="11"/>
      <c r="D544" s="11"/>
      <c r="E544" s="71"/>
      <c r="F544" s="72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</row>
    <row r="545">
      <c r="A545" s="11"/>
      <c r="B545" s="11"/>
      <c r="C545" s="11"/>
      <c r="D545" s="11"/>
      <c r="E545" s="71"/>
      <c r="F545" s="72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</row>
    <row r="546">
      <c r="A546" s="11"/>
      <c r="B546" s="11"/>
      <c r="C546" s="11"/>
      <c r="D546" s="11"/>
      <c r="E546" s="71"/>
      <c r="F546" s="72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</row>
    <row r="547">
      <c r="A547" s="11"/>
      <c r="B547" s="11"/>
      <c r="C547" s="11"/>
      <c r="D547" s="11"/>
      <c r="E547" s="71"/>
      <c r="F547" s="72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</row>
    <row r="548">
      <c r="A548" s="11"/>
      <c r="B548" s="11"/>
      <c r="C548" s="11"/>
      <c r="D548" s="11"/>
      <c r="E548" s="71"/>
      <c r="F548" s="72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</row>
    <row r="549">
      <c r="A549" s="11"/>
      <c r="B549" s="11"/>
      <c r="C549" s="11"/>
      <c r="D549" s="11"/>
      <c r="E549" s="71"/>
      <c r="F549" s="72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</row>
    <row r="550">
      <c r="A550" s="11"/>
      <c r="B550" s="11"/>
      <c r="C550" s="11"/>
      <c r="D550" s="11"/>
      <c r="E550" s="71"/>
      <c r="F550" s="72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</row>
    <row r="551">
      <c r="A551" s="11"/>
      <c r="B551" s="11"/>
      <c r="C551" s="11"/>
      <c r="D551" s="11"/>
      <c r="E551" s="71"/>
      <c r="F551" s="72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</row>
    <row r="552">
      <c r="A552" s="11"/>
      <c r="B552" s="11"/>
      <c r="C552" s="11"/>
      <c r="D552" s="11"/>
      <c r="E552" s="71"/>
      <c r="F552" s="72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</row>
    <row r="553">
      <c r="A553" s="11"/>
      <c r="B553" s="11"/>
      <c r="C553" s="11"/>
      <c r="D553" s="11"/>
      <c r="E553" s="71"/>
      <c r="F553" s="72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</row>
    <row r="554">
      <c r="A554" s="11"/>
      <c r="B554" s="11"/>
      <c r="C554" s="11"/>
      <c r="D554" s="11"/>
      <c r="E554" s="71"/>
      <c r="F554" s="72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</row>
    <row r="555">
      <c r="A555" s="11"/>
      <c r="B555" s="11"/>
      <c r="C555" s="11"/>
      <c r="D555" s="11"/>
      <c r="E555" s="71"/>
      <c r="F555" s="72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</row>
    <row r="556">
      <c r="A556" s="11"/>
      <c r="B556" s="11"/>
      <c r="C556" s="11"/>
      <c r="D556" s="11"/>
      <c r="E556" s="71"/>
      <c r="F556" s="72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</row>
    <row r="557">
      <c r="A557" s="11"/>
      <c r="B557" s="11"/>
      <c r="C557" s="11"/>
      <c r="D557" s="11"/>
      <c r="E557" s="71"/>
      <c r="F557" s="72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</row>
    <row r="558">
      <c r="A558" s="11"/>
      <c r="B558" s="11"/>
      <c r="C558" s="11"/>
      <c r="D558" s="11"/>
      <c r="E558" s="71"/>
      <c r="F558" s="72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</row>
    <row r="559">
      <c r="A559" s="11"/>
      <c r="B559" s="11"/>
      <c r="C559" s="11"/>
      <c r="D559" s="11"/>
      <c r="E559" s="71"/>
      <c r="F559" s="72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</row>
    <row r="560">
      <c r="A560" s="11"/>
      <c r="B560" s="11"/>
      <c r="C560" s="11"/>
      <c r="D560" s="11"/>
      <c r="E560" s="71"/>
      <c r="F560" s="72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</row>
    <row r="561">
      <c r="A561" s="11"/>
      <c r="B561" s="11"/>
      <c r="C561" s="11"/>
      <c r="D561" s="11"/>
      <c r="E561" s="71"/>
      <c r="F561" s="72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</row>
    <row r="562">
      <c r="A562" s="11"/>
      <c r="B562" s="11"/>
      <c r="C562" s="11"/>
      <c r="D562" s="11"/>
      <c r="E562" s="71"/>
      <c r="F562" s="72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</row>
    <row r="563">
      <c r="A563" s="11"/>
      <c r="B563" s="11"/>
      <c r="C563" s="11"/>
      <c r="D563" s="11"/>
      <c r="E563" s="71"/>
      <c r="F563" s="72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</row>
    <row r="564">
      <c r="A564" s="11"/>
      <c r="B564" s="11"/>
      <c r="C564" s="11"/>
      <c r="D564" s="11"/>
      <c r="E564" s="71"/>
      <c r="F564" s="72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</row>
    <row r="565">
      <c r="A565" s="11"/>
      <c r="B565" s="11"/>
      <c r="C565" s="11"/>
      <c r="D565" s="11"/>
      <c r="E565" s="71"/>
      <c r="F565" s="72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</row>
    <row r="566">
      <c r="A566" s="11"/>
      <c r="B566" s="11"/>
      <c r="C566" s="11"/>
      <c r="D566" s="11"/>
      <c r="E566" s="71"/>
      <c r="F566" s="72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</row>
    <row r="567">
      <c r="A567" s="11"/>
      <c r="B567" s="11"/>
      <c r="C567" s="11"/>
      <c r="D567" s="11"/>
      <c r="E567" s="71"/>
      <c r="F567" s="72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</row>
    <row r="568">
      <c r="A568" s="11"/>
      <c r="B568" s="11"/>
      <c r="C568" s="11"/>
      <c r="D568" s="11"/>
      <c r="E568" s="71"/>
      <c r="F568" s="72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</row>
    <row r="569">
      <c r="A569" s="11"/>
      <c r="B569" s="11"/>
      <c r="C569" s="11"/>
      <c r="D569" s="11"/>
      <c r="E569" s="71"/>
      <c r="F569" s="72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</row>
    <row r="570">
      <c r="A570" s="11"/>
      <c r="B570" s="11"/>
      <c r="C570" s="11"/>
      <c r="D570" s="11"/>
      <c r="E570" s="71"/>
      <c r="F570" s="72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</row>
    <row r="571">
      <c r="A571" s="11"/>
      <c r="B571" s="11"/>
      <c r="C571" s="11"/>
      <c r="D571" s="11"/>
      <c r="E571" s="71"/>
      <c r="F571" s="72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</row>
    <row r="572">
      <c r="A572" s="11"/>
      <c r="B572" s="11"/>
      <c r="C572" s="11"/>
      <c r="D572" s="11"/>
      <c r="E572" s="71"/>
      <c r="F572" s="72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</row>
    <row r="573">
      <c r="A573" s="11"/>
      <c r="B573" s="11"/>
      <c r="C573" s="11"/>
      <c r="D573" s="11"/>
      <c r="E573" s="71"/>
      <c r="F573" s="72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</row>
    <row r="574">
      <c r="A574" s="11"/>
      <c r="B574" s="11"/>
      <c r="C574" s="11"/>
      <c r="D574" s="11"/>
      <c r="E574" s="71"/>
      <c r="F574" s="72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</row>
    <row r="575">
      <c r="A575" s="11"/>
      <c r="B575" s="11"/>
      <c r="C575" s="11"/>
      <c r="D575" s="11"/>
      <c r="E575" s="71"/>
      <c r="F575" s="72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</row>
    <row r="576">
      <c r="A576" s="11"/>
      <c r="B576" s="11"/>
      <c r="C576" s="11"/>
      <c r="D576" s="11"/>
      <c r="E576" s="71"/>
      <c r="F576" s="72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</row>
    <row r="577">
      <c r="A577" s="11"/>
      <c r="B577" s="11"/>
      <c r="C577" s="11"/>
      <c r="D577" s="11"/>
      <c r="E577" s="71"/>
      <c r="F577" s="72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</row>
    <row r="578">
      <c r="A578" s="11"/>
      <c r="B578" s="11"/>
      <c r="C578" s="11"/>
      <c r="D578" s="11"/>
      <c r="E578" s="71"/>
      <c r="F578" s="72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</row>
    <row r="579">
      <c r="A579" s="11"/>
      <c r="B579" s="11"/>
      <c r="C579" s="11"/>
      <c r="D579" s="11"/>
      <c r="E579" s="71"/>
      <c r="F579" s="72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</row>
    <row r="580">
      <c r="A580" s="11"/>
      <c r="B580" s="11"/>
      <c r="C580" s="11"/>
      <c r="D580" s="11"/>
      <c r="E580" s="71"/>
      <c r="F580" s="72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</row>
    <row r="581">
      <c r="A581" s="11"/>
      <c r="B581" s="11"/>
      <c r="C581" s="11"/>
      <c r="D581" s="11"/>
      <c r="E581" s="71"/>
      <c r="F581" s="72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</row>
    <row r="582">
      <c r="A582" s="11"/>
      <c r="B582" s="11"/>
      <c r="C582" s="11"/>
      <c r="D582" s="11"/>
      <c r="E582" s="71"/>
      <c r="F582" s="72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</row>
    <row r="583">
      <c r="A583" s="11"/>
      <c r="B583" s="11"/>
      <c r="C583" s="11"/>
      <c r="D583" s="11"/>
      <c r="E583" s="71"/>
      <c r="F583" s="72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</row>
    <row r="584">
      <c r="A584" s="11"/>
      <c r="B584" s="11"/>
      <c r="C584" s="11"/>
      <c r="D584" s="11"/>
      <c r="E584" s="71"/>
      <c r="F584" s="72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</row>
    <row r="585">
      <c r="A585" s="11"/>
      <c r="B585" s="11"/>
      <c r="C585" s="11"/>
      <c r="D585" s="11"/>
      <c r="E585" s="71"/>
      <c r="F585" s="72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</row>
    <row r="586">
      <c r="A586" s="11"/>
      <c r="B586" s="11"/>
      <c r="C586" s="11"/>
      <c r="D586" s="11"/>
      <c r="E586" s="71"/>
      <c r="F586" s="72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</row>
    <row r="587">
      <c r="A587" s="11"/>
      <c r="B587" s="11"/>
      <c r="C587" s="11"/>
      <c r="D587" s="11"/>
      <c r="E587" s="71"/>
      <c r="F587" s="72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</row>
    <row r="588">
      <c r="A588" s="11"/>
      <c r="B588" s="11"/>
      <c r="C588" s="11"/>
      <c r="D588" s="11"/>
      <c r="E588" s="71"/>
      <c r="F588" s="72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</row>
    <row r="589">
      <c r="A589" s="11"/>
      <c r="B589" s="11"/>
      <c r="C589" s="11"/>
      <c r="D589" s="11"/>
      <c r="E589" s="71"/>
      <c r="F589" s="72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</row>
    <row r="590">
      <c r="A590" s="11"/>
      <c r="B590" s="11"/>
      <c r="C590" s="11"/>
      <c r="D590" s="11"/>
      <c r="E590" s="71"/>
      <c r="F590" s="72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</row>
    <row r="591">
      <c r="A591" s="11"/>
      <c r="B591" s="11"/>
      <c r="C591" s="11"/>
      <c r="D591" s="11"/>
      <c r="E591" s="71"/>
      <c r="F591" s="72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</row>
    <row r="592">
      <c r="A592" s="11"/>
      <c r="B592" s="11"/>
      <c r="C592" s="11"/>
      <c r="D592" s="11"/>
      <c r="E592" s="71"/>
      <c r="F592" s="72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</row>
    <row r="593">
      <c r="A593" s="11"/>
      <c r="B593" s="11"/>
      <c r="C593" s="11"/>
      <c r="D593" s="11"/>
      <c r="E593" s="71"/>
      <c r="F593" s="72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</row>
    <row r="594">
      <c r="A594" s="11"/>
      <c r="B594" s="11"/>
      <c r="C594" s="11"/>
      <c r="D594" s="11"/>
      <c r="E594" s="71"/>
      <c r="F594" s="72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</row>
    <row r="595">
      <c r="A595" s="11"/>
      <c r="B595" s="11"/>
      <c r="C595" s="11"/>
      <c r="D595" s="11"/>
      <c r="E595" s="71"/>
      <c r="F595" s="72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</row>
    <row r="596">
      <c r="A596" s="11"/>
      <c r="B596" s="11"/>
      <c r="C596" s="11"/>
      <c r="D596" s="11"/>
      <c r="E596" s="71"/>
      <c r="F596" s="72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</row>
    <row r="597">
      <c r="A597" s="11"/>
      <c r="B597" s="11"/>
      <c r="C597" s="11"/>
      <c r="D597" s="11"/>
      <c r="E597" s="71"/>
      <c r="F597" s="72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</row>
    <row r="598">
      <c r="A598" s="11"/>
      <c r="B598" s="11"/>
      <c r="C598" s="11"/>
      <c r="D598" s="11"/>
      <c r="E598" s="71"/>
      <c r="F598" s="72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</row>
    <row r="599">
      <c r="A599" s="11"/>
      <c r="B599" s="11"/>
      <c r="C599" s="11"/>
      <c r="D599" s="11"/>
      <c r="E599" s="71"/>
      <c r="F599" s="72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</row>
    <row r="600">
      <c r="A600" s="11"/>
      <c r="B600" s="11"/>
      <c r="C600" s="11"/>
      <c r="D600" s="11"/>
      <c r="E600" s="71"/>
      <c r="F600" s="72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</row>
    <row r="601">
      <c r="A601" s="11"/>
      <c r="B601" s="11"/>
      <c r="C601" s="11"/>
      <c r="D601" s="11"/>
      <c r="E601" s="71"/>
      <c r="F601" s="72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</row>
    <row r="602">
      <c r="A602" s="11"/>
      <c r="B602" s="11"/>
      <c r="C602" s="11"/>
      <c r="D602" s="11"/>
      <c r="E602" s="71"/>
      <c r="F602" s="72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</row>
    <row r="603">
      <c r="A603" s="11"/>
      <c r="B603" s="11"/>
      <c r="C603" s="11"/>
      <c r="D603" s="11"/>
      <c r="E603" s="71"/>
      <c r="F603" s="72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</row>
    <row r="604">
      <c r="A604" s="11"/>
      <c r="B604" s="11"/>
      <c r="C604" s="11"/>
      <c r="D604" s="11"/>
      <c r="E604" s="71"/>
      <c r="F604" s="72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</row>
    <row r="605">
      <c r="A605" s="11"/>
      <c r="B605" s="11"/>
      <c r="C605" s="11"/>
      <c r="D605" s="11"/>
      <c r="E605" s="71"/>
      <c r="F605" s="72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</row>
    <row r="606">
      <c r="A606" s="11"/>
      <c r="B606" s="11"/>
      <c r="C606" s="11"/>
      <c r="D606" s="11"/>
      <c r="E606" s="71"/>
      <c r="F606" s="72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</row>
    <row r="607">
      <c r="A607" s="11"/>
      <c r="B607" s="11"/>
      <c r="C607" s="11"/>
      <c r="D607" s="11"/>
      <c r="E607" s="71"/>
      <c r="F607" s="72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</row>
    <row r="608">
      <c r="A608" s="11"/>
      <c r="B608" s="11"/>
      <c r="C608" s="11"/>
      <c r="D608" s="11"/>
      <c r="E608" s="71"/>
      <c r="F608" s="72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</row>
    <row r="609">
      <c r="A609" s="11"/>
      <c r="B609" s="11"/>
      <c r="C609" s="11"/>
      <c r="D609" s="11"/>
      <c r="E609" s="71"/>
      <c r="F609" s="72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</row>
    <row r="610">
      <c r="A610" s="11"/>
      <c r="B610" s="11"/>
      <c r="C610" s="11"/>
      <c r="D610" s="11"/>
      <c r="E610" s="71"/>
      <c r="F610" s="72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</row>
    <row r="611">
      <c r="A611" s="11"/>
      <c r="B611" s="11"/>
      <c r="C611" s="11"/>
      <c r="D611" s="11"/>
      <c r="E611" s="71"/>
      <c r="F611" s="72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</row>
    <row r="612">
      <c r="A612" s="11"/>
      <c r="B612" s="11"/>
      <c r="C612" s="11"/>
      <c r="D612" s="11"/>
      <c r="E612" s="71"/>
      <c r="F612" s="72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</row>
    <row r="613">
      <c r="A613" s="11"/>
      <c r="B613" s="11"/>
      <c r="C613" s="11"/>
      <c r="D613" s="11"/>
      <c r="E613" s="71"/>
      <c r="F613" s="72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</row>
    <row r="614">
      <c r="A614" s="11"/>
      <c r="B614" s="11"/>
      <c r="C614" s="11"/>
      <c r="D614" s="11"/>
      <c r="E614" s="71"/>
      <c r="F614" s="72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</row>
    <row r="615">
      <c r="A615" s="11"/>
      <c r="B615" s="11"/>
      <c r="C615" s="11"/>
      <c r="D615" s="11"/>
      <c r="E615" s="71"/>
      <c r="F615" s="72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</row>
    <row r="616">
      <c r="A616" s="11"/>
      <c r="B616" s="11"/>
      <c r="C616" s="11"/>
      <c r="D616" s="11"/>
      <c r="E616" s="71"/>
      <c r="F616" s="72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</row>
    <row r="617">
      <c r="A617" s="11"/>
      <c r="B617" s="11"/>
      <c r="C617" s="11"/>
      <c r="D617" s="11"/>
      <c r="E617" s="71"/>
      <c r="F617" s="72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</row>
    <row r="618">
      <c r="A618" s="11"/>
      <c r="B618" s="11"/>
      <c r="C618" s="11"/>
      <c r="D618" s="11"/>
      <c r="E618" s="71"/>
      <c r="F618" s="72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</row>
    <row r="619">
      <c r="A619" s="11"/>
      <c r="B619" s="11"/>
      <c r="C619" s="11"/>
      <c r="D619" s="11"/>
      <c r="E619" s="71"/>
      <c r="F619" s="72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</row>
    <row r="620">
      <c r="A620" s="11"/>
      <c r="B620" s="11"/>
      <c r="C620" s="11"/>
      <c r="D620" s="11"/>
      <c r="E620" s="71"/>
      <c r="F620" s="72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</row>
    <row r="621">
      <c r="A621" s="11"/>
      <c r="B621" s="11"/>
      <c r="C621" s="11"/>
      <c r="D621" s="11"/>
      <c r="E621" s="71"/>
      <c r="F621" s="72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</row>
    <row r="622">
      <c r="A622" s="11"/>
      <c r="B622" s="11"/>
      <c r="C622" s="11"/>
      <c r="D622" s="11"/>
      <c r="E622" s="71"/>
      <c r="F622" s="72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</row>
    <row r="623">
      <c r="A623" s="11"/>
      <c r="B623" s="11"/>
      <c r="C623" s="11"/>
      <c r="D623" s="11"/>
      <c r="E623" s="71"/>
      <c r="F623" s="72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</row>
    <row r="624">
      <c r="A624" s="11"/>
      <c r="B624" s="11"/>
      <c r="C624" s="11"/>
      <c r="D624" s="11"/>
      <c r="E624" s="71"/>
      <c r="F624" s="72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</row>
    <row r="625">
      <c r="A625" s="11"/>
      <c r="B625" s="11"/>
      <c r="C625" s="11"/>
      <c r="D625" s="11"/>
      <c r="E625" s="71"/>
      <c r="F625" s="72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</row>
    <row r="626">
      <c r="A626" s="11"/>
      <c r="B626" s="11"/>
      <c r="C626" s="11"/>
      <c r="D626" s="11"/>
      <c r="E626" s="71"/>
      <c r="F626" s="72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</row>
    <row r="627">
      <c r="A627" s="11"/>
      <c r="B627" s="11"/>
      <c r="C627" s="11"/>
      <c r="D627" s="11"/>
      <c r="E627" s="71"/>
      <c r="F627" s="72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</row>
    <row r="628">
      <c r="A628" s="11"/>
      <c r="B628" s="11"/>
      <c r="C628" s="11"/>
      <c r="D628" s="11"/>
      <c r="E628" s="71"/>
      <c r="F628" s="72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</row>
    <row r="629">
      <c r="A629" s="11"/>
      <c r="B629" s="11"/>
      <c r="C629" s="11"/>
      <c r="D629" s="11"/>
      <c r="E629" s="71"/>
      <c r="F629" s="72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</row>
    <row r="630">
      <c r="A630" s="11"/>
      <c r="B630" s="11"/>
      <c r="C630" s="11"/>
      <c r="D630" s="11"/>
      <c r="E630" s="71"/>
      <c r="F630" s="72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</row>
    <row r="631">
      <c r="A631" s="11"/>
      <c r="B631" s="11"/>
      <c r="C631" s="11"/>
      <c r="D631" s="11"/>
      <c r="E631" s="71"/>
      <c r="F631" s="72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</row>
    <row r="632">
      <c r="A632" s="11"/>
      <c r="B632" s="11"/>
      <c r="C632" s="11"/>
      <c r="D632" s="11"/>
      <c r="E632" s="71"/>
      <c r="F632" s="72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</row>
    <row r="633">
      <c r="A633" s="11"/>
      <c r="B633" s="11"/>
      <c r="C633" s="11"/>
      <c r="D633" s="11"/>
      <c r="E633" s="71"/>
      <c r="F633" s="72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</row>
    <row r="634">
      <c r="A634" s="11"/>
      <c r="B634" s="11"/>
      <c r="C634" s="11"/>
      <c r="D634" s="11"/>
      <c r="E634" s="71"/>
      <c r="F634" s="72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</row>
    <row r="635">
      <c r="A635" s="11"/>
      <c r="B635" s="11"/>
      <c r="C635" s="11"/>
      <c r="D635" s="11"/>
      <c r="E635" s="71"/>
      <c r="F635" s="72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</row>
    <row r="636">
      <c r="A636" s="11"/>
      <c r="B636" s="11"/>
      <c r="C636" s="11"/>
      <c r="D636" s="11"/>
      <c r="E636" s="71"/>
      <c r="F636" s="72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</row>
    <row r="637">
      <c r="A637" s="11"/>
      <c r="B637" s="11"/>
      <c r="C637" s="11"/>
      <c r="D637" s="11"/>
      <c r="E637" s="71"/>
      <c r="F637" s="72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</row>
    <row r="638">
      <c r="A638" s="11"/>
      <c r="B638" s="11"/>
      <c r="C638" s="11"/>
      <c r="D638" s="11"/>
      <c r="E638" s="71"/>
      <c r="F638" s="72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</row>
    <row r="639">
      <c r="A639" s="11"/>
      <c r="B639" s="11"/>
      <c r="C639" s="11"/>
      <c r="D639" s="11"/>
      <c r="E639" s="71"/>
      <c r="F639" s="72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</row>
    <row r="640">
      <c r="A640" s="11"/>
      <c r="B640" s="11"/>
      <c r="C640" s="11"/>
      <c r="D640" s="11"/>
      <c r="E640" s="71"/>
      <c r="F640" s="72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</row>
    <row r="641">
      <c r="A641" s="11"/>
      <c r="B641" s="11"/>
      <c r="C641" s="11"/>
      <c r="D641" s="11"/>
      <c r="E641" s="71"/>
      <c r="F641" s="72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</row>
    <row r="642">
      <c r="A642" s="11"/>
      <c r="B642" s="11"/>
      <c r="C642" s="11"/>
      <c r="D642" s="11"/>
      <c r="E642" s="71"/>
      <c r="F642" s="72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</row>
    <row r="643">
      <c r="A643" s="11"/>
      <c r="B643" s="11"/>
      <c r="C643" s="11"/>
      <c r="D643" s="11"/>
      <c r="E643" s="71"/>
      <c r="F643" s="72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</row>
    <row r="644">
      <c r="A644" s="11"/>
      <c r="B644" s="11"/>
      <c r="C644" s="11"/>
      <c r="D644" s="11"/>
      <c r="E644" s="71"/>
      <c r="F644" s="72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</row>
    <row r="645">
      <c r="A645" s="11"/>
      <c r="B645" s="11"/>
      <c r="C645" s="11"/>
      <c r="D645" s="11"/>
      <c r="E645" s="71"/>
      <c r="F645" s="72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</row>
    <row r="646">
      <c r="A646" s="11"/>
      <c r="B646" s="11"/>
      <c r="C646" s="11"/>
      <c r="D646" s="11"/>
      <c r="E646" s="71"/>
      <c r="F646" s="72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</row>
    <row r="647">
      <c r="A647" s="11"/>
      <c r="B647" s="11"/>
      <c r="C647" s="11"/>
      <c r="D647" s="11"/>
      <c r="E647" s="71"/>
      <c r="F647" s="72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</row>
    <row r="648">
      <c r="A648" s="11"/>
      <c r="B648" s="11"/>
      <c r="C648" s="11"/>
      <c r="D648" s="11"/>
      <c r="E648" s="71"/>
      <c r="F648" s="72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</row>
    <row r="649">
      <c r="A649" s="11"/>
      <c r="B649" s="11"/>
      <c r="C649" s="11"/>
      <c r="D649" s="11"/>
      <c r="E649" s="71"/>
      <c r="F649" s="72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</row>
    <row r="650">
      <c r="A650" s="11"/>
      <c r="B650" s="11"/>
      <c r="C650" s="11"/>
      <c r="D650" s="11"/>
      <c r="E650" s="71"/>
      <c r="F650" s="72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</row>
    <row r="651">
      <c r="A651" s="11"/>
      <c r="B651" s="11"/>
      <c r="C651" s="11"/>
      <c r="D651" s="11"/>
      <c r="E651" s="71"/>
      <c r="F651" s="72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</row>
    <row r="652">
      <c r="A652" s="11"/>
      <c r="B652" s="11"/>
      <c r="C652" s="11"/>
      <c r="D652" s="11"/>
      <c r="E652" s="71"/>
      <c r="F652" s="72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</row>
    <row r="653">
      <c r="A653" s="11"/>
      <c r="B653" s="11"/>
      <c r="C653" s="11"/>
      <c r="D653" s="11"/>
      <c r="E653" s="71"/>
      <c r="F653" s="72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</row>
    <row r="654">
      <c r="A654" s="11"/>
      <c r="B654" s="11"/>
      <c r="C654" s="11"/>
      <c r="D654" s="11"/>
      <c r="E654" s="71"/>
      <c r="F654" s="72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</row>
    <row r="655">
      <c r="A655" s="11"/>
      <c r="B655" s="11"/>
      <c r="C655" s="11"/>
      <c r="D655" s="11"/>
      <c r="E655" s="71"/>
      <c r="F655" s="72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</row>
    <row r="656">
      <c r="A656" s="11"/>
      <c r="B656" s="11"/>
      <c r="C656" s="11"/>
      <c r="D656" s="11"/>
      <c r="E656" s="71"/>
      <c r="F656" s="72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</row>
    <row r="657">
      <c r="A657" s="11"/>
      <c r="B657" s="11"/>
      <c r="C657" s="11"/>
      <c r="D657" s="11"/>
      <c r="E657" s="71"/>
      <c r="F657" s="72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</row>
    <row r="658">
      <c r="A658" s="11"/>
      <c r="B658" s="11"/>
      <c r="C658" s="11"/>
      <c r="D658" s="11"/>
      <c r="E658" s="71"/>
      <c r="F658" s="72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</row>
    <row r="659">
      <c r="A659" s="11"/>
      <c r="B659" s="11"/>
      <c r="C659" s="11"/>
      <c r="D659" s="11"/>
      <c r="E659" s="71"/>
      <c r="F659" s="72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</row>
    <row r="660">
      <c r="A660" s="11"/>
      <c r="B660" s="11"/>
      <c r="C660" s="11"/>
      <c r="D660" s="11"/>
      <c r="E660" s="71"/>
      <c r="F660" s="72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</row>
    <row r="661">
      <c r="A661" s="11"/>
      <c r="B661" s="11"/>
      <c r="C661" s="11"/>
      <c r="D661" s="11"/>
      <c r="E661" s="71"/>
      <c r="F661" s="72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</row>
    <row r="662">
      <c r="A662" s="11"/>
      <c r="B662" s="11"/>
      <c r="C662" s="11"/>
      <c r="D662" s="11"/>
      <c r="E662" s="71"/>
      <c r="F662" s="72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</row>
    <row r="663">
      <c r="A663" s="11"/>
      <c r="B663" s="11"/>
      <c r="C663" s="11"/>
      <c r="D663" s="11"/>
      <c r="E663" s="71"/>
      <c r="F663" s="72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</row>
    <row r="664">
      <c r="A664" s="11"/>
      <c r="B664" s="11"/>
      <c r="C664" s="11"/>
      <c r="D664" s="11"/>
      <c r="E664" s="71"/>
      <c r="F664" s="72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</row>
    <row r="665">
      <c r="A665" s="11"/>
      <c r="B665" s="11"/>
      <c r="C665" s="11"/>
      <c r="D665" s="11"/>
      <c r="E665" s="71"/>
      <c r="F665" s="72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</row>
    <row r="666">
      <c r="A666" s="11"/>
      <c r="B666" s="11"/>
      <c r="C666" s="11"/>
      <c r="D666" s="11"/>
      <c r="E666" s="71"/>
      <c r="F666" s="72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</row>
    <row r="667">
      <c r="A667" s="11"/>
      <c r="B667" s="11"/>
      <c r="C667" s="11"/>
      <c r="D667" s="11"/>
      <c r="E667" s="71"/>
      <c r="F667" s="72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</row>
    <row r="668">
      <c r="A668" s="11"/>
      <c r="B668" s="11"/>
      <c r="C668" s="11"/>
      <c r="D668" s="11"/>
      <c r="E668" s="71"/>
      <c r="F668" s="72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</row>
    <row r="669">
      <c r="A669" s="11"/>
      <c r="B669" s="11"/>
      <c r="C669" s="11"/>
      <c r="D669" s="11"/>
      <c r="E669" s="71"/>
      <c r="F669" s="72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</row>
    <row r="670">
      <c r="A670" s="11"/>
      <c r="B670" s="11"/>
      <c r="C670" s="11"/>
      <c r="D670" s="11"/>
      <c r="E670" s="71"/>
      <c r="F670" s="72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</row>
    <row r="671">
      <c r="A671" s="11"/>
      <c r="B671" s="11"/>
      <c r="C671" s="11"/>
      <c r="D671" s="11"/>
      <c r="E671" s="71"/>
      <c r="F671" s="72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</row>
    <row r="672">
      <c r="A672" s="11"/>
      <c r="B672" s="11"/>
      <c r="C672" s="11"/>
      <c r="D672" s="11"/>
      <c r="E672" s="71"/>
      <c r="F672" s="72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</row>
    <row r="673">
      <c r="A673" s="11"/>
      <c r="B673" s="11"/>
      <c r="C673" s="11"/>
      <c r="D673" s="11"/>
      <c r="E673" s="71"/>
      <c r="F673" s="72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</row>
    <row r="674">
      <c r="A674" s="11"/>
      <c r="B674" s="11"/>
      <c r="C674" s="11"/>
      <c r="D674" s="11"/>
      <c r="E674" s="71"/>
      <c r="F674" s="72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</row>
    <row r="675">
      <c r="A675" s="11"/>
      <c r="B675" s="11"/>
      <c r="C675" s="11"/>
      <c r="D675" s="11"/>
      <c r="E675" s="71"/>
      <c r="F675" s="72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</row>
    <row r="676">
      <c r="A676" s="11"/>
      <c r="B676" s="11"/>
      <c r="C676" s="11"/>
      <c r="D676" s="11"/>
      <c r="E676" s="71"/>
      <c r="F676" s="72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</row>
    <row r="677">
      <c r="A677" s="11"/>
      <c r="B677" s="11"/>
      <c r="C677" s="11"/>
      <c r="D677" s="11"/>
      <c r="E677" s="71"/>
      <c r="F677" s="72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</row>
    <row r="678">
      <c r="A678" s="11"/>
      <c r="B678" s="11"/>
      <c r="C678" s="11"/>
      <c r="D678" s="11"/>
      <c r="E678" s="71"/>
      <c r="F678" s="72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</row>
    <row r="679">
      <c r="A679" s="11"/>
      <c r="B679" s="11"/>
      <c r="C679" s="11"/>
      <c r="D679" s="11"/>
      <c r="E679" s="71"/>
      <c r="F679" s="72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</row>
    <row r="680">
      <c r="A680" s="11"/>
      <c r="B680" s="11"/>
      <c r="C680" s="11"/>
      <c r="D680" s="11"/>
      <c r="E680" s="71"/>
      <c r="F680" s="72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</row>
    <row r="681">
      <c r="A681" s="11"/>
      <c r="B681" s="11"/>
      <c r="C681" s="11"/>
      <c r="D681" s="11"/>
      <c r="E681" s="71"/>
      <c r="F681" s="72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</row>
    <row r="682">
      <c r="A682" s="11"/>
      <c r="B682" s="11"/>
      <c r="C682" s="11"/>
      <c r="D682" s="11"/>
      <c r="E682" s="71"/>
      <c r="F682" s="72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</row>
    <row r="683">
      <c r="A683" s="11"/>
      <c r="B683" s="11"/>
      <c r="C683" s="11"/>
      <c r="D683" s="11"/>
      <c r="E683" s="71"/>
      <c r="F683" s="72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</row>
    <row r="684">
      <c r="A684" s="11"/>
      <c r="B684" s="11"/>
      <c r="C684" s="11"/>
      <c r="D684" s="11"/>
      <c r="E684" s="71"/>
      <c r="F684" s="72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</row>
    <row r="685">
      <c r="A685" s="11"/>
      <c r="B685" s="11"/>
      <c r="C685" s="11"/>
      <c r="D685" s="11"/>
      <c r="E685" s="71"/>
      <c r="F685" s="72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</row>
    <row r="686">
      <c r="A686" s="11"/>
      <c r="B686" s="11"/>
      <c r="C686" s="11"/>
      <c r="D686" s="11"/>
      <c r="E686" s="71"/>
      <c r="F686" s="72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</row>
    <row r="687">
      <c r="A687" s="11"/>
      <c r="B687" s="11"/>
      <c r="C687" s="11"/>
      <c r="D687" s="11"/>
      <c r="E687" s="71"/>
      <c r="F687" s="72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</row>
    <row r="688">
      <c r="A688" s="11"/>
      <c r="B688" s="11"/>
      <c r="C688" s="11"/>
      <c r="D688" s="11"/>
      <c r="E688" s="71"/>
      <c r="F688" s="72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</row>
    <row r="689">
      <c r="A689" s="11"/>
      <c r="B689" s="11"/>
      <c r="C689" s="11"/>
      <c r="D689" s="11"/>
      <c r="E689" s="71"/>
      <c r="F689" s="72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</row>
    <row r="690">
      <c r="A690" s="11"/>
      <c r="B690" s="11"/>
      <c r="C690" s="11"/>
      <c r="D690" s="11"/>
      <c r="E690" s="71"/>
      <c r="F690" s="72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</row>
    <row r="691">
      <c r="A691" s="11"/>
      <c r="B691" s="11"/>
      <c r="C691" s="11"/>
      <c r="D691" s="11"/>
      <c r="E691" s="71"/>
      <c r="F691" s="72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</row>
    <row r="692">
      <c r="A692" s="11"/>
      <c r="B692" s="11"/>
      <c r="C692" s="11"/>
      <c r="D692" s="11"/>
      <c r="E692" s="71"/>
      <c r="F692" s="72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</row>
    <row r="693">
      <c r="A693" s="11"/>
      <c r="B693" s="11"/>
      <c r="C693" s="11"/>
      <c r="D693" s="11"/>
      <c r="E693" s="71"/>
      <c r="F693" s="72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</row>
    <row r="694">
      <c r="A694" s="11"/>
      <c r="B694" s="11"/>
      <c r="C694" s="11"/>
      <c r="D694" s="11"/>
      <c r="E694" s="71"/>
      <c r="F694" s="72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</row>
    <row r="695">
      <c r="A695" s="11"/>
      <c r="B695" s="11"/>
      <c r="C695" s="11"/>
      <c r="D695" s="11"/>
      <c r="E695" s="71"/>
      <c r="F695" s="72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</row>
    <row r="696">
      <c r="A696" s="11"/>
      <c r="B696" s="11"/>
      <c r="C696" s="11"/>
      <c r="D696" s="11"/>
      <c r="E696" s="71"/>
      <c r="F696" s="72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</row>
    <row r="697">
      <c r="A697" s="11"/>
      <c r="B697" s="11"/>
      <c r="C697" s="11"/>
      <c r="D697" s="11"/>
      <c r="E697" s="71"/>
      <c r="F697" s="72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</row>
    <row r="698">
      <c r="A698" s="11"/>
      <c r="B698" s="11"/>
      <c r="C698" s="11"/>
      <c r="D698" s="11"/>
      <c r="E698" s="71"/>
      <c r="F698" s="72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</row>
    <row r="699">
      <c r="A699" s="11"/>
      <c r="B699" s="11"/>
      <c r="C699" s="11"/>
      <c r="D699" s="11"/>
      <c r="E699" s="71"/>
      <c r="F699" s="72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</row>
    <row r="700">
      <c r="A700" s="11"/>
      <c r="B700" s="11"/>
      <c r="C700" s="11"/>
      <c r="D700" s="11"/>
      <c r="E700" s="71"/>
      <c r="F700" s="72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</row>
    <row r="701">
      <c r="A701" s="11"/>
      <c r="B701" s="11"/>
      <c r="C701" s="11"/>
      <c r="D701" s="11"/>
      <c r="E701" s="71"/>
      <c r="F701" s="72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</row>
    <row r="702">
      <c r="A702" s="11"/>
      <c r="B702" s="11"/>
      <c r="C702" s="11"/>
      <c r="D702" s="11"/>
      <c r="E702" s="71"/>
      <c r="F702" s="72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</row>
    <row r="703">
      <c r="A703" s="11"/>
      <c r="B703" s="11"/>
      <c r="C703" s="11"/>
      <c r="D703" s="11"/>
      <c r="E703" s="71"/>
      <c r="F703" s="72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</row>
    <row r="704">
      <c r="A704" s="11"/>
      <c r="B704" s="11"/>
      <c r="C704" s="11"/>
      <c r="D704" s="11"/>
      <c r="E704" s="71"/>
      <c r="F704" s="72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</row>
    <row r="705">
      <c r="A705" s="11"/>
      <c r="B705" s="11"/>
      <c r="C705" s="11"/>
      <c r="D705" s="11"/>
      <c r="E705" s="71"/>
      <c r="F705" s="72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</row>
    <row r="706">
      <c r="A706" s="11"/>
      <c r="B706" s="11"/>
      <c r="C706" s="11"/>
      <c r="D706" s="11"/>
      <c r="E706" s="71"/>
      <c r="F706" s="72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</row>
    <row r="707">
      <c r="A707" s="11"/>
      <c r="B707" s="11"/>
      <c r="C707" s="11"/>
      <c r="D707" s="11"/>
      <c r="E707" s="71"/>
      <c r="F707" s="72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</row>
    <row r="708">
      <c r="A708" s="11"/>
      <c r="B708" s="11"/>
      <c r="C708" s="11"/>
      <c r="D708" s="11"/>
      <c r="E708" s="71"/>
      <c r="F708" s="72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</row>
    <row r="709">
      <c r="A709" s="11"/>
      <c r="B709" s="11"/>
      <c r="C709" s="11"/>
      <c r="D709" s="11"/>
      <c r="E709" s="71"/>
      <c r="F709" s="72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</row>
    <row r="710">
      <c r="A710" s="11"/>
      <c r="B710" s="11"/>
      <c r="C710" s="11"/>
      <c r="D710" s="11"/>
      <c r="E710" s="71"/>
      <c r="F710" s="72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</row>
    <row r="711">
      <c r="A711" s="11"/>
      <c r="B711" s="11"/>
      <c r="C711" s="11"/>
      <c r="D711" s="11"/>
      <c r="E711" s="71"/>
      <c r="F711" s="72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</row>
    <row r="712">
      <c r="A712" s="11"/>
      <c r="B712" s="11"/>
      <c r="C712" s="11"/>
      <c r="D712" s="11"/>
      <c r="E712" s="71"/>
      <c r="F712" s="72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</row>
    <row r="713">
      <c r="A713" s="11"/>
      <c r="B713" s="11"/>
      <c r="C713" s="11"/>
      <c r="D713" s="11"/>
      <c r="E713" s="71"/>
      <c r="F713" s="72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</row>
    <row r="714">
      <c r="A714" s="11"/>
      <c r="B714" s="11"/>
      <c r="C714" s="11"/>
      <c r="D714" s="11"/>
      <c r="E714" s="71"/>
      <c r="F714" s="72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</row>
    <row r="715">
      <c r="A715" s="11"/>
      <c r="B715" s="11"/>
      <c r="C715" s="11"/>
      <c r="D715" s="11"/>
      <c r="E715" s="71"/>
      <c r="F715" s="72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</row>
    <row r="716">
      <c r="A716" s="11"/>
      <c r="B716" s="11"/>
      <c r="C716" s="11"/>
      <c r="D716" s="11"/>
      <c r="E716" s="71"/>
      <c r="F716" s="72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</row>
    <row r="717">
      <c r="A717" s="11"/>
      <c r="B717" s="11"/>
      <c r="C717" s="11"/>
      <c r="D717" s="11"/>
      <c r="E717" s="71"/>
      <c r="F717" s="72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</row>
    <row r="718">
      <c r="A718" s="11"/>
      <c r="B718" s="11"/>
      <c r="C718" s="11"/>
      <c r="D718" s="11"/>
      <c r="E718" s="71"/>
      <c r="F718" s="72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</row>
    <row r="719">
      <c r="A719" s="11"/>
      <c r="B719" s="11"/>
      <c r="C719" s="11"/>
      <c r="D719" s="11"/>
      <c r="E719" s="71"/>
      <c r="F719" s="72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</row>
    <row r="720">
      <c r="A720" s="11"/>
      <c r="B720" s="11"/>
      <c r="C720" s="11"/>
      <c r="D720" s="11"/>
      <c r="E720" s="71"/>
      <c r="F720" s="72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</row>
    <row r="721">
      <c r="A721" s="11"/>
      <c r="B721" s="11"/>
      <c r="C721" s="11"/>
      <c r="D721" s="11"/>
      <c r="E721" s="71"/>
      <c r="F721" s="72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</row>
    <row r="722">
      <c r="A722" s="11"/>
      <c r="B722" s="11"/>
      <c r="C722" s="11"/>
      <c r="D722" s="11"/>
      <c r="E722" s="71"/>
      <c r="F722" s="72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</row>
    <row r="723">
      <c r="A723" s="11"/>
      <c r="B723" s="11"/>
      <c r="C723" s="11"/>
      <c r="D723" s="11"/>
      <c r="E723" s="71"/>
      <c r="F723" s="72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</row>
    <row r="724">
      <c r="A724" s="11"/>
      <c r="B724" s="11"/>
      <c r="C724" s="11"/>
      <c r="D724" s="11"/>
      <c r="E724" s="71"/>
      <c r="F724" s="72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</row>
    <row r="725">
      <c r="A725" s="11"/>
      <c r="B725" s="11"/>
      <c r="C725" s="11"/>
      <c r="D725" s="11"/>
      <c r="E725" s="71"/>
      <c r="F725" s="72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</row>
    <row r="726">
      <c r="A726" s="11"/>
      <c r="B726" s="11"/>
      <c r="C726" s="11"/>
      <c r="D726" s="11"/>
      <c r="E726" s="71"/>
      <c r="F726" s="72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</row>
    <row r="727">
      <c r="A727" s="11"/>
      <c r="B727" s="11"/>
      <c r="C727" s="11"/>
      <c r="D727" s="11"/>
      <c r="E727" s="71"/>
      <c r="F727" s="72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</row>
    <row r="728">
      <c r="A728" s="11"/>
      <c r="B728" s="11"/>
      <c r="C728" s="11"/>
      <c r="D728" s="11"/>
      <c r="E728" s="71"/>
      <c r="F728" s="72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</row>
    <row r="729">
      <c r="A729" s="11"/>
      <c r="B729" s="11"/>
      <c r="C729" s="11"/>
      <c r="D729" s="11"/>
      <c r="E729" s="71"/>
      <c r="F729" s="72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</row>
    <row r="730">
      <c r="A730" s="11"/>
      <c r="B730" s="11"/>
      <c r="C730" s="11"/>
      <c r="D730" s="11"/>
      <c r="E730" s="71"/>
      <c r="F730" s="72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</row>
    <row r="731">
      <c r="A731" s="11"/>
      <c r="B731" s="11"/>
      <c r="C731" s="11"/>
      <c r="D731" s="11"/>
      <c r="E731" s="71"/>
      <c r="F731" s="72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</row>
    <row r="732">
      <c r="A732" s="11"/>
      <c r="B732" s="11"/>
      <c r="C732" s="11"/>
      <c r="D732" s="11"/>
      <c r="E732" s="71"/>
      <c r="F732" s="72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</row>
    <row r="733">
      <c r="A733" s="11"/>
      <c r="B733" s="11"/>
      <c r="C733" s="11"/>
      <c r="D733" s="11"/>
      <c r="E733" s="71"/>
      <c r="F733" s="72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</row>
    <row r="734">
      <c r="A734" s="11"/>
      <c r="B734" s="11"/>
      <c r="C734" s="11"/>
      <c r="D734" s="11"/>
      <c r="E734" s="71"/>
      <c r="F734" s="72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</row>
    <row r="735">
      <c r="A735" s="11"/>
      <c r="B735" s="11"/>
      <c r="C735" s="11"/>
      <c r="D735" s="11"/>
      <c r="E735" s="71"/>
      <c r="F735" s="72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</row>
    <row r="736">
      <c r="A736" s="11"/>
      <c r="B736" s="11"/>
      <c r="C736" s="11"/>
      <c r="D736" s="11"/>
      <c r="E736" s="71"/>
      <c r="F736" s="72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</row>
    <row r="737">
      <c r="A737" s="11"/>
      <c r="B737" s="11"/>
      <c r="C737" s="11"/>
      <c r="D737" s="11"/>
      <c r="E737" s="71"/>
      <c r="F737" s="72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</row>
    <row r="738">
      <c r="A738" s="11"/>
      <c r="B738" s="11"/>
      <c r="C738" s="11"/>
      <c r="D738" s="11"/>
      <c r="E738" s="71"/>
      <c r="F738" s="72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</row>
    <row r="739">
      <c r="A739" s="11"/>
      <c r="B739" s="11"/>
      <c r="C739" s="11"/>
      <c r="D739" s="11"/>
      <c r="E739" s="71"/>
      <c r="F739" s="72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</row>
    <row r="740">
      <c r="A740" s="11"/>
      <c r="B740" s="11"/>
      <c r="C740" s="11"/>
      <c r="D740" s="11"/>
      <c r="E740" s="71"/>
      <c r="F740" s="72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</row>
    <row r="741">
      <c r="A741" s="11"/>
      <c r="B741" s="11"/>
      <c r="C741" s="11"/>
      <c r="D741" s="11"/>
      <c r="E741" s="71"/>
      <c r="F741" s="72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</row>
    <row r="742">
      <c r="A742" s="11"/>
      <c r="B742" s="11"/>
      <c r="C742" s="11"/>
      <c r="D742" s="11"/>
      <c r="E742" s="71"/>
      <c r="F742" s="72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</row>
    <row r="743">
      <c r="A743" s="11"/>
      <c r="B743" s="11"/>
      <c r="C743" s="11"/>
      <c r="D743" s="11"/>
      <c r="E743" s="71"/>
      <c r="F743" s="72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</row>
  </sheetData>
  <mergeCells count="17">
    <mergeCell ref="B13:B14"/>
    <mergeCell ref="C13:C14"/>
    <mergeCell ref="A19:A23"/>
    <mergeCell ref="B19:B20"/>
    <mergeCell ref="D13:E13"/>
    <mergeCell ref="F13:F14"/>
    <mergeCell ref="G13:G14"/>
    <mergeCell ref="C19:D19"/>
    <mergeCell ref="E19:F19"/>
    <mergeCell ref="A24:F24"/>
    <mergeCell ref="A2:F2"/>
    <mergeCell ref="A4:B4"/>
    <mergeCell ref="A5:B5"/>
    <mergeCell ref="A6:B6"/>
    <mergeCell ref="A7:B7"/>
    <mergeCell ref="A11:F11"/>
    <mergeCell ref="A13:A18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29"/>
    <col customWidth="1" min="2" max="2" width="13.43"/>
    <col customWidth="1" min="3" max="3" width="12.0"/>
    <col customWidth="1" min="4" max="4" width="11.0"/>
    <col customWidth="1" min="5" max="5" width="8.71"/>
    <col customWidth="1" min="6" max="6" width="8.0"/>
    <col customWidth="1" min="7" max="7" width="11.43"/>
    <col customWidth="1" min="8" max="8" width="12.71"/>
    <col customWidth="1" min="9" max="9" width="8.71"/>
    <col customWidth="1" min="10" max="10" width="10.71"/>
    <col customWidth="1" min="11" max="11" width="8.71"/>
  </cols>
  <sheetData>
    <row r="1" ht="13.5" customHeight="1">
      <c r="A1" s="1"/>
      <c r="B1" s="1"/>
      <c r="C1" s="73"/>
      <c r="D1" s="1"/>
      <c r="E1" s="1"/>
      <c r="F1" s="1"/>
      <c r="G1" s="2"/>
      <c r="H1" s="3"/>
      <c r="I1" s="74"/>
      <c r="J1" s="75"/>
      <c r="K1" s="4"/>
    </row>
    <row r="2" ht="13.5" customHeight="1">
      <c r="A2" s="5" t="s">
        <v>20</v>
      </c>
      <c r="I2" s="74"/>
      <c r="J2" s="75"/>
      <c r="K2" s="4"/>
    </row>
    <row r="3" ht="13.5" customHeight="1">
      <c r="A3" s="1"/>
      <c r="B3" s="1"/>
      <c r="C3" s="73"/>
      <c r="D3" s="1"/>
      <c r="E3" s="1"/>
      <c r="F3" s="1"/>
      <c r="G3" s="2"/>
      <c r="H3" s="3"/>
      <c r="I3" s="74"/>
      <c r="J3" s="75"/>
      <c r="K3" s="4"/>
    </row>
    <row r="4" ht="13.5" customHeight="1">
      <c r="A4" s="11"/>
      <c r="B4" s="11"/>
      <c r="C4" s="11"/>
      <c r="D4" s="11"/>
      <c r="E4" s="11"/>
      <c r="F4" s="11"/>
      <c r="G4" s="71"/>
      <c r="H4" s="72"/>
      <c r="I4" s="11"/>
      <c r="J4" s="11"/>
      <c r="K4" s="11"/>
    </row>
    <row r="5" ht="13.5" customHeight="1">
      <c r="A5" s="11"/>
      <c r="B5" s="11"/>
      <c r="C5" s="11"/>
      <c r="D5" s="11"/>
      <c r="E5" s="11"/>
      <c r="F5" s="11"/>
      <c r="G5" s="71"/>
      <c r="H5" s="72"/>
      <c r="I5" s="11"/>
      <c r="J5" s="11"/>
      <c r="K5" s="11"/>
    </row>
    <row r="6" ht="13.5" customHeight="1">
      <c r="A6" s="76" t="s">
        <v>21</v>
      </c>
      <c r="I6" s="74"/>
      <c r="J6" s="75"/>
      <c r="K6" s="4"/>
    </row>
    <row r="7" ht="8.25" customHeight="1">
      <c r="A7" s="1"/>
      <c r="B7" s="1"/>
      <c r="C7" s="73"/>
      <c r="D7" s="1"/>
      <c r="E7" s="1"/>
      <c r="F7" s="1"/>
      <c r="G7" s="2"/>
      <c r="H7" s="3"/>
      <c r="I7" s="74"/>
      <c r="J7" s="75"/>
      <c r="K7" s="4"/>
    </row>
    <row r="8" ht="13.5" customHeight="1">
      <c r="A8" s="77" t="s">
        <v>22</v>
      </c>
      <c r="B8" s="77" t="s">
        <v>23</v>
      </c>
      <c r="C8" s="77" t="s">
        <v>24</v>
      </c>
      <c r="D8" s="77" t="s">
        <v>25</v>
      </c>
      <c r="E8" s="77" t="s">
        <v>26</v>
      </c>
      <c r="F8" s="77" t="s">
        <v>27</v>
      </c>
      <c r="G8" s="78" t="s">
        <v>28</v>
      </c>
      <c r="H8" s="79" t="s">
        <v>29</v>
      </c>
      <c r="I8" s="80"/>
      <c r="J8" s="81"/>
      <c r="K8" s="4"/>
    </row>
    <row r="9" ht="13.5" customHeight="1">
      <c r="A9" s="82">
        <v>46052.0</v>
      </c>
      <c r="B9" s="83"/>
      <c r="C9" s="83"/>
      <c r="D9" s="83"/>
      <c r="E9" s="83"/>
      <c r="F9" s="83"/>
      <c r="G9" s="83"/>
      <c r="H9" s="84"/>
      <c r="I9" s="33"/>
      <c r="J9" s="33"/>
      <c r="K9" s="33"/>
    </row>
    <row r="10" ht="14.25" customHeight="1">
      <c r="A10" s="85" t="s">
        <v>30</v>
      </c>
      <c r="B10" s="86">
        <v>0.018</v>
      </c>
      <c r="C10" s="87">
        <v>0.145</v>
      </c>
      <c r="D10" s="88">
        <v>6.0</v>
      </c>
      <c r="E10" s="89">
        <v>454.0</v>
      </c>
      <c r="F10" s="89">
        <f>(B10*C10*D10)*E10</f>
        <v>7.10964</v>
      </c>
      <c r="G10" s="90">
        <v>24.0</v>
      </c>
      <c r="H10" s="91">
        <f>G10*F10</f>
        <v>170.63136</v>
      </c>
      <c r="I10" s="11"/>
      <c r="J10" s="11"/>
      <c r="K10" s="38"/>
    </row>
    <row r="11" ht="13.5" customHeight="1">
      <c r="A11" s="92" t="s">
        <v>31</v>
      </c>
      <c r="B11" s="92"/>
      <c r="C11" s="93"/>
      <c r="D11" s="92"/>
      <c r="E11" s="94"/>
      <c r="F11" s="94"/>
      <c r="G11" s="95"/>
      <c r="H11" s="96">
        <f>SUM(H9:H10)</f>
        <v>170.63136</v>
      </c>
      <c r="I11" s="38"/>
      <c r="J11" s="11"/>
      <c r="K11" s="11"/>
    </row>
    <row r="12" ht="13.5" customHeight="1">
      <c r="A12" s="11"/>
      <c r="B12" s="11"/>
      <c r="C12" s="11"/>
      <c r="D12" s="11"/>
      <c r="E12" s="11"/>
      <c r="F12" s="11"/>
      <c r="G12" s="71"/>
      <c r="H12" s="72"/>
      <c r="I12" s="11"/>
      <c r="J12" s="11"/>
      <c r="K12" s="11"/>
    </row>
    <row r="13" ht="13.5" customHeight="1">
      <c r="A13" s="11"/>
      <c r="B13" s="11"/>
      <c r="C13" s="11"/>
      <c r="D13" s="11"/>
      <c r="E13" s="11"/>
      <c r="F13" s="11"/>
      <c r="G13" s="71"/>
      <c r="H13" s="72"/>
      <c r="I13" s="11"/>
      <c r="J13" s="11"/>
      <c r="K13" s="11"/>
    </row>
    <row r="14" ht="13.5" customHeight="1">
      <c r="A14" s="97" t="s">
        <v>32</v>
      </c>
      <c r="I14" s="11"/>
      <c r="J14" s="98"/>
      <c r="K14" s="98"/>
    </row>
    <row r="15" ht="13.5" customHeight="1">
      <c r="A15" s="99"/>
      <c r="B15" s="99"/>
      <c r="C15" s="99"/>
      <c r="D15" s="99"/>
      <c r="E15" s="99"/>
      <c r="F15" s="99"/>
      <c r="G15" s="100"/>
      <c r="H15" s="101"/>
      <c r="I15" s="11"/>
      <c r="J15" s="98"/>
      <c r="K15" s="98"/>
    </row>
    <row r="16" ht="13.5" customHeight="1">
      <c r="A16" s="102" t="s">
        <v>22</v>
      </c>
      <c r="B16" s="102" t="s">
        <v>23</v>
      </c>
      <c r="C16" s="102" t="s">
        <v>24</v>
      </c>
      <c r="D16" s="102" t="s">
        <v>25</v>
      </c>
      <c r="E16" s="102" t="s">
        <v>26</v>
      </c>
      <c r="F16" s="102" t="s">
        <v>27</v>
      </c>
      <c r="G16" s="103" t="s">
        <v>28</v>
      </c>
      <c r="H16" s="104" t="s">
        <v>29</v>
      </c>
      <c r="I16" s="11"/>
      <c r="J16" s="98"/>
      <c r="K16" s="98"/>
    </row>
    <row r="17" ht="13.5" customHeight="1">
      <c r="A17" s="105">
        <v>46063.0</v>
      </c>
      <c r="B17" s="106"/>
      <c r="C17" s="106"/>
      <c r="D17" s="106"/>
      <c r="E17" s="106"/>
      <c r="F17" s="106"/>
      <c r="G17" s="106"/>
      <c r="H17" s="107"/>
      <c r="I17" s="98"/>
      <c r="J17" s="98"/>
      <c r="K17" s="98"/>
    </row>
    <row r="18" ht="13.5" customHeight="1">
      <c r="A18" s="108"/>
      <c r="B18" s="86"/>
      <c r="C18" s="87"/>
      <c r="D18" s="87"/>
      <c r="E18" s="109"/>
      <c r="F18" s="110">
        <f t="shared" ref="F18:F19" si="1">(B18*C18*D18)*E18</f>
        <v>0</v>
      </c>
      <c r="G18" s="111"/>
      <c r="H18" s="112">
        <f t="shared" ref="H18:H19" si="2">G18*F18</f>
        <v>0</v>
      </c>
      <c r="I18" s="98"/>
      <c r="J18" s="113"/>
      <c r="K18" s="98"/>
    </row>
    <row r="19" ht="13.5" customHeight="1">
      <c r="A19" s="114"/>
      <c r="B19" s="115"/>
      <c r="C19" s="116"/>
      <c r="D19" s="117"/>
      <c r="E19" s="118"/>
      <c r="F19" s="119">
        <f t="shared" si="1"/>
        <v>0</v>
      </c>
      <c r="G19" s="111"/>
      <c r="H19" s="112">
        <f t="shared" si="2"/>
        <v>0</v>
      </c>
      <c r="I19" s="98"/>
      <c r="J19" s="113"/>
      <c r="K19" s="98"/>
    </row>
    <row r="20" ht="13.5" customHeight="1">
      <c r="A20" s="120" t="s">
        <v>33</v>
      </c>
      <c r="B20" s="106"/>
      <c r="C20" s="106"/>
      <c r="D20" s="106"/>
      <c r="E20" s="106"/>
      <c r="F20" s="106"/>
      <c r="G20" s="106"/>
      <c r="H20" s="107"/>
      <c r="I20" s="98"/>
      <c r="J20" s="98"/>
      <c r="K20" s="98"/>
    </row>
    <row r="21" ht="13.5" customHeight="1">
      <c r="A21" s="114"/>
      <c r="B21" s="121"/>
      <c r="C21" s="121"/>
      <c r="D21" s="122"/>
      <c r="E21" s="122"/>
      <c r="F21" s="110">
        <f t="shared" ref="F21:F22" si="3">(B21*C21*D21)*E21</f>
        <v>0</v>
      </c>
      <c r="G21" s="123"/>
      <c r="H21" s="112">
        <f t="shared" ref="H21:H22" si="4">G21*F21</f>
        <v>0</v>
      </c>
      <c r="I21" s="98"/>
      <c r="J21" s="98"/>
      <c r="K21" s="98"/>
    </row>
    <row r="22" ht="13.5" customHeight="1">
      <c r="A22" s="124"/>
      <c r="B22" s="125"/>
      <c r="C22" s="125"/>
      <c r="D22" s="126"/>
      <c r="E22" s="124"/>
      <c r="F22" s="127">
        <f t="shared" si="3"/>
        <v>0</v>
      </c>
      <c r="G22" s="128"/>
      <c r="H22" s="129">
        <f t="shared" si="4"/>
        <v>0</v>
      </c>
      <c r="I22" s="98"/>
      <c r="J22" s="98"/>
      <c r="K22" s="98"/>
    </row>
    <row r="23" ht="13.5" customHeight="1">
      <c r="A23" s="120" t="s">
        <v>33</v>
      </c>
      <c r="B23" s="106"/>
      <c r="C23" s="106"/>
      <c r="D23" s="106"/>
      <c r="E23" s="106"/>
      <c r="F23" s="106"/>
      <c r="G23" s="106"/>
      <c r="H23" s="107"/>
      <c r="I23" s="98"/>
      <c r="J23" s="98"/>
      <c r="K23" s="98"/>
    </row>
    <row r="24" ht="13.5" customHeight="1">
      <c r="A24" s="114"/>
      <c r="B24" s="121"/>
      <c r="C24" s="121"/>
      <c r="D24" s="122"/>
      <c r="E24" s="122"/>
      <c r="F24" s="110">
        <f t="shared" ref="F24:F25" si="5">(B24*C24*D24)*E24</f>
        <v>0</v>
      </c>
      <c r="G24" s="123"/>
      <c r="H24" s="112">
        <f t="shared" ref="H24:H25" si="6">G24*F24</f>
        <v>0</v>
      </c>
      <c r="I24" s="98"/>
      <c r="J24" s="98"/>
      <c r="K24" s="98"/>
    </row>
    <row r="25" ht="13.5" customHeight="1">
      <c r="A25" s="124"/>
      <c r="B25" s="125"/>
      <c r="C25" s="125"/>
      <c r="D25" s="126"/>
      <c r="E25" s="124"/>
      <c r="F25" s="127">
        <f t="shared" si="5"/>
        <v>0</v>
      </c>
      <c r="G25" s="128"/>
      <c r="H25" s="129">
        <f t="shared" si="6"/>
        <v>0</v>
      </c>
      <c r="I25" s="98"/>
      <c r="J25" s="98"/>
      <c r="K25" s="98"/>
    </row>
    <row r="26" ht="13.5" customHeight="1">
      <c r="A26" s="130" t="s">
        <v>31</v>
      </c>
      <c r="B26" s="131"/>
      <c r="C26" s="131"/>
      <c r="D26" s="131"/>
      <c r="E26" s="131"/>
      <c r="F26" s="131"/>
      <c r="G26" s="132"/>
      <c r="H26" s="133">
        <f>SUM(H17:H25)</f>
        <v>0</v>
      </c>
      <c r="I26" s="98"/>
      <c r="J26" s="98"/>
      <c r="K26" s="98"/>
    </row>
    <row r="27" ht="13.5" customHeight="1">
      <c r="A27" s="11"/>
      <c r="B27" s="11"/>
      <c r="C27" s="11"/>
      <c r="D27" s="11"/>
      <c r="E27" s="11"/>
      <c r="F27" s="11"/>
      <c r="G27" s="71"/>
      <c r="H27" s="72"/>
      <c r="I27" s="11"/>
      <c r="J27" s="11"/>
      <c r="K27" s="11"/>
    </row>
    <row r="28" ht="13.5" customHeight="1">
      <c r="A28" s="11"/>
      <c r="B28" s="11"/>
      <c r="C28" s="11"/>
      <c r="D28" s="11"/>
      <c r="E28" s="11"/>
      <c r="F28" s="11"/>
      <c r="G28" s="71"/>
      <c r="H28" s="72"/>
      <c r="I28" s="11"/>
      <c r="J28" s="11"/>
      <c r="K28" s="11"/>
    </row>
    <row r="29" ht="13.5" customHeight="1">
      <c r="A29" s="11"/>
      <c r="B29" s="11"/>
      <c r="C29" s="11"/>
      <c r="D29" s="11"/>
      <c r="E29" s="11"/>
      <c r="F29" s="11"/>
      <c r="G29" s="71"/>
      <c r="H29" s="72"/>
      <c r="I29" s="11"/>
      <c r="J29" s="11"/>
      <c r="K29" s="11"/>
    </row>
    <row r="30" ht="13.5" customHeight="1">
      <c r="A30" s="11"/>
      <c r="B30" s="11"/>
      <c r="C30" s="11"/>
      <c r="D30" s="11"/>
      <c r="E30" s="11"/>
      <c r="F30" s="11"/>
      <c r="G30" s="71"/>
      <c r="H30" s="72"/>
      <c r="I30" s="11"/>
      <c r="J30" s="11"/>
      <c r="K30" s="11"/>
    </row>
    <row r="31" ht="13.5" customHeight="1">
      <c r="A31" s="11"/>
      <c r="B31" s="11"/>
      <c r="C31" s="11"/>
      <c r="D31" s="11"/>
      <c r="E31" s="11"/>
      <c r="F31" s="11"/>
      <c r="G31" s="71"/>
      <c r="H31" s="72"/>
      <c r="I31" s="11"/>
      <c r="J31" s="11"/>
      <c r="K31" s="11"/>
    </row>
    <row r="32" ht="13.5" customHeight="1">
      <c r="A32" s="11"/>
      <c r="B32" s="11"/>
      <c r="C32" s="11"/>
      <c r="D32" s="11"/>
      <c r="E32" s="11"/>
      <c r="F32" s="11"/>
      <c r="G32" s="71"/>
      <c r="H32" s="72"/>
      <c r="I32" s="11"/>
      <c r="J32" s="11"/>
      <c r="K32" s="11"/>
    </row>
    <row r="33" ht="13.5" customHeight="1">
      <c r="A33" s="11"/>
      <c r="B33" s="11"/>
      <c r="C33" s="11"/>
      <c r="D33" s="11"/>
      <c r="E33" s="11"/>
      <c r="F33" s="11"/>
      <c r="G33" s="71"/>
      <c r="H33" s="72"/>
      <c r="I33" s="11"/>
      <c r="J33" s="11"/>
      <c r="K33" s="11"/>
    </row>
    <row r="34" ht="13.5" customHeight="1">
      <c r="A34" s="11"/>
      <c r="B34" s="11"/>
      <c r="C34" s="11"/>
      <c r="D34" s="11"/>
      <c r="E34" s="11"/>
      <c r="F34" s="11"/>
      <c r="G34" s="71"/>
      <c r="H34" s="72"/>
      <c r="I34" s="11"/>
      <c r="J34" s="11"/>
      <c r="K34" s="11"/>
    </row>
    <row r="35" ht="13.5" customHeight="1">
      <c r="A35" s="11"/>
      <c r="B35" s="11"/>
      <c r="C35" s="11"/>
      <c r="D35" s="11"/>
      <c r="E35" s="11"/>
      <c r="F35" s="11"/>
      <c r="G35" s="71"/>
      <c r="H35" s="72"/>
      <c r="I35" s="11"/>
      <c r="J35" s="11"/>
      <c r="K35" s="11"/>
    </row>
    <row r="36" ht="13.5" customHeight="1">
      <c r="A36" s="11"/>
      <c r="B36" s="11"/>
      <c r="C36" s="11"/>
      <c r="D36" s="11"/>
      <c r="E36" s="11"/>
      <c r="F36" s="11"/>
      <c r="G36" s="71"/>
      <c r="H36" s="72"/>
      <c r="I36" s="11"/>
      <c r="J36" s="11"/>
      <c r="K36" s="11"/>
    </row>
    <row r="37" ht="13.5" customHeight="1">
      <c r="A37" s="11"/>
      <c r="B37" s="11"/>
      <c r="C37" s="11"/>
      <c r="D37" s="11"/>
      <c r="E37" s="11"/>
      <c r="F37" s="11"/>
      <c r="G37" s="71"/>
      <c r="H37" s="72"/>
      <c r="I37" s="11"/>
      <c r="J37" s="11"/>
      <c r="K37" s="11"/>
    </row>
    <row r="38" ht="13.5" customHeight="1">
      <c r="A38" s="11"/>
      <c r="B38" s="11"/>
      <c r="C38" s="11"/>
      <c r="D38" s="11"/>
      <c r="E38" s="11"/>
      <c r="F38" s="11"/>
      <c r="G38" s="71"/>
      <c r="H38" s="72"/>
      <c r="I38" s="11"/>
      <c r="J38" s="11"/>
      <c r="K38" s="11"/>
    </row>
    <row r="39" ht="13.5" customHeight="1">
      <c r="A39" s="11"/>
      <c r="B39" s="11"/>
      <c r="C39" s="11"/>
      <c r="D39" s="11"/>
      <c r="E39" s="11"/>
      <c r="F39" s="11"/>
      <c r="G39" s="71"/>
      <c r="H39" s="72"/>
      <c r="I39" s="11"/>
      <c r="J39" s="11"/>
      <c r="K39" s="11"/>
    </row>
    <row r="40" ht="13.5" customHeight="1">
      <c r="A40" s="11"/>
      <c r="B40" s="11"/>
      <c r="C40" s="11"/>
      <c r="D40" s="11"/>
      <c r="E40" s="11"/>
      <c r="F40" s="11"/>
      <c r="G40" s="71"/>
      <c r="H40" s="72"/>
      <c r="I40" s="11"/>
      <c r="J40" s="11"/>
      <c r="K40" s="11"/>
    </row>
    <row r="41" ht="13.5" customHeight="1">
      <c r="A41" s="11"/>
      <c r="B41" s="11"/>
      <c r="C41" s="11"/>
      <c r="D41" s="11"/>
      <c r="E41" s="11"/>
      <c r="F41" s="11"/>
      <c r="G41" s="71"/>
      <c r="H41" s="72"/>
      <c r="I41" s="11"/>
      <c r="J41" s="11"/>
      <c r="K41" s="11"/>
    </row>
    <row r="42" ht="13.5" customHeight="1">
      <c r="A42" s="11"/>
      <c r="B42" s="11"/>
      <c r="C42" s="11"/>
      <c r="D42" s="11"/>
      <c r="E42" s="11"/>
      <c r="F42" s="11"/>
      <c r="G42" s="71"/>
      <c r="H42" s="72"/>
      <c r="I42" s="11"/>
      <c r="J42" s="11"/>
      <c r="K42" s="11"/>
    </row>
    <row r="43" ht="13.5" customHeight="1">
      <c r="A43" s="11"/>
      <c r="B43" s="11"/>
      <c r="C43" s="11"/>
      <c r="D43" s="11"/>
      <c r="E43" s="11"/>
      <c r="F43" s="11"/>
      <c r="G43" s="71"/>
      <c r="H43" s="72"/>
      <c r="I43" s="11"/>
      <c r="J43" s="11"/>
      <c r="K43" s="11"/>
    </row>
    <row r="44" ht="13.5" customHeight="1">
      <c r="A44" s="11"/>
      <c r="B44" s="11"/>
      <c r="C44" s="11"/>
      <c r="D44" s="11"/>
      <c r="E44" s="11"/>
      <c r="F44" s="11"/>
      <c r="G44" s="71"/>
      <c r="H44" s="72"/>
      <c r="I44" s="11"/>
      <c r="J44" s="11"/>
      <c r="K44" s="11"/>
    </row>
    <row r="45" ht="13.5" customHeight="1">
      <c r="A45" s="11"/>
      <c r="B45" s="11"/>
      <c r="C45" s="11"/>
      <c r="D45" s="11"/>
      <c r="E45" s="11"/>
      <c r="F45" s="11"/>
      <c r="G45" s="71"/>
      <c r="H45" s="72"/>
      <c r="I45" s="11"/>
      <c r="J45" s="11"/>
      <c r="K45" s="11"/>
    </row>
    <row r="46" ht="13.5" customHeight="1">
      <c r="A46" s="11"/>
      <c r="B46" s="11"/>
      <c r="C46" s="11"/>
      <c r="D46" s="11"/>
      <c r="E46" s="11"/>
      <c r="F46" s="11"/>
      <c r="G46" s="71"/>
      <c r="H46" s="72"/>
      <c r="I46" s="11"/>
      <c r="J46" s="11"/>
      <c r="K46" s="11"/>
    </row>
    <row r="47" ht="13.5" customHeight="1">
      <c r="A47" s="11"/>
      <c r="B47" s="11"/>
      <c r="C47" s="11"/>
      <c r="D47" s="11"/>
      <c r="E47" s="11"/>
      <c r="F47" s="11"/>
      <c r="G47" s="71"/>
      <c r="H47" s="72"/>
      <c r="I47" s="11"/>
      <c r="J47" s="11"/>
      <c r="K47" s="11"/>
    </row>
    <row r="48" ht="13.5" customHeight="1">
      <c r="A48" s="11"/>
      <c r="B48" s="11"/>
      <c r="C48" s="11"/>
      <c r="D48" s="11"/>
      <c r="E48" s="11"/>
      <c r="F48" s="11"/>
      <c r="G48" s="71"/>
      <c r="H48" s="72"/>
      <c r="I48" s="11"/>
      <c r="J48" s="11"/>
      <c r="K48" s="11"/>
    </row>
    <row r="49" ht="13.5" customHeight="1">
      <c r="A49" s="11"/>
      <c r="B49" s="11"/>
      <c r="C49" s="11"/>
      <c r="D49" s="11"/>
      <c r="E49" s="11"/>
      <c r="F49" s="11"/>
      <c r="G49" s="71"/>
      <c r="H49" s="72"/>
      <c r="I49" s="11"/>
      <c r="J49" s="11"/>
      <c r="K49" s="11"/>
    </row>
    <row r="50" ht="13.5" customHeight="1">
      <c r="A50" s="11"/>
      <c r="B50" s="11"/>
      <c r="C50" s="11"/>
      <c r="D50" s="11"/>
      <c r="E50" s="11"/>
      <c r="F50" s="11"/>
      <c r="G50" s="71"/>
      <c r="H50" s="72"/>
      <c r="I50" s="11"/>
      <c r="J50" s="11"/>
      <c r="K50" s="11"/>
    </row>
    <row r="51" ht="13.5" customHeight="1">
      <c r="A51" s="11"/>
      <c r="B51" s="11"/>
      <c r="C51" s="11"/>
      <c r="D51" s="11"/>
      <c r="E51" s="11"/>
      <c r="F51" s="11"/>
      <c r="G51" s="71"/>
      <c r="H51" s="72"/>
      <c r="I51" s="11"/>
      <c r="J51" s="11"/>
      <c r="K51" s="11"/>
    </row>
    <row r="52" ht="13.5" customHeight="1">
      <c r="A52" s="11"/>
      <c r="B52" s="11"/>
      <c r="C52" s="11"/>
      <c r="D52" s="11"/>
      <c r="E52" s="11"/>
      <c r="F52" s="11"/>
      <c r="G52" s="71"/>
      <c r="H52" s="72"/>
      <c r="I52" s="11"/>
      <c r="J52" s="11"/>
      <c r="K52" s="11"/>
    </row>
    <row r="53" ht="13.5" customHeight="1">
      <c r="A53" s="11"/>
      <c r="B53" s="11"/>
      <c r="C53" s="11"/>
      <c r="D53" s="11"/>
      <c r="E53" s="11"/>
      <c r="F53" s="11"/>
      <c r="G53" s="71"/>
      <c r="H53" s="72"/>
      <c r="I53" s="11"/>
      <c r="J53" s="11"/>
      <c r="K53" s="11"/>
    </row>
    <row r="54" ht="13.5" customHeight="1">
      <c r="A54" s="11"/>
      <c r="B54" s="11"/>
      <c r="C54" s="11"/>
      <c r="D54" s="11"/>
      <c r="E54" s="11"/>
      <c r="F54" s="11"/>
      <c r="G54" s="71"/>
      <c r="H54" s="72"/>
      <c r="I54" s="11"/>
      <c r="J54" s="11"/>
      <c r="K54" s="11"/>
    </row>
    <row r="55" ht="13.5" customHeight="1">
      <c r="A55" s="11"/>
      <c r="B55" s="11"/>
      <c r="C55" s="11"/>
      <c r="D55" s="11"/>
      <c r="E55" s="11"/>
      <c r="F55" s="11"/>
      <c r="G55" s="71"/>
      <c r="H55" s="72"/>
      <c r="I55" s="11"/>
      <c r="J55" s="11"/>
      <c r="K55" s="11"/>
    </row>
    <row r="56" ht="13.5" customHeight="1">
      <c r="A56" s="11"/>
      <c r="B56" s="11"/>
      <c r="C56" s="11"/>
      <c r="D56" s="11"/>
      <c r="E56" s="11"/>
      <c r="F56" s="11"/>
      <c r="G56" s="71"/>
      <c r="H56" s="72"/>
      <c r="I56" s="11"/>
      <c r="J56" s="11"/>
      <c r="K56" s="11"/>
    </row>
    <row r="57" ht="13.5" customHeight="1">
      <c r="A57" s="11"/>
      <c r="B57" s="11"/>
      <c r="C57" s="11"/>
      <c r="D57" s="11"/>
      <c r="E57" s="11"/>
      <c r="F57" s="11"/>
      <c r="G57" s="71"/>
      <c r="H57" s="72"/>
      <c r="I57" s="11"/>
      <c r="J57" s="11"/>
      <c r="K57" s="11"/>
    </row>
    <row r="58" ht="13.5" customHeight="1">
      <c r="A58" s="11"/>
      <c r="B58" s="11"/>
      <c r="C58" s="11"/>
      <c r="D58" s="11"/>
      <c r="E58" s="11"/>
      <c r="F58" s="11"/>
      <c r="G58" s="71"/>
      <c r="H58" s="72"/>
      <c r="I58" s="11"/>
      <c r="J58" s="11"/>
      <c r="K58" s="11"/>
    </row>
    <row r="59" ht="13.5" customHeight="1">
      <c r="A59" s="11"/>
      <c r="B59" s="11"/>
      <c r="C59" s="11"/>
      <c r="D59" s="11"/>
      <c r="E59" s="11"/>
      <c r="F59" s="11"/>
      <c r="G59" s="71"/>
      <c r="H59" s="72"/>
      <c r="I59" s="11"/>
      <c r="J59" s="11"/>
      <c r="K59" s="11"/>
    </row>
    <row r="60" ht="13.5" customHeight="1">
      <c r="A60" s="11"/>
      <c r="B60" s="11"/>
      <c r="C60" s="11"/>
      <c r="D60" s="11"/>
      <c r="E60" s="11"/>
      <c r="F60" s="11"/>
      <c r="G60" s="71"/>
      <c r="H60" s="72"/>
      <c r="I60" s="11"/>
      <c r="J60" s="11"/>
      <c r="K60" s="11"/>
    </row>
    <row r="61" ht="13.5" customHeight="1">
      <c r="A61" s="11"/>
      <c r="B61" s="11"/>
      <c r="C61" s="11"/>
      <c r="D61" s="11"/>
      <c r="E61" s="11"/>
      <c r="F61" s="11"/>
      <c r="G61" s="71"/>
      <c r="H61" s="72"/>
      <c r="I61" s="11"/>
      <c r="J61" s="11"/>
      <c r="K61" s="11"/>
    </row>
    <row r="62" ht="13.5" customHeight="1">
      <c r="A62" s="11"/>
      <c r="B62" s="11"/>
      <c r="C62" s="11"/>
      <c r="D62" s="11"/>
      <c r="E62" s="11"/>
      <c r="F62" s="11"/>
      <c r="G62" s="71"/>
      <c r="H62" s="72"/>
      <c r="I62" s="11"/>
      <c r="J62" s="11"/>
      <c r="K62" s="11"/>
    </row>
    <row r="63" ht="13.5" customHeight="1">
      <c r="A63" s="11"/>
      <c r="B63" s="11"/>
      <c r="C63" s="11"/>
      <c r="D63" s="11"/>
      <c r="E63" s="11"/>
      <c r="F63" s="11"/>
      <c r="G63" s="71"/>
      <c r="H63" s="72"/>
      <c r="I63" s="11"/>
      <c r="J63" s="11"/>
      <c r="K63" s="11"/>
    </row>
    <row r="64" ht="13.5" customHeight="1">
      <c r="A64" s="11"/>
      <c r="B64" s="11"/>
      <c r="C64" s="11"/>
      <c r="D64" s="11"/>
      <c r="E64" s="11"/>
      <c r="F64" s="11"/>
      <c r="G64" s="71"/>
      <c r="H64" s="72"/>
      <c r="I64" s="11"/>
      <c r="J64" s="11"/>
      <c r="K64" s="11"/>
    </row>
    <row r="65" ht="13.5" customHeight="1">
      <c r="A65" s="11"/>
      <c r="B65" s="11"/>
      <c r="C65" s="11"/>
      <c r="D65" s="11"/>
      <c r="E65" s="11"/>
      <c r="F65" s="11"/>
      <c r="G65" s="71"/>
      <c r="H65" s="72"/>
      <c r="I65" s="11"/>
      <c r="J65" s="11"/>
      <c r="K65" s="11"/>
    </row>
    <row r="66" ht="13.5" customHeight="1">
      <c r="A66" s="11"/>
      <c r="B66" s="11"/>
      <c r="C66" s="11"/>
      <c r="D66" s="11"/>
      <c r="E66" s="11"/>
      <c r="F66" s="11"/>
      <c r="G66" s="71"/>
      <c r="H66" s="72"/>
      <c r="I66" s="11"/>
      <c r="J66" s="11"/>
      <c r="K66" s="11"/>
    </row>
    <row r="67" ht="13.5" customHeight="1">
      <c r="A67" s="11"/>
      <c r="B67" s="11"/>
      <c r="C67" s="11"/>
      <c r="D67" s="11"/>
      <c r="E67" s="11"/>
      <c r="F67" s="11"/>
      <c r="G67" s="71"/>
      <c r="H67" s="72"/>
      <c r="I67" s="11"/>
      <c r="J67" s="11"/>
      <c r="K67" s="11"/>
    </row>
    <row r="68" ht="13.5" customHeight="1">
      <c r="A68" s="11"/>
      <c r="B68" s="11"/>
      <c r="C68" s="11"/>
      <c r="D68" s="11"/>
      <c r="E68" s="11"/>
      <c r="F68" s="11"/>
      <c r="G68" s="71"/>
      <c r="H68" s="72"/>
      <c r="I68" s="11"/>
      <c r="J68" s="11"/>
      <c r="K68" s="11"/>
    </row>
    <row r="69" ht="13.5" customHeight="1">
      <c r="A69" s="11"/>
      <c r="B69" s="11"/>
      <c r="C69" s="11"/>
      <c r="D69" s="11"/>
      <c r="E69" s="11"/>
      <c r="F69" s="11"/>
      <c r="G69" s="71"/>
      <c r="H69" s="72"/>
      <c r="I69" s="11"/>
      <c r="J69" s="11"/>
      <c r="K69" s="11"/>
    </row>
    <row r="70" ht="13.5" customHeight="1">
      <c r="A70" s="11"/>
      <c r="B70" s="11"/>
      <c r="C70" s="11"/>
      <c r="D70" s="11"/>
      <c r="E70" s="11"/>
      <c r="F70" s="11"/>
      <c r="G70" s="71"/>
      <c r="H70" s="72"/>
      <c r="I70" s="11"/>
      <c r="J70" s="11"/>
      <c r="K70" s="11"/>
    </row>
    <row r="71" ht="13.5" customHeight="1">
      <c r="A71" s="11"/>
      <c r="B71" s="11"/>
      <c r="C71" s="11"/>
      <c r="D71" s="11"/>
      <c r="E71" s="11"/>
      <c r="F71" s="11"/>
      <c r="G71" s="71"/>
      <c r="H71" s="72"/>
      <c r="I71" s="11"/>
      <c r="J71" s="11"/>
      <c r="K71" s="11"/>
    </row>
    <row r="72" ht="13.5" customHeight="1">
      <c r="A72" s="11"/>
      <c r="B72" s="11"/>
      <c r="C72" s="11"/>
      <c r="D72" s="11"/>
      <c r="E72" s="11"/>
      <c r="F72" s="11"/>
      <c r="G72" s="71"/>
      <c r="H72" s="72"/>
      <c r="I72" s="11"/>
      <c r="J72" s="11"/>
      <c r="K72" s="11"/>
    </row>
    <row r="73" ht="13.5" customHeight="1">
      <c r="A73" s="11"/>
      <c r="B73" s="11"/>
      <c r="C73" s="11"/>
      <c r="D73" s="11"/>
      <c r="E73" s="11"/>
      <c r="F73" s="11"/>
      <c r="G73" s="71"/>
      <c r="H73" s="72"/>
      <c r="I73" s="11"/>
      <c r="J73" s="11"/>
      <c r="K73" s="11"/>
    </row>
    <row r="74" ht="13.5" customHeight="1">
      <c r="A74" s="11"/>
      <c r="B74" s="11"/>
      <c r="C74" s="11"/>
      <c r="D74" s="11"/>
      <c r="E74" s="11"/>
      <c r="F74" s="11"/>
      <c r="G74" s="71"/>
      <c r="H74" s="72"/>
      <c r="I74" s="11"/>
      <c r="J74" s="11"/>
      <c r="K74" s="11"/>
    </row>
    <row r="75" ht="13.5" customHeight="1">
      <c r="A75" s="11"/>
      <c r="B75" s="11"/>
      <c r="C75" s="11"/>
      <c r="D75" s="11"/>
      <c r="E75" s="11"/>
      <c r="F75" s="11"/>
      <c r="G75" s="71"/>
      <c r="H75" s="72"/>
      <c r="I75" s="11"/>
      <c r="J75" s="11"/>
      <c r="K75" s="11"/>
    </row>
    <row r="76" ht="13.5" customHeight="1">
      <c r="A76" s="11"/>
      <c r="B76" s="11"/>
      <c r="C76" s="11"/>
      <c r="D76" s="11"/>
      <c r="E76" s="11"/>
      <c r="F76" s="11"/>
      <c r="G76" s="71"/>
      <c r="H76" s="72"/>
      <c r="I76" s="11"/>
      <c r="J76" s="11"/>
      <c r="K76" s="11"/>
    </row>
    <row r="77" ht="13.5" customHeight="1">
      <c r="A77" s="11"/>
      <c r="B77" s="11"/>
      <c r="C77" s="11"/>
      <c r="D77" s="11"/>
      <c r="E77" s="11"/>
      <c r="F77" s="11"/>
      <c r="G77" s="71"/>
      <c r="H77" s="72"/>
      <c r="I77" s="11"/>
      <c r="J77" s="11"/>
      <c r="K77" s="11"/>
    </row>
    <row r="78" ht="13.5" customHeight="1">
      <c r="A78" s="11"/>
      <c r="B78" s="11"/>
      <c r="C78" s="11"/>
      <c r="D78" s="11"/>
      <c r="E78" s="11"/>
      <c r="F78" s="11"/>
      <c r="G78" s="71"/>
      <c r="H78" s="72"/>
      <c r="I78" s="11"/>
      <c r="J78" s="11"/>
      <c r="K78" s="11"/>
    </row>
    <row r="79" ht="13.5" customHeight="1">
      <c r="A79" s="11"/>
      <c r="B79" s="11"/>
      <c r="C79" s="11"/>
      <c r="D79" s="11"/>
      <c r="E79" s="11"/>
      <c r="F79" s="11"/>
      <c r="G79" s="71"/>
      <c r="H79" s="72"/>
      <c r="I79" s="11"/>
      <c r="J79" s="11"/>
      <c r="K79" s="11"/>
    </row>
    <row r="80" ht="13.5" customHeight="1">
      <c r="A80" s="11"/>
      <c r="B80" s="11"/>
      <c r="C80" s="11"/>
      <c r="D80" s="11"/>
      <c r="E80" s="11"/>
      <c r="F80" s="11"/>
      <c r="G80" s="71"/>
      <c r="H80" s="72"/>
      <c r="I80" s="11"/>
      <c r="J80" s="11"/>
      <c r="K80" s="11"/>
    </row>
    <row r="81" ht="13.5" customHeight="1">
      <c r="A81" s="11"/>
      <c r="B81" s="11"/>
      <c r="C81" s="11"/>
      <c r="D81" s="11"/>
      <c r="E81" s="11"/>
      <c r="F81" s="11"/>
      <c r="G81" s="71"/>
      <c r="H81" s="72"/>
      <c r="I81" s="11"/>
      <c r="J81" s="11"/>
      <c r="K81" s="11"/>
    </row>
    <row r="82" ht="13.5" customHeight="1">
      <c r="A82" s="11"/>
      <c r="B82" s="11"/>
      <c r="C82" s="11"/>
      <c r="D82" s="11"/>
      <c r="E82" s="11"/>
      <c r="F82" s="11"/>
      <c r="G82" s="71"/>
      <c r="H82" s="72"/>
      <c r="I82" s="11"/>
      <c r="J82" s="11"/>
      <c r="K82" s="11"/>
    </row>
    <row r="83" ht="13.5" customHeight="1">
      <c r="A83" s="11"/>
      <c r="B83" s="11"/>
      <c r="C83" s="11"/>
      <c r="D83" s="11"/>
      <c r="E83" s="11"/>
      <c r="F83" s="11"/>
      <c r="G83" s="71"/>
      <c r="H83" s="72"/>
      <c r="I83" s="11"/>
      <c r="J83" s="11"/>
      <c r="K83" s="11"/>
    </row>
    <row r="84" ht="13.5" customHeight="1">
      <c r="A84" s="11"/>
      <c r="B84" s="11"/>
      <c r="C84" s="11"/>
      <c r="D84" s="11"/>
      <c r="E84" s="11"/>
      <c r="F84" s="11"/>
      <c r="G84" s="71"/>
      <c r="H84" s="72"/>
      <c r="I84" s="11"/>
      <c r="J84" s="11"/>
      <c r="K84" s="11"/>
    </row>
    <row r="85" ht="13.5" customHeight="1">
      <c r="A85" s="11"/>
      <c r="B85" s="11"/>
      <c r="C85" s="11"/>
      <c r="D85" s="11"/>
      <c r="E85" s="11"/>
      <c r="F85" s="11"/>
      <c r="G85" s="71"/>
      <c r="H85" s="72"/>
      <c r="I85" s="11"/>
      <c r="J85" s="11"/>
      <c r="K85" s="11"/>
    </row>
    <row r="86" ht="13.5" customHeight="1">
      <c r="A86" s="11"/>
      <c r="B86" s="11"/>
      <c r="C86" s="11"/>
      <c r="D86" s="11"/>
      <c r="E86" s="11"/>
      <c r="F86" s="11"/>
      <c r="G86" s="71"/>
      <c r="H86" s="72"/>
      <c r="I86" s="11"/>
      <c r="J86" s="11"/>
      <c r="K86" s="11"/>
    </row>
    <row r="87" ht="13.5" customHeight="1">
      <c r="A87" s="11"/>
      <c r="B87" s="11"/>
      <c r="C87" s="11"/>
      <c r="D87" s="11"/>
      <c r="E87" s="11"/>
      <c r="F87" s="11"/>
      <c r="G87" s="71"/>
      <c r="H87" s="72"/>
      <c r="I87" s="11"/>
      <c r="J87" s="11"/>
      <c r="K87" s="11"/>
    </row>
    <row r="88" ht="13.5" customHeight="1">
      <c r="A88" s="11"/>
      <c r="B88" s="11"/>
      <c r="C88" s="11"/>
      <c r="D88" s="11"/>
      <c r="E88" s="11"/>
      <c r="F88" s="11"/>
      <c r="G88" s="71"/>
      <c r="H88" s="72"/>
      <c r="I88" s="11"/>
      <c r="J88" s="11"/>
      <c r="K88" s="11"/>
    </row>
    <row r="89" ht="13.5" customHeight="1">
      <c r="A89" s="11"/>
      <c r="B89" s="11"/>
      <c r="C89" s="11"/>
      <c r="D89" s="11"/>
      <c r="E89" s="11"/>
      <c r="F89" s="11"/>
      <c r="G89" s="71"/>
      <c r="H89" s="72"/>
      <c r="I89" s="11"/>
      <c r="J89" s="11"/>
      <c r="K89" s="11"/>
    </row>
    <row r="90" ht="13.5" customHeight="1">
      <c r="A90" s="11"/>
      <c r="B90" s="11"/>
      <c r="C90" s="11"/>
      <c r="D90" s="11"/>
      <c r="E90" s="11"/>
      <c r="F90" s="11"/>
      <c r="G90" s="71"/>
      <c r="H90" s="72"/>
      <c r="I90" s="11"/>
      <c r="J90" s="11"/>
      <c r="K90" s="11"/>
    </row>
    <row r="91" ht="13.5" customHeight="1">
      <c r="A91" s="11"/>
      <c r="B91" s="11"/>
      <c r="C91" s="11"/>
      <c r="D91" s="11"/>
      <c r="E91" s="11"/>
      <c r="F91" s="11"/>
      <c r="G91" s="71"/>
      <c r="H91" s="72"/>
      <c r="I91" s="11"/>
      <c r="J91" s="11"/>
      <c r="K91" s="11"/>
    </row>
    <row r="92" ht="13.5" customHeight="1">
      <c r="A92" s="11"/>
      <c r="B92" s="11"/>
      <c r="C92" s="11"/>
      <c r="D92" s="11"/>
      <c r="E92" s="11"/>
      <c r="F92" s="11"/>
      <c r="G92" s="71"/>
      <c r="H92" s="72"/>
      <c r="I92" s="11"/>
      <c r="J92" s="11"/>
      <c r="K92" s="11"/>
    </row>
    <row r="93" ht="13.5" customHeight="1">
      <c r="A93" s="11"/>
      <c r="B93" s="11"/>
      <c r="C93" s="11"/>
      <c r="D93" s="11"/>
      <c r="E93" s="11"/>
      <c r="F93" s="11"/>
      <c r="G93" s="71"/>
      <c r="H93" s="72"/>
      <c r="I93" s="11"/>
      <c r="J93" s="11"/>
      <c r="K93" s="11"/>
    </row>
    <row r="94" ht="13.5" customHeight="1">
      <c r="A94" s="11"/>
      <c r="B94" s="11"/>
      <c r="C94" s="11"/>
      <c r="D94" s="11"/>
      <c r="E94" s="11"/>
      <c r="F94" s="11"/>
      <c r="G94" s="71"/>
      <c r="H94" s="72"/>
      <c r="I94" s="11"/>
      <c r="J94" s="11"/>
      <c r="K94" s="11"/>
    </row>
    <row r="95" ht="13.5" customHeight="1">
      <c r="A95" s="11"/>
      <c r="B95" s="11"/>
      <c r="C95" s="11"/>
      <c r="D95" s="11"/>
      <c r="E95" s="11"/>
      <c r="F95" s="11"/>
      <c r="G95" s="71"/>
      <c r="H95" s="72"/>
      <c r="I95" s="11"/>
      <c r="J95" s="11"/>
      <c r="K95" s="11"/>
    </row>
    <row r="96" ht="13.5" customHeight="1">
      <c r="A96" s="11"/>
      <c r="B96" s="11"/>
      <c r="C96" s="11"/>
      <c r="D96" s="11"/>
      <c r="E96" s="11"/>
      <c r="F96" s="11"/>
      <c r="G96" s="71"/>
      <c r="H96" s="72"/>
      <c r="I96" s="11"/>
      <c r="J96" s="11"/>
      <c r="K96" s="11"/>
    </row>
    <row r="97" ht="13.5" customHeight="1">
      <c r="A97" s="11"/>
      <c r="B97" s="11"/>
      <c r="C97" s="11"/>
      <c r="D97" s="11"/>
      <c r="E97" s="11"/>
      <c r="F97" s="11"/>
      <c r="G97" s="71"/>
      <c r="H97" s="72"/>
      <c r="I97" s="11"/>
      <c r="J97" s="11"/>
      <c r="K97" s="11"/>
    </row>
    <row r="98" ht="13.5" customHeight="1">
      <c r="A98" s="11"/>
      <c r="B98" s="11"/>
      <c r="C98" s="11"/>
      <c r="D98" s="11"/>
      <c r="E98" s="11"/>
      <c r="F98" s="11"/>
      <c r="G98" s="71"/>
      <c r="H98" s="72"/>
      <c r="I98" s="11"/>
      <c r="J98" s="11"/>
      <c r="K98" s="11"/>
    </row>
    <row r="99" ht="13.5" customHeight="1">
      <c r="A99" s="11"/>
      <c r="B99" s="11"/>
      <c r="C99" s="11"/>
      <c r="D99" s="11"/>
      <c r="E99" s="11"/>
      <c r="F99" s="11"/>
      <c r="G99" s="71"/>
      <c r="H99" s="72"/>
      <c r="I99" s="11"/>
      <c r="J99" s="11"/>
      <c r="K99" s="11"/>
    </row>
    <row r="100" ht="13.5" customHeight="1">
      <c r="A100" s="11"/>
      <c r="B100" s="11"/>
      <c r="C100" s="11"/>
      <c r="D100" s="11"/>
      <c r="E100" s="11"/>
      <c r="F100" s="11"/>
      <c r="G100" s="71"/>
      <c r="H100" s="72"/>
      <c r="I100" s="11"/>
      <c r="J100" s="11"/>
      <c r="K100" s="11"/>
    </row>
    <row r="101" ht="13.5" customHeight="1">
      <c r="A101" s="11"/>
      <c r="B101" s="11"/>
      <c r="C101" s="11"/>
      <c r="D101" s="11"/>
      <c r="E101" s="11"/>
      <c r="F101" s="11"/>
      <c r="G101" s="71"/>
      <c r="H101" s="72"/>
      <c r="I101" s="11"/>
      <c r="J101" s="11"/>
      <c r="K101" s="11"/>
    </row>
    <row r="102" ht="13.5" customHeight="1">
      <c r="A102" s="11"/>
      <c r="B102" s="11"/>
      <c r="C102" s="11"/>
      <c r="D102" s="11"/>
      <c r="E102" s="11"/>
      <c r="F102" s="11"/>
      <c r="G102" s="71"/>
      <c r="H102" s="72"/>
      <c r="I102" s="11"/>
      <c r="J102" s="11"/>
      <c r="K102" s="11"/>
    </row>
    <row r="103" ht="13.5" customHeight="1">
      <c r="A103" s="11"/>
      <c r="B103" s="11"/>
      <c r="C103" s="11"/>
      <c r="D103" s="11"/>
      <c r="E103" s="11"/>
      <c r="F103" s="11"/>
      <c r="G103" s="71"/>
      <c r="H103" s="72"/>
      <c r="I103" s="11"/>
      <c r="J103" s="11"/>
      <c r="K103" s="11"/>
    </row>
    <row r="104" ht="13.5" customHeight="1">
      <c r="A104" s="11"/>
      <c r="B104" s="11"/>
      <c r="C104" s="11"/>
      <c r="D104" s="11"/>
      <c r="E104" s="11"/>
      <c r="F104" s="11"/>
      <c r="G104" s="71"/>
      <c r="H104" s="72"/>
      <c r="I104" s="11"/>
      <c r="J104" s="11"/>
      <c r="K104" s="11"/>
    </row>
    <row r="105" ht="13.5" customHeight="1">
      <c r="A105" s="11"/>
      <c r="B105" s="11"/>
      <c r="C105" s="11"/>
      <c r="D105" s="11"/>
      <c r="E105" s="11"/>
      <c r="F105" s="11"/>
      <c r="G105" s="71"/>
      <c r="H105" s="72"/>
      <c r="I105" s="11"/>
      <c r="J105" s="11"/>
      <c r="K105" s="11"/>
    </row>
    <row r="106" ht="13.5" customHeight="1">
      <c r="A106" s="11"/>
      <c r="B106" s="11"/>
      <c r="C106" s="11"/>
      <c r="D106" s="11"/>
      <c r="E106" s="11"/>
      <c r="F106" s="11"/>
      <c r="G106" s="71"/>
      <c r="H106" s="72"/>
      <c r="I106" s="11"/>
      <c r="J106" s="11"/>
      <c r="K106" s="11"/>
    </row>
    <row r="107" ht="13.5" customHeight="1">
      <c r="A107" s="11"/>
      <c r="B107" s="11"/>
      <c r="C107" s="11"/>
      <c r="D107" s="11"/>
      <c r="E107" s="11"/>
      <c r="F107" s="11"/>
      <c r="G107" s="71"/>
      <c r="H107" s="72"/>
      <c r="I107" s="11"/>
      <c r="J107" s="11"/>
      <c r="K107" s="11"/>
    </row>
    <row r="108" ht="13.5" customHeight="1">
      <c r="A108" s="11"/>
      <c r="B108" s="11"/>
      <c r="C108" s="11"/>
      <c r="D108" s="11"/>
      <c r="E108" s="11"/>
      <c r="F108" s="11"/>
      <c r="G108" s="71"/>
      <c r="H108" s="72"/>
      <c r="I108" s="11"/>
      <c r="J108" s="11"/>
      <c r="K108" s="11"/>
    </row>
    <row r="109" ht="13.5" customHeight="1">
      <c r="A109" s="11"/>
      <c r="B109" s="11"/>
      <c r="C109" s="11"/>
      <c r="D109" s="11"/>
      <c r="E109" s="11"/>
      <c r="F109" s="11"/>
      <c r="G109" s="71"/>
      <c r="H109" s="72"/>
      <c r="I109" s="11"/>
      <c r="J109" s="11"/>
      <c r="K109" s="11"/>
    </row>
    <row r="110" ht="13.5" customHeight="1">
      <c r="A110" s="11"/>
      <c r="B110" s="11"/>
      <c r="C110" s="11"/>
      <c r="D110" s="11"/>
      <c r="E110" s="11"/>
      <c r="F110" s="11"/>
      <c r="G110" s="71"/>
      <c r="H110" s="72"/>
      <c r="I110" s="11"/>
      <c r="J110" s="11"/>
      <c r="K110" s="11"/>
    </row>
    <row r="111" ht="13.5" customHeight="1">
      <c r="A111" s="11"/>
      <c r="B111" s="11"/>
      <c r="C111" s="11"/>
      <c r="D111" s="11"/>
      <c r="E111" s="11"/>
      <c r="F111" s="11"/>
      <c r="G111" s="71"/>
      <c r="H111" s="72"/>
      <c r="I111" s="11"/>
      <c r="J111" s="11"/>
      <c r="K111" s="11"/>
    </row>
    <row r="112" ht="13.5" customHeight="1">
      <c r="A112" s="11"/>
      <c r="B112" s="11"/>
      <c r="C112" s="11"/>
      <c r="D112" s="11"/>
      <c r="E112" s="11"/>
      <c r="F112" s="11"/>
      <c r="G112" s="71"/>
      <c r="H112" s="72"/>
      <c r="I112" s="11"/>
      <c r="J112" s="11"/>
      <c r="K112" s="11"/>
    </row>
    <row r="113" ht="13.5" customHeight="1">
      <c r="A113" s="11"/>
      <c r="B113" s="11"/>
      <c r="C113" s="11"/>
      <c r="D113" s="11"/>
      <c r="E113" s="11"/>
      <c r="F113" s="11"/>
      <c r="G113" s="71"/>
      <c r="H113" s="72"/>
      <c r="I113" s="11"/>
      <c r="J113" s="11"/>
      <c r="K113" s="11"/>
    </row>
    <row r="114" ht="13.5" customHeight="1">
      <c r="A114" s="11"/>
      <c r="B114" s="11"/>
      <c r="C114" s="11"/>
      <c r="D114" s="11"/>
      <c r="E114" s="11"/>
      <c r="F114" s="11"/>
      <c r="G114" s="71"/>
      <c r="H114" s="72"/>
      <c r="I114" s="11"/>
      <c r="J114" s="11"/>
      <c r="K114" s="11"/>
    </row>
    <row r="115" ht="13.5" customHeight="1">
      <c r="A115" s="11"/>
      <c r="B115" s="11"/>
      <c r="C115" s="11"/>
      <c r="D115" s="11"/>
      <c r="E115" s="11"/>
      <c r="F115" s="11"/>
      <c r="G115" s="71"/>
      <c r="H115" s="72"/>
      <c r="I115" s="11"/>
      <c r="J115" s="11"/>
      <c r="K115" s="11"/>
    </row>
    <row r="116" ht="13.5" customHeight="1">
      <c r="A116" s="11"/>
      <c r="B116" s="11"/>
      <c r="C116" s="11"/>
      <c r="D116" s="11"/>
      <c r="E116" s="11"/>
      <c r="F116" s="11"/>
      <c r="G116" s="71"/>
      <c r="H116" s="72"/>
      <c r="I116" s="11"/>
      <c r="J116" s="11"/>
      <c r="K116" s="11"/>
    </row>
    <row r="117" ht="13.5" customHeight="1">
      <c r="A117" s="11"/>
      <c r="B117" s="11"/>
      <c r="C117" s="11"/>
      <c r="D117" s="11"/>
      <c r="E117" s="11"/>
      <c r="F117" s="11"/>
      <c r="G117" s="71"/>
      <c r="H117" s="72"/>
      <c r="I117" s="11"/>
      <c r="J117" s="11"/>
      <c r="K117" s="11"/>
    </row>
    <row r="118" ht="13.5" customHeight="1">
      <c r="A118" s="11"/>
      <c r="B118" s="11"/>
      <c r="C118" s="11"/>
      <c r="D118" s="11"/>
      <c r="E118" s="11"/>
      <c r="F118" s="11"/>
      <c r="G118" s="71"/>
      <c r="H118" s="72"/>
      <c r="I118" s="11"/>
      <c r="J118" s="11"/>
      <c r="K118" s="11"/>
    </row>
    <row r="119" ht="13.5" customHeight="1">
      <c r="A119" s="11"/>
      <c r="B119" s="11"/>
      <c r="C119" s="11"/>
      <c r="D119" s="11"/>
      <c r="E119" s="11"/>
      <c r="F119" s="11"/>
      <c r="G119" s="71"/>
      <c r="H119" s="72"/>
      <c r="I119" s="11"/>
      <c r="J119" s="11"/>
      <c r="K119" s="11"/>
    </row>
    <row r="120" ht="13.5" customHeight="1">
      <c r="A120" s="11"/>
      <c r="B120" s="11"/>
      <c r="C120" s="11"/>
      <c r="D120" s="11"/>
      <c r="E120" s="11"/>
      <c r="F120" s="11"/>
      <c r="G120" s="71"/>
      <c r="H120" s="72"/>
      <c r="I120" s="11"/>
      <c r="J120" s="11"/>
      <c r="K120" s="11"/>
    </row>
    <row r="121" ht="13.5" customHeight="1">
      <c r="A121" s="11"/>
      <c r="B121" s="11"/>
      <c r="C121" s="11"/>
      <c r="D121" s="11"/>
      <c r="E121" s="11"/>
      <c r="F121" s="11"/>
      <c r="G121" s="71"/>
      <c r="H121" s="72"/>
      <c r="I121" s="11"/>
      <c r="J121" s="11"/>
      <c r="K121" s="11"/>
    </row>
    <row r="122" ht="13.5" customHeight="1">
      <c r="A122" s="11"/>
      <c r="B122" s="11"/>
      <c r="C122" s="11"/>
      <c r="D122" s="11"/>
      <c r="E122" s="11"/>
      <c r="F122" s="11"/>
      <c r="G122" s="71"/>
      <c r="H122" s="72"/>
      <c r="I122" s="11"/>
      <c r="J122" s="11"/>
      <c r="K122" s="11"/>
    </row>
    <row r="123" ht="13.5" customHeight="1">
      <c r="A123" s="11"/>
      <c r="B123" s="11"/>
      <c r="C123" s="11"/>
      <c r="D123" s="11"/>
      <c r="E123" s="11"/>
      <c r="F123" s="11"/>
      <c r="G123" s="71"/>
      <c r="H123" s="72"/>
      <c r="I123" s="11"/>
      <c r="J123" s="11"/>
      <c r="K123" s="11"/>
    </row>
    <row r="124" ht="13.5" customHeight="1">
      <c r="A124" s="11"/>
      <c r="B124" s="11"/>
      <c r="C124" s="11"/>
      <c r="D124" s="11"/>
      <c r="E124" s="11"/>
      <c r="F124" s="11"/>
      <c r="G124" s="71"/>
      <c r="H124" s="72"/>
      <c r="I124" s="11"/>
      <c r="J124" s="11"/>
      <c r="K124" s="11"/>
    </row>
    <row r="125" ht="13.5" customHeight="1">
      <c r="A125" s="11"/>
      <c r="B125" s="11"/>
      <c r="C125" s="11"/>
      <c r="D125" s="11"/>
      <c r="E125" s="11"/>
      <c r="F125" s="11"/>
      <c r="G125" s="71"/>
      <c r="H125" s="72"/>
      <c r="I125" s="11"/>
      <c r="J125" s="11"/>
      <c r="K125" s="11"/>
    </row>
    <row r="126" ht="13.5" customHeight="1">
      <c r="A126" s="11"/>
      <c r="B126" s="11"/>
      <c r="C126" s="11"/>
      <c r="D126" s="11"/>
      <c r="E126" s="11"/>
      <c r="F126" s="11"/>
      <c r="G126" s="71"/>
      <c r="H126" s="72"/>
      <c r="I126" s="11"/>
      <c r="J126" s="11"/>
      <c r="K126" s="11"/>
    </row>
    <row r="127" ht="13.5" customHeight="1">
      <c r="A127" s="11"/>
      <c r="B127" s="11"/>
      <c r="C127" s="11"/>
      <c r="D127" s="11"/>
      <c r="E127" s="11"/>
      <c r="F127" s="11"/>
      <c r="G127" s="71"/>
      <c r="H127" s="72"/>
      <c r="I127" s="11"/>
      <c r="J127" s="11"/>
      <c r="K127" s="11"/>
    </row>
    <row r="128" ht="13.5" customHeight="1">
      <c r="A128" s="11"/>
      <c r="B128" s="11"/>
      <c r="C128" s="11"/>
      <c r="D128" s="11"/>
      <c r="E128" s="11"/>
      <c r="F128" s="11"/>
      <c r="G128" s="71"/>
      <c r="H128" s="72"/>
      <c r="I128" s="11"/>
      <c r="J128" s="11"/>
      <c r="K128" s="11"/>
    </row>
    <row r="129" ht="13.5" customHeight="1">
      <c r="A129" s="11"/>
      <c r="B129" s="11"/>
      <c r="C129" s="11"/>
      <c r="D129" s="11"/>
      <c r="E129" s="11"/>
      <c r="F129" s="11"/>
      <c r="G129" s="71"/>
      <c r="H129" s="72"/>
      <c r="I129" s="11"/>
      <c r="J129" s="11"/>
      <c r="K129" s="11"/>
    </row>
    <row r="130" ht="13.5" customHeight="1">
      <c r="A130" s="11"/>
      <c r="B130" s="11"/>
      <c r="C130" s="11"/>
      <c r="D130" s="11"/>
      <c r="E130" s="11"/>
      <c r="F130" s="11"/>
      <c r="G130" s="71"/>
      <c r="H130" s="72"/>
      <c r="I130" s="11"/>
      <c r="J130" s="11"/>
      <c r="K130" s="11"/>
    </row>
    <row r="131" ht="13.5" customHeight="1">
      <c r="A131" s="11"/>
      <c r="B131" s="11"/>
      <c r="C131" s="11"/>
      <c r="D131" s="11"/>
      <c r="E131" s="11"/>
      <c r="F131" s="11"/>
      <c r="G131" s="71"/>
      <c r="H131" s="72"/>
      <c r="I131" s="11"/>
      <c r="J131" s="11"/>
      <c r="K131" s="11"/>
    </row>
    <row r="132" ht="13.5" customHeight="1">
      <c r="A132" s="11"/>
      <c r="B132" s="11"/>
      <c r="C132" s="11"/>
      <c r="D132" s="11"/>
      <c r="E132" s="11"/>
      <c r="F132" s="11"/>
      <c r="G132" s="71"/>
      <c r="H132" s="72"/>
      <c r="I132" s="11"/>
      <c r="J132" s="11"/>
      <c r="K132" s="11"/>
    </row>
    <row r="133" ht="13.5" customHeight="1">
      <c r="A133" s="11"/>
      <c r="B133" s="11"/>
      <c r="C133" s="11"/>
      <c r="D133" s="11"/>
      <c r="E133" s="11"/>
      <c r="F133" s="11"/>
      <c r="G133" s="71"/>
      <c r="H133" s="72"/>
      <c r="I133" s="11"/>
      <c r="J133" s="11"/>
      <c r="K133" s="11"/>
    </row>
    <row r="134" ht="13.5" customHeight="1">
      <c r="A134" s="11"/>
      <c r="B134" s="11"/>
      <c r="C134" s="11"/>
      <c r="D134" s="11"/>
      <c r="E134" s="11"/>
      <c r="F134" s="11"/>
      <c r="G134" s="71"/>
      <c r="H134" s="72"/>
      <c r="I134" s="11"/>
      <c r="J134" s="11"/>
      <c r="K134" s="11"/>
    </row>
    <row r="135" ht="13.5" customHeight="1">
      <c r="A135" s="11"/>
      <c r="B135" s="11"/>
      <c r="C135" s="11"/>
      <c r="D135" s="11"/>
      <c r="E135" s="11"/>
      <c r="F135" s="11"/>
      <c r="G135" s="71"/>
      <c r="H135" s="72"/>
      <c r="I135" s="11"/>
      <c r="J135" s="11"/>
      <c r="K135" s="11"/>
    </row>
    <row r="136" ht="13.5" customHeight="1">
      <c r="A136" s="11"/>
      <c r="B136" s="11"/>
      <c r="C136" s="11"/>
      <c r="D136" s="11"/>
      <c r="E136" s="11"/>
      <c r="F136" s="11"/>
      <c r="G136" s="71"/>
      <c r="H136" s="72"/>
      <c r="I136" s="11"/>
      <c r="J136" s="11"/>
      <c r="K136" s="11"/>
    </row>
    <row r="137" ht="13.5" customHeight="1">
      <c r="A137" s="11"/>
      <c r="B137" s="11"/>
      <c r="C137" s="11"/>
      <c r="D137" s="11"/>
      <c r="E137" s="11"/>
      <c r="F137" s="11"/>
      <c r="G137" s="71"/>
      <c r="H137" s="72"/>
      <c r="I137" s="11"/>
      <c r="J137" s="11"/>
      <c r="K137" s="11"/>
    </row>
    <row r="138" ht="13.5" customHeight="1">
      <c r="A138" s="11"/>
      <c r="B138" s="11"/>
      <c r="C138" s="11"/>
      <c r="D138" s="11"/>
      <c r="E138" s="11"/>
      <c r="F138" s="11"/>
      <c r="G138" s="71"/>
      <c r="H138" s="72"/>
      <c r="I138" s="11"/>
      <c r="J138" s="11"/>
      <c r="K138" s="11"/>
    </row>
    <row r="139" ht="13.5" customHeight="1">
      <c r="A139" s="11"/>
      <c r="B139" s="11"/>
      <c r="C139" s="11"/>
      <c r="D139" s="11"/>
      <c r="E139" s="11"/>
      <c r="F139" s="11"/>
      <c r="G139" s="71"/>
      <c r="H139" s="72"/>
      <c r="I139" s="11"/>
      <c r="J139" s="11"/>
      <c r="K139" s="11"/>
    </row>
    <row r="140" ht="13.5" customHeight="1">
      <c r="A140" s="11"/>
      <c r="B140" s="11"/>
      <c r="C140" s="11"/>
      <c r="D140" s="11"/>
      <c r="E140" s="11"/>
      <c r="F140" s="11"/>
      <c r="G140" s="71"/>
      <c r="H140" s="72"/>
      <c r="I140" s="11"/>
      <c r="J140" s="11"/>
      <c r="K140" s="11"/>
    </row>
    <row r="141" ht="13.5" customHeight="1">
      <c r="A141" s="11"/>
      <c r="B141" s="11"/>
      <c r="C141" s="11"/>
      <c r="D141" s="11"/>
      <c r="E141" s="11"/>
      <c r="F141" s="11"/>
      <c r="G141" s="71"/>
      <c r="H141" s="72"/>
      <c r="I141" s="11"/>
      <c r="J141" s="11"/>
      <c r="K141" s="11"/>
    </row>
    <row r="142" ht="13.5" customHeight="1">
      <c r="A142" s="11"/>
      <c r="B142" s="11"/>
      <c r="C142" s="11"/>
      <c r="D142" s="11"/>
      <c r="E142" s="11"/>
      <c r="F142" s="11"/>
      <c r="G142" s="71"/>
      <c r="H142" s="72"/>
      <c r="I142" s="11"/>
      <c r="J142" s="11"/>
      <c r="K142" s="11"/>
    </row>
    <row r="143" ht="13.5" customHeight="1">
      <c r="A143" s="11"/>
      <c r="B143" s="11"/>
      <c r="C143" s="11"/>
      <c r="D143" s="11"/>
      <c r="E143" s="11"/>
      <c r="F143" s="11"/>
      <c r="G143" s="71"/>
      <c r="H143" s="72"/>
      <c r="I143" s="11"/>
      <c r="J143" s="11"/>
      <c r="K143" s="11"/>
    </row>
    <row r="144" ht="13.5" customHeight="1">
      <c r="A144" s="11"/>
      <c r="B144" s="11"/>
      <c r="C144" s="11"/>
      <c r="D144" s="11"/>
      <c r="E144" s="11"/>
      <c r="F144" s="11"/>
      <c r="G144" s="71"/>
      <c r="H144" s="72"/>
      <c r="I144" s="11"/>
      <c r="J144" s="11"/>
      <c r="K144" s="11"/>
    </row>
    <row r="145" ht="13.5" customHeight="1">
      <c r="A145" s="11"/>
      <c r="B145" s="11"/>
      <c r="C145" s="11"/>
      <c r="D145" s="11"/>
      <c r="E145" s="11"/>
      <c r="F145" s="11"/>
      <c r="G145" s="71"/>
      <c r="H145" s="72"/>
      <c r="I145" s="11"/>
      <c r="J145" s="11"/>
      <c r="K145" s="11"/>
    </row>
    <row r="146" ht="13.5" customHeight="1">
      <c r="A146" s="11"/>
      <c r="B146" s="11"/>
      <c r="C146" s="11"/>
      <c r="D146" s="11"/>
      <c r="E146" s="11"/>
      <c r="F146" s="11"/>
      <c r="G146" s="71"/>
      <c r="H146" s="72"/>
      <c r="I146" s="11"/>
      <c r="J146" s="11"/>
      <c r="K146" s="11"/>
    </row>
    <row r="147" ht="13.5" customHeight="1">
      <c r="A147" s="11"/>
      <c r="B147" s="11"/>
      <c r="C147" s="11"/>
      <c r="D147" s="11"/>
      <c r="E147" s="11"/>
      <c r="F147" s="11"/>
      <c r="G147" s="71"/>
      <c r="H147" s="72"/>
      <c r="I147" s="11"/>
      <c r="J147" s="11"/>
      <c r="K147" s="11"/>
    </row>
    <row r="148" ht="13.5" customHeight="1">
      <c r="A148" s="11"/>
      <c r="B148" s="11"/>
      <c r="C148" s="11"/>
      <c r="D148" s="11"/>
      <c r="E148" s="11"/>
      <c r="F148" s="11"/>
      <c r="G148" s="71"/>
      <c r="H148" s="72"/>
      <c r="I148" s="11"/>
      <c r="J148" s="11"/>
      <c r="K148" s="11"/>
    </row>
    <row r="149" ht="13.5" customHeight="1">
      <c r="A149" s="11"/>
      <c r="B149" s="11"/>
      <c r="C149" s="11"/>
      <c r="D149" s="11"/>
      <c r="E149" s="11"/>
      <c r="F149" s="11"/>
      <c r="G149" s="71"/>
      <c r="H149" s="72"/>
      <c r="I149" s="11"/>
      <c r="J149" s="11"/>
      <c r="K149" s="11"/>
    </row>
    <row r="150" ht="13.5" customHeight="1">
      <c r="A150" s="11"/>
      <c r="B150" s="11"/>
      <c r="C150" s="11"/>
      <c r="D150" s="11"/>
      <c r="E150" s="11"/>
      <c r="F150" s="11"/>
      <c r="G150" s="71"/>
      <c r="H150" s="72"/>
      <c r="I150" s="11"/>
      <c r="J150" s="11"/>
      <c r="K150" s="11"/>
    </row>
    <row r="151" ht="13.5" customHeight="1">
      <c r="A151" s="11"/>
      <c r="B151" s="11"/>
      <c r="C151" s="11"/>
      <c r="D151" s="11"/>
      <c r="E151" s="11"/>
      <c r="F151" s="11"/>
      <c r="G151" s="71"/>
      <c r="H151" s="72"/>
      <c r="I151" s="11"/>
      <c r="J151" s="11"/>
      <c r="K151" s="11"/>
    </row>
    <row r="152" ht="13.5" customHeight="1">
      <c r="A152" s="11"/>
      <c r="B152" s="11"/>
      <c r="C152" s="11"/>
      <c r="D152" s="11"/>
      <c r="E152" s="11"/>
      <c r="F152" s="11"/>
      <c r="G152" s="71"/>
      <c r="H152" s="72"/>
      <c r="I152" s="11"/>
      <c r="J152" s="11"/>
      <c r="K152" s="11"/>
    </row>
    <row r="153" ht="13.5" customHeight="1">
      <c r="A153" s="11"/>
      <c r="B153" s="11"/>
      <c r="C153" s="11"/>
      <c r="D153" s="11"/>
      <c r="E153" s="11"/>
      <c r="F153" s="11"/>
      <c r="G153" s="71"/>
      <c r="H153" s="72"/>
      <c r="I153" s="11"/>
      <c r="J153" s="11"/>
      <c r="K153" s="11"/>
    </row>
    <row r="154" ht="13.5" customHeight="1">
      <c r="A154" s="11"/>
      <c r="B154" s="11"/>
      <c r="C154" s="11"/>
      <c r="D154" s="11"/>
      <c r="E154" s="11"/>
      <c r="F154" s="11"/>
      <c r="G154" s="71"/>
      <c r="H154" s="72"/>
      <c r="I154" s="11"/>
      <c r="J154" s="11"/>
      <c r="K154" s="11"/>
    </row>
    <row r="155" ht="13.5" customHeight="1">
      <c r="A155" s="11"/>
      <c r="B155" s="11"/>
      <c r="C155" s="11"/>
      <c r="D155" s="11"/>
      <c r="E155" s="11"/>
      <c r="F155" s="11"/>
      <c r="G155" s="71"/>
      <c r="H155" s="72"/>
      <c r="I155" s="11"/>
      <c r="J155" s="11"/>
      <c r="K155" s="11"/>
    </row>
    <row r="156" ht="13.5" customHeight="1">
      <c r="A156" s="11"/>
      <c r="B156" s="11"/>
      <c r="C156" s="11"/>
      <c r="D156" s="11"/>
      <c r="E156" s="11"/>
      <c r="F156" s="11"/>
      <c r="G156" s="71"/>
      <c r="H156" s="72"/>
      <c r="I156" s="11"/>
      <c r="J156" s="11"/>
      <c r="K156" s="11"/>
    </row>
    <row r="157" ht="13.5" customHeight="1">
      <c r="A157" s="11"/>
      <c r="B157" s="11"/>
      <c r="C157" s="11"/>
      <c r="D157" s="11"/>
      <c r="E157" s="11"/>
      <c r="F157" s="11"/>
      <c r="G157" s="71"/>
      <c r="H157" s="72"/>
      <c r="I157" s="11"/>
      <c r="J157" s="11"/>
      <c r="K157" s="11"/>
    </row>
    <row r="158" ht="13.5" customHeight="1">
      <c r="A158" s="11"/>
      <c r="B158" s="11"/>
      <c r="C158" s="11"/>
      <c r="D158" s="11"/>
      <c r="E158" s="11"/>
      <c r="F158" s="11"/>
      <c r="G158" s="71"/>
      <c r="H158" s="72"/>
      <c r="I158" s="11"/>
      <c r="J158" s="11"/>
      <c r="K158" s="11"/>
    </row>
    <row r="159" ht="13.5" customHeight="1">
      <c r="A159" s="11"/>
      <c r="B159" s="11"/>
      <c r="C159" s="11"/>
      <c r="D159" s="11"/>
      <c r="E159" s="11"/>
      <c r="F159" s="11"/>
      <c r="G159" s="71"/>
      <c r="H159" s="72"/>
      <c r="I159" s="11"/>
      <c r="J159" s="11"/>
      <c r="K159" s="11"/>
    </row>
    <row r="160" ht="13.5" customHeight="1">
      <c r="A160" s="11"/>
      <c r="B160" s="11"/>
      <c r="C160" s="11"/>
      <c r="D160" s="11"/>
      <c r="E160" s="11"/>
      <c r="F160" s="11"/>
      <c r="G160" s="71"/>
      <c r="H160" s="72"/>
      <c r="I160" s="11"/>
      <c r="J160" s="11"/>
      <c r="K160" s="11"/>
    </row>
    <row r="161" ht="13.5" customHeight="1">
      <c r="A161" s="11"/>
      <c r="B161" s="11"/>
      <c r="C161" s="11"/>
      <c r="D161" s="11"/>
      <c r="E161" s="11"/>
      <c r="F161" s="11"/>
      <c r="G161" s="71"/>
      <c r="H161" s="72"/>
      <c r="I161" s="11"/>
      <c r="J161" s="11"/>
      <c r="K161" s="11"/>
    </row>
    <row r="162" ht="13.5" customHeight="1">
      <c r="A162" s="11"/>
      <c r="B162" s="11"/>
      <c r="C162" s="11"/>
      <c r="D162" s="11"/>
      <c r="E162" s="11"/>
      <c r="F162" s="11"/>
      <c r="G162" s="71"/>
      <c r="H162" s="72"/>
      <c r="I162" s="11"/>
      <c r="J162" s="11"/>
      <c r="K162" s="11"/>
    </row>
    <row r="163" ht="13.5" customHeight="1">
      <c r="A163" s="11"/>
      <c r="B163" s="11"/>
      <c r="C163" s="11"/>
      <c r="D163" s="11"/>
      <c r="E163" s="11"/>
      <c r="F163" s="11"/>
      <c r="G163" s="71"/>
      <c r="H163" s="72"/>
      <c r="I163" s="11"/>
      <c r="J163" s="11"/>
      <c r="K163" s="11"/>
    </row>
    <row r="164" ht="13.5" customHeight="1">
      <c r="A164" s="11"/>
      <c r="B164" s="11"/>
      <c r="C164" s="11"/>
      <c r="D164" s="11"/>
      <c r="E164" s="11"/>
      <c r="F164" s="11"/>
      <c r="G164" s="71"/>
      <c r="H164" s="72"/>
      <c r="I164" s="11"/>
      <c r="J164" s="11"/>
      <c r="K164" s="11"/>
    </row>
    <row r="165" ht="13.5" customHeight="1">
      <c r="A165" s="11"/>
      <c r="B165" s="11"/>
      <c r="C165" s="11"/>
      <c r="D165" s="11"/>
      <c r="E165" s="11"/>
      <c r="F165" s="11"/>
      <c r="G165" s="71"/>
      <c r="H165" s="72"/>
      <c r="I165" s="11"/>
      <c r="J165" s="11"/>
      <c r="K165" s="11"/>
    </row>
    <row r="166" ht="13.5" customHeight="1">
      <c r="A166" s="11"/>
      <c r="B166" s="11"/>
      <c r="C166" s="11"/>
      <c r="D166" s="11"/>
      <c r="E166" s="11"/>
      <c r="F166" s="11"/>
      <c r="G166" s="71"/>
      <c r="H166" s="72"/>
      <c r="I166" s="11"/>
      <c r="J166" s="11"/>
      <c r="K166" s="11"/>
    </row>
    <row r="167" ht="13.5" customHeight="1">
      <c r="A167" s="11"/>
      <c r="B167" s="11"/>
      <c r="C167" s="11"/>
      <c r="D167" s="11"/>
      <c r="E167" s="11"/>
      <c r="F167" s="11"/>
      <c r="G167" s="71"/>
      <c r="H167" s="72"/>
      <c r="I167" s="11"/>
      <c r="J167" s="11"/>
      <c r="K167" s="11"/>
    </row>
    <row r="168" ht="13.5" customHeight="1">
      <c r="A168" s="11"/>
      <c r="B168" s="11"/>
      <c r="C168" s="11"/>
      <c r="D168" s="11"/>
      <c r="E168" s="11"/>
      <c r="F168" s="11"/>
      <c r="G168" s="71"/>
      <c r="H168" s="72"/>
      <c r="I168" s="11"/>
      <c r="J168" s="11"/>
      <c r="K168" s="11"/>
    </row>
    <row r="169" ht="13.5" customHeight="1">
      <c r="A169" s="11"/>
      <c r="B169" s="11"/>
      <c r="C169" s="11"/>
      <c r="D169" s="11"/>
      <c r="E169" s="11"/>
      <c r="F169" s="11"/>
      <c r="G169" s="71"/>
      <c r="H169" s="72"/>
      <c r="I169" s="11"/>
      <c r="J169" s="11"/>
      <c r="K169" s="11"/>
    </row>
    <row r="170" ht="13.5" customHeight="1">
      <c r="A170" s="11"/>
      <c r="B170" s="11"/>
      <c r="C170" s="11"/>
      <c r="D170" s="11"/>
      <c r="E170" s="11"/>
      <c r="F170" s="11"/>
      <c r="G170" s="71"/>
      <c r="H170" s="72"/>
      <c r="I170" s="11"/>
      <c r="J170" s="11"/>
      <c r="K170" s="11"/>
    </row>
    <row r="171" ht="13.5" customHeight="1">
      <c r="A171" s="11"/>
      <c r="B171" s="11"/>
      <c r="C171" s="11"/>
      <c r="D171" s="11"/>
      <c r="E171" s="11"/>
      <c r="F171" s="11"/>
      <c r="G171" s="71"/>
      <c r="H171" s="72"/>
      <c r="I171" s="11"/>
      <c r="J171" s="11"/>
      <c r="K171" s="11"/>
    </row>
    <row r="172" ht="13.5" customHeight="1">
      <c r="A172" s="11"/>
      <c r="B172" s="11"/>
      <c r="C172" s="11"/>
      <c r="D172" s="11"/>
      <c r="E172" s="11"/>
      <c r="F172" s="11"/>
      <c r="G172" s="71"/>
      <c r="H172" s="72"/>
      <c r="I172" s="11"/>
      <c r="J172" s="11"/>
      <c r="K172" s="11"/>
    </row>
    <row r="173" ht="13.5" customHeight="1">
      <c r="A173" s="11"/>
      <c r="B173" s="11"/>
      <c r="C173" s="11"/>
      <c r="D173" s="11"/>
      <c r="E173" s="11"/>
      <c r="F173" s="11"/>
      <c r="G173" s="71"/>
      <c r="H173" s="72"/>
      <c r="I173" s="11"/>
      <c r="J173" s="11"/>
      <c r="K173" s="11"/>
    </row>
    <row r="174" ht="13.5" customHeight="1">
      <c r="A174" s="11"/>
      <c r="B174" s="11"/>
      <c r="C174" s="11"/>
      <c r="D174" s="11"/>
      <c r="E174" s="11"/>
      <c r="F174" s="11"/>
      <c r="G174" s="71"/>
      <c r="H174" s="72"/>
      <c r="I174" s="11"/>
      <c r="J174" s="11"/>
      <c r="K174" s="11"/>
    </row>
    <row r="175" ht="13.5" customHeight="1">
      <c r="A175" s="11"/>
      <c r="B175" s="11"/>
      <c r="C175" s="11"/>
      <c r="D175" s="11"/>
      <c r="E175" s="11"/>
      <c r="F175" s="11"/>
      <c r="G175" s="71"/>
      <c r="H175" s="72"/>
      <c r="I175" s="11"/>
      <c r="J175" s="11"/>
      <c r="K175" s="11"/>
    </row>
    <row r="176" ht="13.5" customHeight="1">
      <c r="A176" s="11"/>
      <c r="B176" s="11"/>
      <c r="C176" s="11"/>
      <c r="D176" s="11"/>
      <c r="E176" s="11"/>
      <c r="F176" s="11"/>
      <c r="G176" s="71"/>
      <c r="H176" s="72"/>
      <c r="I176" s="11"/>
      <c r="J176" s="11"/>
      <c r="K176" s="11"/>
    </row>
    <row r="177" ht="13.5" customHeight="1">
      <c r="A177" s="11"/>
      <c r="B177" s="11"/>
      <c r="C177" s="11"/>
      <c r="D177" s="11"/>
      <c r="E177" s="11"/>
      <c r="F177" s="11"/>
      <c r="G177" s="71"/>
      <c r="H177" s="72"/>
      <c r="I177" s="11"/>
      <c r="J177" s="11"/>
      <c r="K177" s="11"/>
    </row>
    <row r="178" ht="13.5" customHeight="1">
      <c r="A178" s="11"/>
      <c r="B178" s="11"/>
      <c r="C178" s="11"/>
      <c r="D178" s="11"/>
      <c r="E178" s="11"/>
      <c r="F178" s="11"/>
      <c r="G178" s="71"/>
      <c r="H178" s="72"/>
      <c r="I178" s="11"/>
      <c r="J178" s="11"/>
      <c r="K178" s="11"/>
    </row>
    <row r="179" ht="13.5" customHeight="1">
      <c r="A179" s="11"/>
      <c r="B179" s="11"/>
      <c r="C179" s="11"/>
      <c r="D179" s="11"/>
      <c r="E179" s="11"/>
      <c r="F179" s="11"/>
      <c r="G179" s="71"/>
      <c r="H179" s="72"/>
      <c r="I179" s="11"/>
      <c r="J179" s="11"/>
      <c r="K179" s="11"/>
    </row>
    <row r="180" ht="13.5" customHeight="1">
      <c r="A180" s="11"/>
      <c r="B180" s="11"/>
      <c r="C180" s="11"/>
      <c r="D180" s="11"/>
      <c r="E180" s="11"/>
      <c r="F180" s="11"/>
      <c r="G180" s="71"/>
      <c r="H180" s="72"/>
      <c r="I180" s="11"/>
      <c r="J180" s="11"/>
      <c r="K180" s="11"/>
    </row>
    <row r="181" ht="13.5" customHeight="1">
      <c r="A181" s="11"/>
      <c r="B181" s="11"/>
      <c r="C181" s="11"/>
      <c r="D181" s="11"/>
      <c r="E181" s="11"/>
      <c r="F181" s="11"/>
      <c r="G181" s="71"/>
      <c r="H181" s="72"/>
      <c r="I181" s="11"/>
      <c r="J181" s="11"/>
      <c r="K181" s="11"/>
    </row>
    <row r="182" ht="13.5" customHeight="1">
      <c r="A182" s="11"/>
      <c r="B182" s="11"/>
      <c r="C182" s="11"/>
      <c r="D182" s="11"/>
      <c r="E182" s="11"/>
      <c r="F182" s="11"/>
      <c r="G182" s="71"/>
      <c r="H182" s="72"/>
      <c r="I182" s="11"/>
      <c r="J182" s="11"/>
      <c r="K182" s="11"/>
    </row>
    <row r="183" ht="13.5" customHeight="1">
      <c r="A183" s="11"/>
      <c r="B183" s="11"/>
      <c r="C183" s="11"/>
      <c r="D183" s="11"/>
      <c r="E183" s="11"/>
      <c r="F183" s="11"/>
      <c r="G183" s="71"/>
      <c r="H183" s="72"/>
      <c r="I183" s="11"/>
      <c r="J183" s="11"/>
      <c r="K183" s="11"/>
    </row>
    <row r="184" ht="13.5" customHeight="1">
      <c r="A184" s="11"/>
      <c r="B184" s="11"/>
      <c r="C184" s="11"/>
      <c r="D184" s="11"/>
      <c r="E184" s="11"/>
      <c r="F184" s="11"/>
      <c r="G184" s="71"/>
      <c r="H184" s="72"/>
      <c r="I184" s="11"/>
      <c r="J184" s="11"/>
      <c r="K184" s="11"/>
    </row>
    <row r="185" ht="13.5" customHeight="1">
      <c r="A185" s="11"/>
      <c r="B185" s="11"/>
      <c r="C185" s="11"/>
      <c r="D185" s="11"/>
      <c r="E185" s="11"/>
      <c r="F185" s="11"/>
      <c r="G185" s="71"/>
      <c r="H185" s="72"/>
      <c r="I185" s="11"/>
      <c r="J185" s="11"/>
      <c r="K185" s="11"/>
    </row>
    <row r="186" ht="13.5" customHeight="1">
      <c r="A186" s="11"/>
      <c r="B186" s="11"/>
      <c r="C186" s="11"/>
      <c r="D186" s="11"/>
      <c r="E186" s="11"/>
      <c r="F186" s="11"/>
      <c r="G186" s="71"/>
      <c r="H186" s="72"/>
      <c r="I186" s="11"/>
      <c r="J186" s="11"/>
      <c r="K186" s="11"/>
    </row>
    <row r="187" ht="13.5" customHeight="1">
      <c r="A187" s="11"/>
      <c r="B187" s="11"/>
      <c r="C187" s="11"/>
      <c r="D187" s="11"/>
      <c r="E187" s="11"/>
      <c r="F187" s="11"/>
      <c r="G187" s="71"/>
      <c r="H187" s="72"/>
      <c r="I187" s="11"/>
      <c r="J187" s="11"/>
      <c r="K187" s="11"/>
    </row>
    <row r="188" ht="13.5" customHeight="1">
      <c r="A188" s="11"/>
      <c r="B188" s="11"/>
      <c r="C188" s="11"/>
      <c r="D188" s="11"/>
      <c r="E188" s="11"/>
      <c r="F188" s="11"/>
      <c r="G188" s="71"/>
      <c r="H188" s="72"/>
      <c r="I188" s="11"/>
      <c r="J188" s="11"/>
      <c r="K188" s="11"/>
    </row>
    <row r="189" ht="13.5" customHeight="1">
      <c r="A189" s="11"/>
      <c r="B189" s="11"/>
      <c r="C189" s="11"/>
      <c r="D189" s="11"/>
      <c r="E189" s="11"/>
      <c r="F189" s="11"/>
      <c r="G189" s="71"/>
      <c r="H189" s="72"/>
      <c r="I189" s="11"/>
      <c r="J189" s="11"/>
      <c r="K189" s="11"/>
    </row>
    <row r="190" ht="13.5" customHeight="1">
      <c r="A190" s="11"/>
      <c r="B190" s="11"/>
      <c r="C190" s="11"/>
      <c r="D190" s="11"/>
      <c r="E190" s="11"/>
      <c r="F190" s="11"/>
      <c r="G190" s="71"/>
      <c r="H190" s="72"/>
      <c r="I190" s="11"/>
      <c r="J190" s="11"/>
      <c r="K190" s="11"/>
    </row>
    <row r="191" ht="13.5" customHeight="1">
      <c r="A191" s="11"/>
      <c r="B191" s="11"/>
      <c r="C191" s="11"/>
      <c r="D191" s="11"/>
      <c r="E191" s="11"/>
      <c r="F191" s="11"/>
      <c r="G191" s="71"/>
      <c r="H191" s="72"/>
      <c r="I191" s="11"/>
      <c r="J191" s="11"/>
      <c r="K191" s="11"/>
    </row>
    <row r="192" ht="13.5" customHeight="1">
      <c r="A192" s="11"/>
      <c r="B192" s="11"/>
      <c r="C192" s="11"/>
      <c r="D192" s="11"/>
      <c r="E192" s="11"/>
      <c r="F192" s="11"/>
      <c r="G192" s="71"/>
      <c r="H192" s="72"/>
      <c r="I192" s="11"/>
      <c r="J192" s="11"/>
      <c r="K192" s="11"/>
    </row>
    <row r="193" ht="13.5" customHeight="1">
      <c r="A193" s="11"/>
      <c r="B193" s="11"/>
      <c r="C193" s="11"/>
      <c r="D193" s="11"/>
      <c r="E193" s="11"/>
      <c r="F193" s="11"/>
      <c r="G193" s="71"/>
      <c r="H193" s="72"/>
      <c r="I193" s="11"/>
      <c r="J193" s="11"/>
      <c r="K193" s="11"/>
    </row>
    <row r="194" ht="13.5" customHeight="1">
      <c r="A194" s="11"/>
      <c r="B194" s="11"/>
      <c r="C194" s="11"/>
      <c r="D194" s="11"/>
      <c r="E194" s="11"/>
      <c r="F194" s="11"/>
      <c r="G194" s="71"/>
      <c r="H194" s="72"/>
      <c r="I194" s="11"/>
      <c r="J194" s="11"/>
      <c r="K194" s="11"/>
    </row>
    <row r="195" ht="13.5" customHeight="1">
      <c r="A195" s="11"/>
      <c r="B195" s="11"/>
      <c r="C195" s="11"/>
      <c r="D195" s="11"/>
      <c r="E195" s="11"/>
      <c r="F195" s="11"/>
      <c r="G195" s="71"/>
      <c r="H195" s="72"/>
      <c r="I195" s="11"/>
      <c r="J195" s="11"/>
      <c r="K195" s="11"/>
    </row>
    <row r="196" ht="13.5" customHeight="1">
      <c r="A196" s="11"/>
      <c r="B196" s="11"/>
      <c r="C196" s="11"/>
      <c r="D196" s="11"/>
      <c r="E196" s="11"/>
      <c r="F196" s="11"/>
      <c r="G196" s="71"/>
      <c r="H196" s="72"/>
      <c r="I196" s="11"/>
      <c r="J196" s="11"/>
      <c r="K196" s="11"/>
    </row>
    <row r="197" ht="13.5" customHeight="1">
      <c r="A197" s="11"/>
      <c r="B197" s="11"/>
      <c r="C197" s="11"/>
      <c r="D197" s="11"/>
      <c r="E197" s="11"/>
      <c r="F197" s="11"/>
      <c r="G197" s="71"/>
      <c r="H197" s="72"/>
      <c r="I197" s="11"/>
      <c r="J197" s="11"/>
      <c r="K197" s="11"/>
    </row>
    <row r="198" ht="13.5" customHeight="1">
      <c r="A198" s="11"/>
      <c r="B198" s="11"/>
      <c r="C198" s="11"/>
      <c r="D198" s="11"/>
      <c r="E198" s="11"/>
      <c r="F198" s="11"/>
      <c r="G198" s="71"/>
      <c r="H198" s="72"/>
      <c r="I198" s="11"/>
      <c r="J198" s="11"/>
      <c r="K198" s="11"/>
    </row>
    <row r="199" ht="13.5" customHeight="1">
      <c r="A199" s="11"/>
      <c r="B199" s="11"/>
      <c r="C199" s="11"/>
      <c r="D199" s="11"/>
      <c r="E199" s="11"/>
      <c r="F199" s="11"/>
      <c r="G199" s="71"/>
      <c r="H199" s="72"/>
      <c r="I199" s="11"/>
      <c r="J199" s="11"/>
      <c r="K199" s="11"/>
    </row>
    <row r="200" ht="13.5" customHeight="1">
      <c r="A200" s="11"/>
      <c r="B200" s="11"/>
      <c r="C200" s="11"/>
      <c r="D200" s="11"/>
      <c r="E200" s="11"/>
      <c r="F200" s="11"/>
      <c r="G200" s="71"/>
      <c r="H200" s="72"/>
      <c r="I200" s="11"/>
      <c r="J200" s="11"/>
      <c r="K200" s="11"/>
    </row>
    <row r="201" ht="13.5" customHeight="1">
      <c r="A201" s="11"/>
      <c r="B201" s="11"/>
      <c r="C201" s="11"/>
      <c r="D201" s="11"/>
      <c r="E201" s="11"/>
      <c r="F201" s="11"/>
      <c r="G201" s="71"/>
      <c r="H201" s="72"/>
      <c r="I201" s="11"/>
      <c r="J201" s="11"/>
      <c r="K201" s="11"/>
    </row>
    <row r="202" ht="13.5" customHeight="1">
      <c r="A202" s="11"/>
      <c r="B202" s="11"/>
      <c r="C202" s="11"/>
      <c r="D202" s="11"/>
      <c r="E202" s="11"/>
      <c r="F202" s="11"/>
      <c r="G202" s="71"/>
      <c r="H202" s="72"/>
      <c r="I202" s="11"/>
      <c r="J202" s="11"/>
      <c r="K202" s="11"/>
    </row>
    <row r="203" ht="13.5" customHeight="1">
      <c r="A203" s="11"/>
      <c r="B203" s="11"/>
      <c r="C203" s="11"/>
      <c r="D203" s="11"/>
      <c r="E203" s="11"/>
      <c r="F203" s="11"/>
      <c r="G203" s="71"/>
      <c r="H203" s="72"/>
      <c r="I203" s="11"/>
      <c r="J203" s="11"/>
      <c r="K203" s="11"/>
    </row>
    <row r="204" ht="13.5" customHeight="1">
      <c r="A204" s="11"/>
      <c r="B204" s="11"/>
      <c r="C204" s="11"/>
      <c r="D204" s="11"/>
      <c r="E204" s="11"/>
      <c r="F204" s="11"/>
      <c r="G204" s="71"/>
      <c r="H204" s="72"/>
      <c r="I204" s="11"/>
      <c r="J204" s="11"/>
      <c r="K204" s="11"/>
    </row>
    <row r="205" ht="13.5" customHeight="1">
      <c r="A205" s="11"/>
      <c r="B205" s="11"/>
      <c r="C205" s="11"/>
      <c r="D205" s="11"/>
      <c r="E205" s="11"/>
      <c r="F205" s="11"/>
      <c r="G205" s="71"/>
      <c r="H205" s="72"/>
      <c r="I205" s="11"/>
      <c r="J205" s="11"/>
      <c r="K205" s="11"/>
    </row>
    <row r="206" ht="13.5" customHeight="1">
      <c r="A206" s="11"/>
      <c r="B206" s="11"/>
      <c r="C206" s="11"/>
      <c r="D206" s="11"/>
      <c r="E206" s="11"/>
      <c r="F206" s="11"/>
      <c r="G206" s="71"/>
      <c r="H206" s="72"/>
      <c r="I206" s="11"/>
      <c r="J206" s="11"/>
      <c r="K206" s="11"/>
    </row>
    <row r="207" ht="13.5" customHeight="1">
      <c r="A207" s="11"/>
      <c r="B207" s="11"/>
      <c r="C207" s="11"/>
      <c r="D207" s="11"/>
      <c r="E207" s="11"/>
      <c r="F207" s="11"/>
      <c r="G207" s="71"/>
      <c r="H207" s="72"/>
      <c r="I207" s="11"/>
      <c r="J207" s="11"/>
      <c r="K207" s="11"/>
    </row>
    <row r="208" ht="13.5" customHeight="1">
      <c r="A208" s="11"/>
      <c r="B208" s="11"/>
      <c r="C208" s="11"/>
      <c r="D208" s="11"/>
      <c r="E208" s="11"/>
      <c r="F208" s="11"/>
      <c r="G208" s="71"/>
      <c r="H208" s="72"/>
      <c r="I208" s="11"/>
      <c r="J208" s="11"/>
      <c r="K208" s="11"/>
    </row>
    <row r="209" ht="13.5" customHeight="1">
      <c r="A209" s="11"/>
      <c r="B209" s="11"/>
      <c r="C209" s="11"/>
      <c r="D209" s="11"/>
      <c r="E209" s="11"/>
      <c r="F209" s="11"/>
      <c r="G209" s="71"/>
      <c r="H209" s="72"/>
      <c r="I209" s="11"/>
      <c r="J209" s="11"/>
      <c r="K209" s="11"/>
    </row>
    <row r="210" ht="13.5" customHeight="1">
      <c r="A210" s="11"/>
      <c r="B210" s="11"/>
      <c r="C210" s="11"/>
      <c r="D210" s="11"/>
      <c r="E210" s="11"/>
      <c r="F210" s="11"/>
      <c r="G210" s="71"/>
      <c r="H210" s="72"/>
      <c r="I210" s="11"/>
      <c r="J210" s="11"/>
      <c r="K210" s="11"/>
    </row>
    <row r="211" ht="13.5" customHeight="1">
      <c r="A211" s="11"/>
      <c r="B211" s="11"/>
      <c r="C211" s="11"/>
      <c r="D211" s="11"/>
      <c r="E211" s="11"/>
      <c r="F211" s="11"/>
      <c r="G211" s="71"/>
      <c r="H211" s="72"/>
      <c r="I211" s="11"/>
      <c r="J211" s="11"/>
      <c r="K211" s="11"/>
    </row>
    <row r="212" ht="13.5" customHeight="1">
      <c r="A212" s="11"/>
      <c r="B212" s="11"/>
      <c r="C212" s="11"/>
      <c r="D212" s="11"/>
      <c r="E212" s="11"/>
      <c r="F212" s="11"/>
      <c r="G212" s="71"/>
      <c r="H212" s="72"/>
      <c r="I212" s="11"/>
      <c r="J212" s="11"/>
      <c r="K212" s="11"/>
    </row>
    <row r="213" ht="13.5" customHeight="1">
      <c r="A213" s="11"/>
      <c r="B213" s="11"/>
      <c r="C213" s="11"/>
      <c r="D213" s="11"/>
      <c r="E213" s="11"/>
      <c r="F213" s="11"/>
      <c r="G213" s="71"/>
      <c r="H213" s="72"/>
      <c r="I213" s="11"/>
      <c r="J213" s="11"/>
      <c r="K213" s="11"/>
    </row>
    <row r="214" ht="13.5" customHeight="1">
      <c r="A214" s="11"/>
      <c r="B214" s="11"/>
      <c r="C214" s="11"/>
      <c r="D214" s="11"/>
      <c r="E214" s="11"/>
      <c r="F214" s="11"/>
      <c r="G214" s="71"/>
      <c r="H214" s="72"/>
      <c r="I214" s="11"/>
      <c r="J214" s="11"/>
      <c r="K214" s="11"/>
    </row>
    <row r="215" ht="13.5" customHeight="1">
      <c r="A215" s="11"/>
      <c r="B215" s="11"/>
      <c r="C215" s="11"/>
      <c r="D215" s="11"/>
      <c r="E215" s="11"/>
      <c r="F215" s="11"/>
      <c r="G215" s="71"/>
      <c r="H215" s="72"/>
      <c r="I215" s="11"/>
      <c r="J215" s="11"/>
      <c r="K215" s="11"/>
    </row>
    <row r="216" ht="13.5" customHeight="1">
      <c r="A216" s="11"/>
      <c r="B216" s="11"/>
      <c r="C216" s="11"/>
      <c r="D216" s="11"/>
      <c r="E216" s="11"/>
      <c r="F216" s="11"/>
      <c r="G216" s="71"/>
      <c r="H216" s="72"/>
      <c r="I216" s="11"/>
      <c r="J216" s="11"/>
      <c r="K216" s="11"/>
    </row>
    <row r="217" ht="13.5" customHeight="1">
      <c r="A217" s="11"/>
      <c r="B217" s="11"/>
      <c r="C217" s="11"/>
      <c r="D217" s="11"/>
      <c r="E217" s="11"/>
      <c r="F217" s="11"/>
      <c r="G217" s="71"/>
      <c r="H217" s="72"/>
      <c r="I217" s="11"/>
      <c r="J217" s="11"/>
      <c r="K217" s="11"/>
    </row>
    <row r="218" ht="13.5" customHeight="1">
      <c r="A218" s="11"/>
      <c r="B218" s="11"/>
      <c r="C218" s="11"/>
      <c r="D218" s="11"/>
      <c r="E218" s="11"/>
      <c r="F218" s="11"/>
      <c r="G218" s="71"/>
      <c r="H218" s="72"/>
      <c r="I218" s="11"/>
      <c r="J218" s="11"/>
      <c r="K218" s="11"/>
    </row>
    <row r="219" ht="13.5" customHeight="1">
      <c r="A219" s="11"/>
      <c r="B219" s="11"/>
      <c r="C219" s="11"/>
      <c r="D219" s="11"/>
      <c r="E219" s="11"/>
      <c r="F219" s="11"/>
      <c r="G219" s="71"/>
      <c r="H219" s="72"/>
      <c r="I219" s="11"/>
      <c r="J219" s="11"/>
      <c r="K219" s="11"/>
    </row>
    <row r="220" ht="13.5" customHeight="1">
      <c r="A220" s="11"/>
      <c r="B220" s="11"/>
      <c r="C220" s="11"/>
      <c r="D220" s="11"/>
      <c r="E220" s="11"/>
      <c r="F220" s="11"/>
      <c r="G220" s="71"/>
      <c r="H220" s="72"/>
      <c r="I220" s="11"/>
      <c r="J220" s="11"/>
      <c r="K220" s="11"/>
    </row>
    <row r="221" ht="13.5" customHeight="1">
      <c r="A221" s="11"/>
      <c r="B221" s="11"/>
      <c r="C221" s="11"/>
      <c r="D221" s="11"/>
      <c r="E221" s="11"/>
      <c r="F221" s="11"/>
      <c r="G221" s="71"/>
      <c r="H221" s="72"/>
      <c r="I221" s="11"/>
      <c r="J221" s="11"/>
      <c r="K221" s="11"/>
    </row>
    <row r="222" ht="13.5" customHeight="1">
      <c r="A222" s="11"/>
      <c r="B222" s="11"/>
      <c r="C222" s="11"/>
      <c r="D222" s="11"/>
      <c r="E222" s="11"/>
      <c r="F222" s="11"/>
      <c r="G222" s="71"/>
      <c r="H222" s="72"/>
      <c r="I222" s="11"/>
      <c r="J222" s="11"/>
      <c r="K222" s="11"/>
    </row>
    <row r="223" ht="13.5" customHeight="1">
      <c r="A223" s="11"/>
      <c r="B223" s="11"/>
      <c r="C223" s="11"/>
      <c r="D223" s="11"/>
      <c r="E223" s="11"/>
      <c r="F223" s="11"/>
      <c r="G223" s="71"/>
      <c r="H223" s="72"/>
      <c r="I223" s="11"/>
      <c r="J223" s="11"/>
      <c r="K223" s="11"/>
    </row>
    <row r="224" ht="13.5" customHeight="1">
      <c r="A224" s="11"/>
      <c r="B224" s="11"/>
      <c r="C224" s="11"/>
      <c r="D224" s="11"/>
      <c r="E224" s="11"/>
      <c r="F224" s="11"/>
      <c r="G224" s="71"/>
      <c r="H224" s="72"/>
      <c r="I224" s="11"/>
      <c r="J224" s="11"/>
      <c r="K224" s="11"/>
    </row>
    <row r="225" ht="13.5" customHeight="1">
      <c r="A225" s="11"/>
      <c r="B225" s="11"/>
      <c r="C225" s="11"/>
      <c r="D225" s="11"/>
      <c r="E225" s="11"/>
      <c r="F225" s="11"/>
      <c r="G225" s="71"/>
      <c r="H225" s="72"/>
      <c r="I225" s="11"/>
      <c r="J225" s="11"/>
      <c r="K225" s="11"/>
    </row>
    <row r="226" ht="13.5" customHeight="1">
      <c r="A226" s="11"/>
      <c r="B226" s="11"/>
      <c r="C226" s="11"/>
      <c r="D226" s="11"/>
      <c r="E226" s="11"/>
      <c r="F226" s="11"/>
      <c r="G226" s="71"/>
      <c r="H226" s="72"/>
      <c r="I226" s="11"/>
      <c r="J226" s="11"/>
      <c r="K226" s="11"/>
    </row>
    <row r="227" ht="13.5" customHeight="1">
      <c r="A227" s="11"/>
      <c r="B227" s="11"/>
      <c r="C227" s="11"/>
      <c r="D227" s="11"/>
      <c r="E227" s="11"/>
      <c r="F227" s="11"/>
      <c r="G227" s="71"/>
      <c r="H227" s="72"/>
      <c r="I227" s="11"/>
      <c r="J227" s="11"/>
      <c r="K227" s="11"/>
    </row>
    <row r="228" ht="13.5" customHeight="1">
      <c r="A228" s="11"/>
      <c r="B228" s="11"/>
      <c r="C228" s="11"/>
      <c r="D228" s="11"/>
      <c r="E228" s="11"/>
      <c r="F228" s="11"/>
      <c r="G228" s="71"/>
      <c r="H228" s="72"/>
      <c r="I228" s="11"/>
      <c r="J228" s="11"/>
      <c r="K228" s="11"/>
    </row>
    <row r="229" ht="13.5" customHeight="1">
      <c r="A229" s="11"/>
      <c r="B229" s="11"/>
      <c r="C229" s="11"/>
      <c r="D229" s="11"/>
      <c r="E229" s="11"/>
      <c r="F229" s="11"/>
      <c r="G229" s="71"/>
      <c r="H229" s="72"/>
      <c r="I229" s="11"/>
      <c r="J229" s="11"/>
      <c r="K229" s="11"/>
    </row>
    <row r="230" ht="13.5" customHeight="1">
      <c r="A230" s="11"/>
      <c r="B230" s="11"/>
      <c r="C230" s="11"/>
      <c r="D230" s="11"/>
      <c r="E230" s="11"/>
      <c r="F230" s="11"/>
      <c r="G230" s="71"/>
      <c r="H230" s="72"/>
      <c r="I230" s="11"/>
      <c r="J230" s="11"/>
      <c r="K230" s="11"/>
    </row>
    <row r="231" ht="13.5" customHeight="1">
      <c r="A231" s="11"/>
      <c r="B231" s="11"/>
      <c r="C231" s="11"/>
      <c r="D231" s="11"/>
      <c r="E231" s="11"/>
      <c r="F231" s="11"/>
      <c r="G231" s="71"/>
      <c r="H231" s="72"/>
      <c r="I231" s="11"/>
      <c r="J231" s="11"/>
      <c r="K231" s="11"/>
    </row>
    <row r="232" ht="13.5" customHeight="1">
      <c r="A232" s="11"/>
      <c r="B232" s="11"/>
      <c r="C232" s="11"/>
      <c r="D232" s="11"/>
      <c r="E232" s="11"/>
      <c r="F232" s="11"/>
      <c r="G232" s="71"/>
      <c r="H232" s="72"/>
      <c r="I232" s="11"/>
      <c r="J232" s="11"/>
      <c r="K232" s="11"/>
    </row>
    <row r="233" ht="13.5" customHeight="1">
      <c r="A233" s="11"/>
      <c r="B233" s="11"/>
      <c r="C233" s="11"/>
      <c r="D233" s="11"/>
      <c r="E233" s="11"/>
      <c r="F233" s="11"/>
      <c r="G233" s="71"/>
      <c r="H233" s="72"/>
      <c r="I233" s="11"/>
      <c r="J233" s="11"/>
      <c r="K233" s="11"/>
    </row>
    <row r="234" ht="13.5" customHeight="1">
      <c r="A234" s="11"/>
      <c r="B234" s="11"/>
      <c r="C234" s="11"/>
      <c r="D234" s="11"/>
      <c r="E234" s="11"/>
      <c r="F234" s="11"/>
      <c r="G234" s="71"/>
      <c r="H234" s="72"/>
      <c r="I234" s="11"/>
      <c r="J234" s="11"/>
      <c r="K234" s="11"/>
    </row>
    <row r="235" ht="13.5" customHeight="1">
      <c r="A235" s="11"/>
      <c r="B235" s="11"/>
      <c r="C235" s="11"/>
      <c r="D235" s="11"/>
      <c r="E235" s="11"/>
      <c r="F235" s="11"/>
      <c r="G235" s="71"/>
      <c r="H235" s="72"/>
      <c r="I235" s="11"/>
      <c r="J235" s="11"/>
      <c r="K235" s="11"/>
    </row>
    <row r="236" ht="13.5" customHeight="1">
      <c r="A236" s="11"/>
      <c r="B236" s="11"/>
      <c r="C236" s="11"/>
      <c r="D236" s="11"/>
      <c r="E236" s="11"/>
      <c r="F236" s="11"/>
      <c r="G236" s="71"/>
      <c r="H236" s="72"/>
      <c r="I236" s="11"/>
      <c r="J236" s="11"/>
      <c r="K236" s="11"/>
    </row>
    <row r="237" ht="13.5" customHeight="1">
      <c r="A237" s="11"/>
      <c r="B237" s="11"/>
      <c r="C237" s="11"/>
      <c r="D237" s="11"/>
      <c r="E237" s="11"/>
      <c r="F237" s="11"/>
      <c r="G237" s="71"/>
      <c r="H237" s="72"/>
      <c r="I237" s="11"/>
      <c r="J237" s="11"/>
      <c r="K237" s="11"/>
    </row>
    <row r="238" ht="13.5" customHeight="1">
      <c r="A238" s="11"/>
      <c r="B238" s="11"/>
      <c r="C238" s="11"/>
      <c r="D238" s="11"/>
      <c r="E238" s="11"/>
      <c r="F238" s="11"/>
      <c r="G238" s="71"/>
      <c r="H238" s="72"/>
      <c r="I238" s="11"/>
      <c r="J238" s="11"/>
      <c r="K238" s="11"/>
    </row>
    <row r="239" ht="13.5" customHeight="1">
      <c r="A239" s="11"/>
      <c r="B239" s="11"/>
      <c r="C239" s="11"/>
      <c r="D239" s="11"/>
      <c r="E239" s="11"/>
      <c r="F239" s="11"/>
      <c r="G239" s="71"/>
      <c r="H239" s="72"/>
      <c r="I239" s="11"/>
      <c r="J239" s="11"/>
      <c r="K239" s="11"/>
    </row>
    <row r="240" ht="13.5" customHeight="1">
      <c r="A240" s="11"/>
      <c r="B240" s="11"/>
      <c r="C240" s="11"/>
      <c r="D240" s="11"/>
      <c r="E240" s="11"/>
      <c r="F240" s="11"/>
      <c r="G240" s="71"/>
      <c r="H240" s="72"/>
      <c r="I240" s="11"/>
      <c r="J240" s="11"/>
      <c r="K240" s="11"/>
    </row>
    <row r="241" ht="13.5" customHeight="1">
      <c r="A241" s="11"/>
      <c r="B241" s="11"/>
      <c r="C241" s="11"/>
      <c r="D241" s="11"/>
      <c r="E241" s="11"/>
      <c r="F241" s="11"/>
      <c r="G241" s="71"/>
      <c r="H241" s="72"/>
      <c r="I241" s="11"/>
      <c r="J241" s="11"/>
      <c r="K241" s="11"/>
    </row>
    <row r="242" ht="13.5" customHeight="1">
      <c r="A242" s="11"/>
      <c r="B242" s="11"/>
      <c r="C242" s="11"/>
      <c r="D242" s="11"/>
      <c r="E242" s="11"/>
      <c r="F242" s="11"/>
      <c r="G242" s="71"/>
      <c r="H242" s="72"/>
      <c r="I242" s="11"/>
      <c r="J242" s="11"/>
      <c r="K242" s="11"/>
    </row>
    <row r="243" ht="13.5" customHeight="1">
      <c r="A243" s="11"/>
      <c r="B243" s="11"/>
      <c r="C243" s="11"/>
      <c r="D243" s="11"/>
      <c r="E243" s="11"/>
      <c r="F243" s="11"/>
      <c r="G243" s="71"/>
      <c r="H243" s="72"/>
      <c r="I243" s="11"/>
      <c r="J243" s="11"/>
      <c r="K243" s="11"/>
    </row>
    <row r="244" ht="13.5" customHeight="1">
      <c r="A244" s="11"/>
      <c r="B244" s="11"/>
      <c r="C244" s="11"/>
      <c r="D244" s="11"/>
      <c r="E244" s="11"/>
      <c r="F244" s="11"/>
      <c r="G244" s="71"/>
      <c r="H244" s="72"/>
      <c r="I244" s="11"/>
      <c r="J244" s="11"/>
      <c r="K244" s="11"/>
    </row>
    <row r="245" ht="13.5" customHeight="1">
      <c r="A245" s="11"/>
      <c r="B245" s="11"/>
      <c r="C245" s="11"/>
      <c r="D245" s="11"/>
      <c r="E245" s="11"/>
      <c r="F245" s="11"/>
      <c r="G245" s="71"/>
      <c r="H245" s="72"/>
      <c r="I245" s="11"/>
      <c r="J245" s="11"/>
      <c r="K245" s="11"/>
    </row>
    <row r="246" ht="13.5" customHeight="1">
      <c r="A246" s="11"/>
      <c r="B246" s="11"/>
      <c r="C246" s="11"/>
      <c r="D246" s="11"/>
      <c r="E246" s="11"/>
      <c r="F246" s="11"/>
      <c r="G246" s="71"/>
      <c r="H246" s="72"/>
      <c r="I246" s="11"/>
      <c r="J246" s="11"/>
      <c r="K246" s="11"/>
    </row>
    <row r="247" ht="13.5" customHeight="1">
      <c r="A247" s="11"/>
      <c r="B247" s="11"/>
      <c r="C247" s="11"/>
      <c r="D247" s="11"/>
      <c r="E247" s="11"/>
      <c r="F247" s="11"/>
      <c r="G247" s="71"/>
      <c r="H247" s="72"/>
      <c r="I247" s="11"/>
      <c r="J247" s="11"/>
      <c r="K247" s="11"/>
    </row>
    <row r="248" ht="13.5" customHeight="1">
      <c r="A248" s="11"/>
      <c r="B248" s="11"/>
      <c r="C248" s="11"/>
      <c r="D248" s="11"/>
      <c r="E248" s="11"/>
      <c r="F248" s="11"/>
      <c r="G248" s="71"/>
      <c r="H248" s="72"/>
      <c r="I248" s="11"/>
      <c r="J248" s="11"/>
      <c r="K248" s="11"/>
    </row>
    <row r="249" ht="13.5" customHeight="1">
      <c r="A249" s="11"/>
      <c r="B249" s="11"/>
      <c r="C249" s="11"/>
      <c r="D249" s="11"/>
      <c r="E249" s="11"/>
      <c r="F249" s="11"/>
      <c r="G249" s="71"/>
      <c r="H249" s="72"/>
      <c r="I249" s="11"/>
      <c r="J249" s="11"/>
      <c r="K249" s="11"/>
    </row>
    <row r="250" ht="13.5" customHeight="1">
      <c r="A250" s="11"/>
      <c r="B250" s="11"/>
      <c r="C250" s="11"/>
      <c r="D250" s="11"/>
      <c r="E250" s="11"/>
      <c r="F250" s="11"/>
      <c r="G250" s="71"/>
      <c r="H250" s="72"/>
      <c r="I250" s="11"/>
      <c r="J250" s="11"/>
      <c r="K250" s="11"/>
    </row>
    <row r="251" ht="13.5" customHeight="1">
      <c r="A251" s="11"/>
      <c r="B251" s="11"/>
      <c r="C251" s="11"/>
      <c r="D251" s="11"/>
      <c r="E251" s="11"/>
      <c r="F251" s="11"/>
      <c r="G251" s="71"/>
      <c r="H251" s="72"/>
      <c r="I251" s="11"/>
      <c r="J251" s="11"/>
      <c r="K251" s="11"/>
    </row>
    <row r="252" ht="13.5" customHeight="1">
      <c r="A252" s="11"/>
      <c r="B252" s="11"/>
      <c r="C252" s="11"/>
      <c r="D252" s="11"/>
      <c r="E252" s="11"/>
      <c r="F252" s="11"/>
      <c r="G252" s="71"/>
      <c r="H252" s="72"/>
      <c r="I252" s="11"/>
      <c r="J252" s="11"/>
      <c r="K252" s="11"/>
    </row>
    <row r="253" ht="13.5" customHeight="1">
      <c r="A253" s="11"/>
      <c r="B253" s="11"/>
      <c r="C253" s="11"/>
      <c r="D253" s="11"/>
      <c r="E253" s="11"/>
      <c r="F253" s="11"/>
      <c r="G253" s="71"/>
      <c r="H253" s="72"/>
      <c r="I253" s="11"/>
      <c r="J253" s="11"/>
      <c r="K253" s="11"/>
    </row>
    <row r="254" ht="13.5" customHeight="1">
      <c r="A254" s="11"/>
      <c r="B254" s="11"/>
      <c r="C254" s="11"/>
      <c r="D254" s="11"/>
      <c r="E254" s="11"/>
      <c r="F254" s="11"/>
      <c r="G254" s="71"/>
      <c r="H254" s="72"/>
      <c r="I254" s="11"/>
      <c r="J254" s="11"/>
      <c r="K254" s="11"/>
    </row>
    <row r="255" ht="13.5" customHeight="1">
      <c r="A255" s="11"/>
      <c r="B255" s="11"/>
      <c r="C255" s="11"/>
      <c r="D255" s="11"/>
      <c r="E255" s="11"/>
      <c r="F255" s="11"/>
      <c r="G255" s="71"/>
      <c r="H255" s="72"/>
      <c r="I255" s="11"/>
      <c r="J255" s="11"/>
      <c r="K255" s="11"/>
    </row>
    <row r="256" ht="13.5" customHeight="1">
      <c r="A256" s="11"/>
      <c r="B256" s="11"/>
      <c r="C256" s="11"/>
      <c r="D256" s="11"/>
      <c r="E256" s="11"/>
      <c r="F256" s="11"/>
      <c r="G256" s="71"/>
      <c r="H256" s="72"/>
      <c r="I256" s="11"/>
      <c r="J256" s="11"/>
      <c r="K256" s="11"/>
    </row>
    <row r="257" ht="13.5" customHeight="1">
      <c r="A257" s="11"/>
      <c r="B257" s="11"/>
      <c r="C257" s="11"/>
      <c r="D257" s="11"/>
      <c r="E257" s="11"/>
      <c r="F257" s="11"/>
      <c r="G257" s="71"/>
      <c r="H257" s="72"/>
      <c r="I257" s="11"/>
      <c r="J257" s="11"/>
      <c r="K257" s="11"/>
    </row>
    <row r="258" ht="13.5" customHeight="1">
      <c r="A258" s="11"/>
      <c r="B258" s="11"/>
      <c r="C258" s="11"/>
      <c r="D258" s="11"/>
      <c r="E258" s="11"/>
      <c r="F258" s="11"/>
      <c r="G258" s="71"/>
      <c r="H258" s="72"/>
      <c r="I258" s="11"/>
      <c r="J258" s="11"/>
      <c r="K258" s="11"/>
    </row>
    <row r="259" ht="13.5" customHeight="1">
      <c r="A259" s="11"/>
      <c r="B259" s="11"/>
      <c r="C259" s="11"/>
      <c r="D259" s="11"/>
      <c r="E259" s="11"/>
      <c r="F259" s="11"/>
      <c r="G259" s="71"/>
      <c r="H259" s="72"/>
      <c r="I259" s="11"/>
      <c r="J259" s="11"/>
      <c r="K259" s="11"/>
    </row>
    <row r="260" ht="13.5" customHeight="1">
      <c r="A260" s="11"/>
      <c r="B260" s="11"/>
      <c r="C260" s="11"/>
      <c r="D260" s="11"/>
      <c r="E260" s="11"/>
      <c r="F260" s="11"/>
      <c r="G260" s="71"/>
      <c r="H260" s="72"/>
      <c r="I260" s="11"/>
      <c r="J260" s="11"/>
      <c r="K260" s="11"/>
    </row>
    <row r="261" ht="13.5" customHeight="1">
      <c r="A261" s="11"/>
      <c r="B261" s="11"/>
      <c r="C261" s="11"/>
      <c r="D261" s="11"/>
      <c r="E261" s="11"/>
      <c r="F261" s="11"/>
      <c r="G261" s="71"/>
      <c r="H261" s="72"/>
      <c r="I261" s="11"/>
      <c r="J261" s="11"/>
      <c r="K261" s="11"/>
    </row>
    <row r="262" ht="13.5" customHeight="1">
      <c r="A262" s="11"/>
      <c r="B262" s="11"/>
      <c r="C262" s="11"/>
      <c r="D262" s="11"/>
      <c r="E262" s="11"/>
      <c r="F262" s="11"/>
      <c r="G262" s="71"/>
      <c r="H262" s="72"/>
      <c r="I262" s="11"/>
      <c r="J262" s="11"/>
      <c r="K262" s="11"/>
    </row>
    <row r="263" ht="13.5" customHeight="1">
      <c r="A263" s="11"/>
      <c r="B263" s="11"/>
      <c r="C263" s="11"/>
      <c r="D263" s="11"/>
      <c r="E263" s="11"/>
      <c r="F263" s="11"/>
      <c r="G263" s="71"/>
      <c r="H263" s="72"/>
      <c r="I263" s="11"/>
      <c r="J263" s="11"/>
      <c r="K263" s="11"/>
    </row>
    <row r="264" ht="13.5" customHeight="1">
      <c r="A264" s="11"/>
      <c r="B264" s="11"/>
      <c r="C264" s="11"/>
      <c r="D264" s="11"/>
      <c r="E264" s="11"/>
      <c r="F264" s="11"/>
      <c r="G264" s="71"/>
      <c r="H264" s="72"/>
      <c r="I264" s="11"/>
      <c r="J264" s="11"/>
      <c r="K264" s="11"/>
    </row>
    <row r="265" ht="13.5" customHeight="1">
      <c r="A265" s="11"/>
      <c r="B265" s="11"/>
      <c r="C265" s="11"/>
      <c r="D265" s="11"/>
      <c r="E265" s="11"/>
      <c r="F265" s="11"/>
      <c r="G265" s="71"/>
      <c r="H265" s="72"/>
      <c r="I265" s="11"/>
      <c r="J265" s="11"/>
      <c r="K265" s="11"/>
    </row>
    <row r="266" ht="13.5" customHeight="1">
      <c r="A266" s="11"/>
      <c r="B266" s="11"/>
      <c r="C266" s="11"/>
      <c r="D266" s="11"/>
      <c r="E266" s="11"/>
      <c r="F266" s="11"/>
      <c r="G266" s="71"/>
      <c r="H266" s="72"/>
      <c r="I266" s="11"/>
      <c r="J266" s="11"/>
      <c r="K266" s="11"/>
    </row>
    <row r="267" ht="13.5" customHeight="1">
      <c r="A267" s="11"/>
      <c r="B267" s="11"/>
      <c r="C267" s="11"/>
      <c r="D267" s="11"/>
      <c r="E267" s="11"/>
      <c r="F267" s="11"/>
      <c r="G267" s="71"/>
      <c r="H267" s="72"/>
      <c r="I267" s="11"/>
      <c r="J267" s="11"/>
      <c r="K267" s="11"/>
    </row>
    <row r="268" ht="13.5" customHeight="1">
      <c r="A268" s="11"/>
      <c r="B268" s="11"/>
      <c r="C268" s="11"/>
      <c r="D268" s="11"/>
      <c r="E268" s="11"/>
      <c r="F268" s="11"/>
      <c r="G268" s="71"/>
      <c r="H268" s="72"/>
      <c r="I268" s="11"/>
      <c r="J268" s="11"/>
      <c r="K268" s="11"/>
    </row>
    <row r="269" ht="13.5" customHeight="1">
      <c r="A269" s="11"/>
      <c r="B269" s="11"/>
      <c r="C269" s="11"/>
      <c r="D269" s="11"/>
      <c r="E269" s="11"/>
      <c r="F269" s="11"/>
      <c r="G269" s="71"/>
      <c r="H269" s="72"/>
      <c r="I269" s="11"/>
      <c r="J269" s="11"/>
      <c r="K269" s="11"/>
    </row>
    <row r="270" ht="13.5" customHeight="1">
      <c r="A270" s="11"/>
      <c r="B270" s="11"/>
      <c r="C270" s="11"/>
      <c r="D270" s="11"/>
      <c r="E270" s="11"/>
      <c r="F270" s="11"/>
      <c r="G270" s="71"/>
      <c r="H270" s="72"/>
      <c r="I270" s="11"/>
      <c r="J270" s="11"/>
      <c r="K270" s="11"/>
    </row>
    <row r="271" ht="13.5" customHeight="1">
      <c r="A271" s="11"/>
      <c r="B271" s="11"/>
      <c r="C271" s="11"/>
      <c r="D271" s="11"/>
      <c r="E271" s="11"/>
      <c r="F271" s="11"/>
      <c r="G271" s="71"/>
      <c r="H271" s="72"/>
      <c r="I271" s="11"/>
      <c r="J271" s="11"/>
      <c r="K271" s="11"/>
    </row>
    <row r="272" ht="13.5" customHeight="1">
      <c r="A272" s="11"/>
      <c r="B272" s="11"/>
      <c r="C272" s="11"/>
      <c r="D272" s="11"/>
      <c r="E272" s="11"/>
      <c r="F272" s="11"/>
      <c r="G272" s="71"/>
      <c r="H272" s="72"/>
      <c r="I272" s="11"/>
      <c r="J272" s="11"/>
      <c r="K272" s="11"/>
    </row>
    <row r="273" ht="13.5" customHeight="1">
      <c r="A273" s="11"/>
      <c r="B273" s="11"/>
      <c r="C273" s="11"/>
      <c r="D273" s="11"/>
      <c r="E273" s="11"/>
      <c r="F273" s="11"/>
      <c r="G273" s="71"/>
      <c r="H273" s="72"/>
      <c r="I273" s="11"/>
      <c r="J273" s="11"/>
      <c r="K273" s="11"/>
    </row>
    <row r="274" ht="13.5" customHeight="1">
      <c r="A274" s="11"/>
      <c r="B274" s="11"/>
      <c r="C274" s="11"/>
      <c r="D274" s="11"/>
      <c r="E274" s="11"/>
      <c r="F274" s="11"/>
      <c r="G274" s="71"/>
      <c r="H274" s="72"/>
      <c r="I274" s="11"/>
      <c r="J274" s="11"/>
      <c r="K274" s="11"/>
    </row>
    <row r="275" ht="13.5" customHeight="1">
      <c r="A275" s="11"/>
      <c r="B275" s="11"/>
      <c r="C275" s="11"/>
      <c r="D275" s="11"/>
      <c r="E275" s="11"/>
      <c r="F275" s="11"/>
      <c r="G275" s="71"/>
      <c r="H275" s="72"/>
      <c r="I275" s="11"/>
      <c r="J275" s="11"/>
      <c r="K275" s="11"/>
    </row>
    <row r="276" ht="13.5" customHeight="1">
      <c r="A276" s="11"/>
      <c r="B276" s="11"/>
      <c r="C276" s="11"/>
      <c r="D276" s="11"/>
      <c r="E276" s="11"/>
      <c r="F276" s="11"/>
      <c r="G276" s="71"/>
      <c r="H276" s="72"/>
      <c r="I276" s="11"/>
      <c r="J276" s="11"/>
      <c r="K276" s="11"/>
    </row>
    <row r="277" ht="13.5" customHeight="1">
      <c r="A277" s="11"/>
      <c r="B277" s="11"/>
      <c r="C277" s="11"/>
      <c r="D277" s="11"/>
      <c r="E277" s="11"/>
      <c r="F277" s="11"/>
      <c r="G277" s="71"/>
      <c r="H277" s="72"/>
      <c r="I277" s="11"/>
      <c r="J277" s="11"/>
      <c r="K277" s="11"/>
    </row>
    <row r="278" ht="13.5" customHeight="1">
      <c r="A278" s="11"/>
      <c r="B278" s="11"/>
      <c r="C278" s="11"/>
      <c r="D278" s="11"/>
      <c r="E278" s="11"/>
      <c r="F278" s="11"/>
      <c r="G278" s="71"/>
      <c r="H278" s="72"/>
      <c r="I278" s="11"/>
      <c r="J278" s="11"/>
      <c r="K278" s="11"/>
    </row>
    <row r="279" ht="13.5" customHeight="1">
      <c r="A279" s="11"/>
      <c r="B279" s="11"/>
      <c r="C279" s="11"/>
      <c r="D279" s="11"/>
      <c r="E279" s="11"/>
      <c r="F279" s="11"/>
      <c r="G279" s="71"/>
      <c r="H279" s="72"/>
      <c r="I279" s="11"/>
      <c r="J279" s="11"/>
      <c r="K279" s="11"/>
    </row>
    <row r="280" ht="13.5" customHeight="1">
      <c r="A280" s="11"/>
      <c r="B280" s="11"/>
      <c r="C280" s="11"/>
      <c r="D280" s="11"/>
      <c r="E280" s="11"/>
      <c r="F280" s="11"/>
      <c r="G280" s="71"/>
      <c r="H280" s="72"/>
      <c r="I280" s="11"/>
      <c r="J280" s="11"/>
      <c r="K280" s="11"/>
    </row>
    <row r="281" ht="13.5" customHeight="1">
      <c r="A281" s="11"/>
      <c r="B281" s="11"/>
      <c r="C281" s="11"/>
      <c r="D281" s="11"/>
      <c r="E281" s="11"/>
      <c r="F281" s="11"/>
      <c r="G281" s="71"/>
      <c r="H281" s="72"/>
      <c r="I281" s="11"/>
      <c r="J281" s="11"/>
      <c r="K281" s="11"/>
    </row>
    <row r="282" ht="13.5" customHeight="1">
      <c r="A282" s="11"/>
      <c r="B282" s="11"/>
      <c r="C282" s="11"/>
      <c r="D282" s="11"/>
      <c r="E282" s="11"/>
      <c r="F282" s="11"/>
      <c r="G282" s="71"/>
      <c r="H282" s="72"/>
      <c r="I282" s="11"/>
      <c r="J282" s="11"/>
      <c r="K282" s="11"/>
    </row>
    <row r="283" ht="13.5" customHeight="1">
      <c r="A283" s="11"/>
      <c r="B283" s="11"/>
      <c r="C283" s="11"/>
      <c r="D283" s="11"/>
      <c r="E283" s="11"/>
      <c r="F283" s="11"/>
      <c r="G283" s="71"/>
      <c r="H283" s="72"/>
      <c r="I283" s="11"/>
      <c r="J283" s="11"/>
      <c r="K283" s="11"/>
    </row>
    <row r="284" ht="13.5" customHeight="1">
      <c r="A284" s="11"/>
      <c r="B284" s="11"/>
      <c r="C284" s="11"/>
      <c r="D284" s="11"/>
      <c r="E284" s="11"/>
      <c r="F284" s="11"/>
      <c r="G284" s="71"/>
      <c r="H284" s="72"/>
      <c r="I284" s="11"/>
      <c r="J284" s="11"/>
      <c r="K284" s="11"/>
    </row>
    <row r="285" ht="13.5" customHeight="1">
      <c r="A285" s="11"/>
      <c r="B285" s="11"/>
      <c r="C285" s="11"/>
      <c r="D285" s="11"/>
      <c r="E285" s="11"/>
      <c r="F285" s="11"/>
      <c r="G285" s="71"/>
      <c r="H285" s="72"/>
      <c r="I285" s="11"/>
      <c r="J285" s="11"/>
      <c r="K285" s="11"/>
    </row>
    <row r="286" ht="13.5" customHeight="1">
      <c r="A286" s="11"/>
      <c r="B286" s="11"/>
      <c r="C286" s="11"/>
      <c r="D286" s="11"/>
      <c r="E286" s="11"/>
      <c r="F286" s="11"/>
      <c r="G286" s="71"/>
      <c r="H286" s="72"/>
      <c r="I286" s="11"/>
      <c r="J286" s="11"/>
      <c r="K286" s="11"/>
    </row>
    <row r="287" ht="13.5" customHeight="1">
      <c r="A287" s="11"/>
      <c r="B287" s="11"/>
      <c r="C287" s="11"/>
      <c r="D287" s="11"/>
      <c r="E287" s="11"/>
      <c r="F287" s="11"/>
      <c r="G287" s="71"/>
      <c r="H287" s="72"/>
      <c r="I287" s="11"/>
      <c r="J287" s="11"/>
      <c r="K287" s="11"/>
    </row>
    <row r="288" ht="13.5" customHeight="1">
      <c r="A288" s="11"/>
      <c r="B288" s="11"/>
      <c r="C288" s="11"/>
      <c r="D288" s="11"/>
      <c r="E288" s="11"/>
      <c r="F288" s="11"/>
      <c r="G288" s="71"/>
      <c r="H288" s="72"/>
      <c r="I288" s="11"/>
      <c r="J288" s="11"/>
      <c r="K288" s="11"/>
    </row>
    <row r="289" ht="13.5" customHeight="1">
      <c r="A289" s="11"/>
      <c r="B289" s="11"/>
      <c r="C289" s="11"/>
      <c r="D289" s="11"/>
      <c r="E289" s="11"/>
      <c r="F289" s="11"/>
      <c r="G289" s="71"/>
      <c r="H289" s="72"/>
      <c r="I289" s="11"/>
      <c r="J289" s="11"/>
      <c r="K289" s="11"/>
    </row>
    <row r="290" ht="13.5" customHeight="1">
      <c r="A290" s="11"/>
      <c r="B290" s="11"/>
      <c r="C290" s="11"/>
      <c r="D290" s="11"/>
      <c r="E290" s="11"/>
      <c r="F290" s="11"/>
      <c r="G290" s="71"/>
      <c r="H290" s="72"/>
      <c r="I290" s="11"/>
      <c r="J290" s="11"/>
      <c r="K290" s="11"/>
    </row>
    <row r="291" ht="13.5" customHeight="1">
      <c r="A291" s="11"/>
      <c r="B291" s="11"/>
      <c r="C291" s="11"/>
      <c r="D291" s="11"/>
      <c r="E291" s="11"/>
      <c r="F291" s="11"/>
      <c r="G291" s="71"/>
      <c r="H291" s="72"/>
      <c r="I291" s="11"/>
      <c r="J291" s="11"/>
      <c r="K291" s="11"/>
    </row>
    <row r="292" ht="13.5" customHeight="1">
      <c r="A292" s="11"/>
      <c r="B292" s="11"/>
      <c r="C292" s="11"/>
      <c r="D292" s="11"/>
      <c r="E292" s="11"/>
      <c r="F292" s="11"/>
      <c r="G292" s="71"/>
      <c r="H292" s="72"/>
      <c r="I292" s="11"/>
      <c r="J292" s="11"/>
      <c r="K292" s="11"/>
    </row>
    <row r="293" ht="13.5" customHeight="1">
      <c r="A293" s="11"/>
      <c r="B293" s="11"/>
      <c r="C293" s="11"/>
      <c r="D293" s="11"/>
      <c r="E293" s="11"/>
      <c r="F293" s="11"/>
      <c r="G293" s="71"/>
      <c r="H293" s="72"/>
      <c r="I293" s="11"/>
      <c r="J293" s="11"/>
      <c r="K293" s="11"/>
    </row>
    <row r="294" ht="13.5" customHeight="1">
      <c r="A294" s="11"/>
      <c r="B294" s="11"/>
      <c r="C294" s="11"/>
      <c r="D294" s="11"/>
      <c r="E294" s="11"/>
      <c r="F294" s="11"/>
      <c r="G294" s="71"/>
      <c r="H294" s="72"/>
      <c r="I294" s="11"/>
      <c r="J294" s="11"/>
      <c r="K294" s="11"/>
    </row>
    <row r="295" ht="13.5" customHeight="1">
      <c r="A295" s="11"/>
      <c r="B295" s="11"/>
      <c r="C295" s="11"/>
      <c r="D295" s="11"/>
      <c r="E295" s="11"/>
      <c r="F295" s="11"/>
      <c r="G295" s="71"/>
      <c r="H295" s="72"/>
      <c r="I295" s="11"/>
      <c r="J295" s="11"/>
      <c r="K295" s="11"/>
    </row>
    <row r="296" ht="13.5" customHeight="1">
      <c r="A296" s="11"/>
      <c r="B296" s="11"/>
      <c r="C296" s="11"/>
      <c r="D296" s="11"/>
      <c r="E296" s="11"/>
      <c r="F296" s="11"/>
      <c r="G296" s="71"/>
      <c r="H296" s="72"/>
      <c r="I296" s="11"/>
      <c r="J296" s="11"/>
      <c r="K296" s="11"/>
    </row>
    <row r="297" ht="13.5" customHeight="1">
      <c r="A297" s="11"/>
      <c r="B297" s="11"/>
      <c r="C297" s="11"/>
      <c r="D297" s="11"/>
      <c r="E297" s="11"/>
      <c r="F297" s="11"/>
      <c r="G297" s="71"/>
      <c r="H297" s="72"/>
      <c r="I297" s="11"/>
      <c r="J297" s="11"/>
      <c r="K297" s="11"/>
    </row>
    <row r="298" ht="13.5" customHeight="1">
      <c r="A298" s="11"/>
      <c r="B298" s="11"/>
      <c r="C298" s="11"/>
      <c r="D298" s="11"/>
      <c r="E298" s="11"/>
      <c r="F298" s="11"/>
      <c r="G298" s="71"/>
      <c r="H298" s="72"/>
      <c r="I298" s="11"/>
      <c r="J298" s="11"/>
      <c r="K298" s="11"/>
    </row>
    <row r="299" ht="13.5" customHeight="1">
      <c r="A299" s="11"/>
      <c r="B299" s="11"/>
      <c r="C299" s="11"/>
      <c r="D299" s="11"/>
      <c r="E299" s="11"/>
      <c r="F299" s="11"/>
      <c r="G299" s="71"/>
      <c r="H299" s="72"/>
      <c r="I299" s="11"/>
      <c r="J299" s="11"/>
      <c r="K299" s="11"/>
    </row>
    <row r="300" ht="13.5" customHeight="1">
      <c r="A300" s="11"/>
      <c r="B300" s="11"/>
      <c r="C300" s="11"/>
      <c r="D300" s="11"/>
      <c r="E300" s="11"/>
      <c r="F300" s="11"/>
      <c r="G300" s="71"/>
      <c r="H300" s="72"/>
      <c r="I300" s="11"/>
      <c r="J300" s="11"/>
      <c r="K300" s="11"/>
    </row>
    <row r="301" ht="13.5" customHeight="1">
      <c r="A301" s="11"/>
      <c r="B301" s="11"/>
      <c r="C301" s="11"/>
      <c r="D301" s="11"/>
      <c r="E301" s="11"/>
      <c r="F301" s="11"/>
      <c r="G301" s="71"/>
      <c r="H301" s="72"/>
      <c r="I301" s="11"/>
      <c r="J301" s="11"/>
      <c r="K301" s="11"/>
    </row>
    <row r="302" ht="13.5" customHeight="1">
      <c r="A302" s="11"/>
      <c r="B302" s="11"/>
      <c r="C302" s="11"/>
      <c r="D302" s="11"/>
      <c r="E302" s="11"/>
      <c r="F302" s="11"/>
      <c r="G302" s="71"/>
      <c r="H302" s="72"/>
      <c r="I302" s="11"/>
      <c r="J302" s="11"/>
      <c r="K302" s="11"/>
    </row>
    <row r="303" ht="13.5" customHeight="1">
      <c r="A303" s="11"/>
      <c r="B303" s="11"/>
      <c r="C303" s="11"/>
      <c r="D303" s="11"/>
      <c r="E303" s="11"/>
      <c r="F303" s="11"/>
      <c r="G303" s="71"/>
      <c r="H303" s="72"/>
      <c r="I303" s="11"/>
      <c r="J303" s="11"/>
      <c r="K303" s="11"/>
    </row>
    <row r="304" ht="13.5" customHeight="1">
      <c r="A304" s="11"/>
      <c r="B304" s="11"/>
      <c r="C304" s="11"/>
      <c r="D304" s="11"/>
      <c r="E304" s="11"/>
      <c r="F304" s="11"/>
      <c r="G304" s="71"/>
      <c r="H304" s="72"/>
      <c r="I304" s="11"/>
      <c r="J304" s="11"/>
      <c r="K304" s="11"/>
    </row>
    <row r="305" ht="13.5" customHeight="1">
      <c r="A305" s="11"/>
      <c r="B305" s="11"/>
      <c r="C305" s="11"/>
      <c r="D305" s="11"/>
      <c r="E305" s="11"/>
      <c r="F305" s="11"/>
      <c r="G305" s="71"/>
      <c r="H305" s="72"/>
      <c r="I305" s="11"/>
      <c r="J305" s="11"/>
      <c r="K305" s="11"/>
    </row>
    <row r="306" ht="13.5" customHeight="1">
      <c r="A306" s="11"/>
      <c r="B306" s="11"/>
      <c r="C306" s="11"/>
      <c r="D306" s="11"/>
      <c r="E306" s="11"/>
      <c r="F306" s="11"/>
      <c r="G306" s="71"/>
      <c r="H306" s="72"/>
      <c r="I306" s="11"/>
      <c r="J306" s="11"/>
      <c r="K306" s="11"/>
    </row>
    <row r="307" ht="13.5" customHeight="1">
      <c r="A307" s="11"/>
      <c r="B307" s="11"/>
      <c r="C307" s="11"/>
      <c r="D307" s="11"/>
      <c r="E307" s="11"/>
      <c r="F307" s="11"/>
      <c r="G307" s="71"/>
      <c r="H307" s="72"/>
      <c r="I307" s="11"/>
      <c r="J307" s="11"/>
      <c r="K307" s="11"/>
    </row>
    <row r="308" ht="13.5" customHeight="1">
      <c r="A308" s="11"/>
      <c r="B308" s="11"/>
      <c r="C308" s="11"/>
      <c r="D308" s="11"/>
      <c r="E308" s="11"/>
      <c r="F308" s="11"/>
      <c r="G308" s="71"/>
      <c r="H308" s="72"/>
      <c r="I308" s="11"/>
      <c r="J308" s="11"/>
      <c r="K308" s="11"/>
    </row>
    <row r="309" ht="13.5" customHeight="1">
      <c r="A309" s="11"/>
      <c r="B309" s="11"/>
      <c r="C309" s="11"/>
      <c r="D309" s="11"/>
      <c r="E309" s="11"/>
      <c r="F309" s="11"/>
      <c r="G309" s="71"/>
      <c r="H309" s="72"/>
      <c r="I309" s="11"/>
      <c r="J309" s="11"/>
      <c r="K309" s="11"/>
    </row>
    <row r="310" ht="13.5" customHeight="1">
      <c r="A310" s="11"/>
      <c r="B310" s="11"/>
      <c r="C310" s="11"/>
      <c r="D310" s="11"/>
      <c r="E310" s="11"/>
      <c r="F310" s="11"/>
      <c r="G310" s="71"/>
      <c r="H310" s="72"/>
      <c r="I310" s="11"/>
      <c r="J310" s="11"/>
      <c r="K310" s="11"/>
    </row>
    <row r="311" ht="13.5" customHeight="1">
      <c r="A311" s="11"/>
      <c r="B311" s="11"/>
      <c r="C311" s="11"/>
      <c r="D311" s="11"/>
      <c r="E311" s="11"/>
      <c r="F311" s="11"/>
      <c r="G311" s="71"/>
      <c r="H311" s="72"/>
      <c r="I311" s="11"/>
      <c r="J311" s="11"/>
      <c r="K311" s="11"/>
    </row>
    <row r="312" ht="13.5" customHeight="1">
      <c r="A312" s="11"/>
      <c r="B312" s="11"/>
      <c r="C312" s="11"/>
      <c r="D312" s="11"/>
      <c r="E312" s="11"/>
      <c r="F312" s="11"/>
      <c r="G312" s="71"/>
      <c r="H312" s="72"/>
      <c r="I312" s="11"/>
      <c r="J312" s="11"/>
      <c r="K312" s="11"/>
    </row>
    <row r="313" ht="13.5" customHeight="1">
      <c r="A313" s="11"/>
      <c r="B313" s="11"/>
      <c r="C313" s="11"/>
      <c r="D313" s="11"/>
      <c r="E313" s="11"/>
      <c r="F313" s="11"/>
      <c r="G313" s="71"/>
      <c r="H313" s="72"/>
      <c r="I313" s="11"/>
      <c r="J313" s="11"/>
      <c r="K313" s="11"/>
    </row>
    <row r="314" ht="13.5" customHeight="1">
      <c r="A314" s="11"/>
      <c r="B314" s="11"/>
      <c r="C314" s="11"/>
      <c r="D314" s="11"/>
      <c r="E314" s="11"/>
      <c r="F314" s="11"/>
      <c r="G314" s="71"/>
      <c r="H314" s="72"/>
      <c r="I314" s="11"/>
      <c r="J314" s="11"/>
      <c r="K314" s="11"/>
    </row>
    <row r="315" ht="13.5" customHeight="1">
      <c r="A315" s="11"/>
      <c r="B315" s="11"/>
      <c r="C315" s="11"/>
      <c r="D315" s="11"/>
      <c r="E315" s="11"/>
      <c r="F315" s="11"/>
      <c r="G315" s="71"/>
      <c r="H315" s="72"/>
      <c r="I315" s="11"/>
      <c r="J315" s="11"/>
      <c r="K315" s="11"/>
    </row>
    <row r="316" ht="13.5" customHeight="1">
      <c r="A316" s="11"/>
      <c r="B316" s="11"/>
      <c r="C316" s="11"/>
      <c r="D316" s="11"/>
      <c r="E316" s="11"/>
      <c r="F316" s="11"/>
      <c r="G316" s="71"/>
      <c r="H316" s="72"/>
      <c r="I316" s="11"/>
      <c r="J316" s="11"/>
      <c r="K316" s="11"/>
    </row>
    <row r="317" ht="13.5" customHeight="1">
      <c r="A317" s="11"/>
      <c r="B317" s="11"/>
      <c r="C317" s="11"/>
      <c r="D317" s="11"/>
      <c r="E317" s="11"/>
      <c r="F317" s="11"/>
      <c r="G317" s="71"/>
      <c r="H317" s="72"/>
      <c r="I317" s="11"/>
      <c r="J317" s="11"/>
      <c r="K317" s="11"/>
    </row>
    <row r="318" ht="13.5" customHeight="1">
      <c r="A318" s="11"/>
      <c r="B318" s="11"/>
      <c r="C318" s="11"/>
      <c r="D318" s="11"/>
      <c r="E318" s="11"/>
      <c r="F318" s="11"/>
      <c r="G318" s="71"/>
      <c r="H318" s="72"/>
      <c r="I318" s="11"/>
      <c r="J318" s="11"/>
      <c r="K318" s="11"/>
    </row>
    <row r="319" ht="13.5" customHeight="1">
      <c r="A319" s="11"/>
      <c r="B319" s="11"/>
      <c r="C319" s="11"/>
      <c r="D319" s="11"/>
      <c r="E319" s="11"/>
      <c r="F319" s="11"/>
      <c r="G319" s="71"/>
      <c r="H319" s="72"/>
      <c r="I319" s="11"/>
      <c r="J319" s="11"/>
      <c r="K319" s="11"/>
    </row>
    <row r="320" ht="13.5" customHeight="1">
      <c r="A320" s="11"/>
      <c r="B320" s="11"/>
      <c r="C320" s="11"/>
      <c r="D320" s="11"/>
      <c r="E320" s="11"/>
      <c r="F320" s="11"/>
      <c r="G320" s="71"/>
      <c r="H320" s="72"/>
      <c r="I320" s="11"/>
      <c r="J320" s="11"/>
      <c r="K320" s="11"/>
    </row>
    <row r="321" ht="13.5" customHeight="1">
      <c r="A321" s="11"/>
      <c r="B321" s="11"/>
      <c r="C321" s="11"/>
      <c r="D321" s="11"/>
      <c r="E321" s="11"/>
      <c r="F321" s="11"/>
      <c r="G321" s="71"/>
      <c r="H321" s="72"/>
      <c r="I321" s="11"/>
      <c r="J321" s="11"/>
      <c r="K321" s="11"/>
    </row>
    <row r="322" ht="13.5" customHeight="1">
      <c r="A322" s="11"/>
      <c r="B322" s="11"/>
      <c r="C322" s="11"/>
      <c r="D322" s="11"/>
      <c r="E322" s="11"/>
      <c r="F322" s="11"/>
      <c r="G322" s="71"/>
      <c r="H322" s="72"/>
      <c r="I322" s="11"/>
      <c r="J322" s="11"/>
      <c r="K322" s="11"/>
    </row>
    <row r="323" ht="13.5" customHeight="1">
      <c r="A323" s="11"/>
      <c r="B323" s="11"/>
      <c r="C323" s="11"/>
      <c r="D323" s="11"/>
      <c r="E323" s="11"/>
      <c r="F323" s="11"/>
      <c r="G323" s="71"/>
      <c r="H323" s="72"/>
      <c r="I323" s="11"/>
      <c r="J323" s="11"/>
      <c r="K323" s="11"/>
    </row>
    <row r="324" ht="13.5" customHeight="1">
      <c r="A324" s="11"/>
      <c r="B324" s="11"/>
      <c r="C324" s="11"/>
      <c r="D324" s="11"/>
      <c r="E324" s="11"/>
      <c r="F324" s="11"/>
      <c r="G324" s="71"/>
      <c r="H324" s="72"/>
      <c r="I324" s="11"/>
      <c r="J324" s="11"/>
      <c r="K324" s="11"/>
    </row>
    <row r="325" ht="13.5" customHeight="1">
      <c r="A325" s="11"/>
      <c r="B325" s="11"/>
      <c r="C325" s="11"/>
      <c r="D325" s="11"/>
      <c r="E325" s="11"/>
      <c r="F325" s="11"/>
      <c r="G325" s="71"/>
      <c r="H325" s="72"/>
      <c r="I325" s="11"/>
      <c r="J325" s="11"/>
      <c r="K325" s="11"/>
    </row>
    <row r="326" ht="13.5" customHeight="1">
      <c r="A326" s="11"/>
      <c r="B326" s="11"/>
      <c r="C326" s="11"/>
      <c r="D326" s="11"/>
      <c r="E326" s="11"/>
      <c r="F326" s="11"/>
      <c r="G326" s="71"/>
      <c r="H326" s="72"/>
      <c r="I326" s="11"/>
      <c r="J326" s="11"/>
      <c r="K326" s="11"/>
    </row>
    <row r="327" ht="13.5" customHeight="1">
      <c r="A327" s="11"/>
      <c r="B327" s="11"/>
      <c r="C327" s="11"/>
      <c r="D327" s="11"/>
      <c r="E327" s="11"/>
      <c r="F327" s="11"/>
      <c r="G327" s="71"/>
      <c r="H327" s="72"/>
      <c r="I327" s="11"/>
      <c r="J327" s="11"/>
      <c r="K327" s="11"/>
    </row>
    <row r="328" ht="13.5" customHeight="1">
      <c r="A328" s="11"/>
      <c r="B328" s="11"/>
      <c r="C328" s="11"/>
      <c r="D328" s="11"/>
      <c r="E328" s="11"/>
      <c r="F328" s="11"/>
      <c r="G328" s="71"/>
      <c r="H328" s="72"/>
      <c r="I328" s="11"/>
      <c r="J328" s="11"/>
      <c r="K328" s="11"/>
    </row>
    <row r="329" ht="13.5" customHeight="1">
      <c r="A329" s="11"/>
      <c r="B329" s="11"/>
      <c r="C329" s="11"/>
      <c r="D329" s="11"/>
      <c r="E329" s="11"/>
      <c r="F329" s="11"/>
      <c r="G329" s="71"/>
      <c r="H329" s="72"/>
      <c r="I329" s="11"/>
      <c r="J329" s="11"/>
      <c r="K329" s="11"/>
    </row>
    <row r="330" ht="13.5" customHeight="1">
      <c r="A330" s="11"/>
      <c r="B330" s="11"/>
      <c r="C330" s="11"/>
      <c r="D330" s="11"/>
      <c r="E330" s="11"/>
      <c r="F330" s="11"/>
      <c r="G330" s="71"/>
      <c r="H330" s="72"/>
      <c r="I330" s="11"/>
      <c r="J330" s="11"/>
      <c r="K330" s="11"/>
    </row>
    <row r="331" ht="13.5" customHeight="1">
      <c r="A331" s="11"/>
      <c r="B331" s="11"/>
      <c r="C331" s="11"/>
      <c r="D331" s="11"/>
      <c r="E331" s="11"/>
      <c r="F331" s="11"/>
      <c r="G331" s="71"/>
      <c r="H331" s="72"/>
      <c r="I331" s="11"/>
      <c r="J331" s="11"/>
      <c r="K331" s="11"/>
    </row>
    <row r="332" ht="13.5" customHeight="1">
      <c r="A332" s="11"/>
      <c r="B332" s="11"/>
      <c r="C332" s="11"/>
      <c r="D332" s="11"/>
      <c r="E332" s="11"/>
      <c r="F332" s="11"/>
      <c r="G332" s="71"/>
      <c r="H332" s="72"/>
      <c r="I332" s="11"/>
      <c r="J332" s="11"/>
      <c r="K332" s="11"/>
    </row>
    <row r="333" ht="13.5" customHeight="1">
      <c r="A333" s="11"/>
      <c r="B333" s="11"/>
      <c r="C333" s="11"/>
      <c r="D333" s="11"/>
      <c r="E333" s="11"/>
      <c r="F333" s="11"/>
      <c r="G333" s="71"/>
      <c r="H333" s="72"/>
      <c r="I333" s="11"/>
      <c r="J333" s="11"/>
      <c r="K333" s="11"/>
    </row>
    <row r="334" ht="13.5" customHeight="1">
      <c r="A334" s="11"/>
      <c r="B334" s="11"/>
      <c r="C334" s="11"/>
      <c r="D334" s="11"/>
      <c r="E334" s="11"/>
      <c r="F334" s="11"/>
      <c r="G334" s="71"/>
      <c r="H334" s="72"/>
      <c r="I334" s="11"/>
      <c r="J334" s="11"/>
      <c r="K334" s="11"/>
    </row>
    <row r="335" ht="13.5" customHeight="1">
      <c r="A335" s="11"/>
      <c r="B335" s="11"/>
      <c r="C335" s="11"/>
      <c r="D335" s="11"/>
      <c r="E335" s="11"/>
      <c r="F335" s="11"/>
      <c r="G335" s="71"/>
      <c r="H335" s="72"/>
      <c r="I335" s="11"/>
      <c r="J335" s="11"/>
      <c r="K335" s="11"/>
    </row>
    <row r="336" ht="13.5" customHeight="1">
      <c r="A336" s="11"/>
      <c r="B336" s="11"/>
      <c r="C336" s="11"/>
      <c r="D336" s="11"/>
      <c r="E336" s="11"/>
      <c r="F336" s="11"/>
      <c r="G336" s="71"/>
      <c r="H336" s="72"/>
      <c r="I336" s="11"/>
      <c r="J336" s="11"/>
      <c r="K336" s="11"/>
    </row>
    <row r="337" ht="13.5" customHeight="1">
      <c r="A337" s="11"/>
      <c r="B337" s="11"/>
      <c r="C337" s="11"/>
      <c r="D337" s="11"/>
      <c r="E337" s="11"/>
      <c r="F337" s="11"/>
      <c r="G337" s="71"/>
      <c r="H337" s="72"/>
      <c r="I337" s="11"/>
      <c r="J337" s="11"/>
      <c r="K337" s="11"/>
    </row>
    <row r="338" ht="13.5" customHeight="1">
      <c r="A338" s="11"/>
      <c r="B338" s="11"/>
      <c r="C338" s="11"/>
      <c r="D338" s="11"/>
      <c r="E338" s="11"/>
      <c r="F338" s="11"/>
      <c r="G338" s="71"/>
      <c r="H338" s="72"/>
      <c r="I338" s="11"/>
      <c r="J338" s="11"/>
      <c r="K338" s="11"/>
    </row>
    <row r="339" ht="13.5" customHeight="1">
      <c r="A339" s="11"/>
      <c r="B339" s="11"/>
      <c r="C339" s="11"/>
      <c r="D339" s="11"/>
      <c r="E339" s="11"/>
      <c r="F339" s="11"/>
      <c r="G339" s="71"/>
      <c r="H339" s="72"/>
      <c r="I339" s="11"/>
      <c r="J339" s="11"/>
      <c r="K339" s="11"/>
    </row>
    <row r="340" ht="13.5" customHeight="1">
      <c r="A340" s="11"/>
      <c r="B340" s="11"/>
      <c r="C340" s="11"/>
      <c r="D340" s="11"/>
      <c r="E340" s="11"/>
      <c r="F340" s="11"/>
      <c r="G340" s="71"/>
      <c r="H340" s="72"/>
      <c r="I340" s="11"/>
      <c r="J340" s="11"/>
      <c r="K340" s="11"/>
    </row>
    <row r="341" ht="13.5" customHeight="1">
      <c r="A341" s="11"/>
      <c r="B341" s="11"/>
      <c r="C341" s="11"/>
      <c r="D341" s="11"/>
      <c r="E341" s="11"/>
      <c r="F341" s="11"/>
      <c r="G341" s="71"/>
      <c r="H341" s="72"/>
      <c r="I341" s="11"/>
      <c r="J341" s="11"/>
      <c r="K341" s="11"/>
    </row>
    <row r="342" ht="13.5" customHeight="1">
      <c r="A342" s="11"/>
      <c r="B342" s="11"/>
      <c r="C342" s="11"/>
      <c r="D342" s="11"/>
      <c r="E342" s="11"/>
      <c r="F342" s="11"/>
      <c r="G342" s="71"/>
      <c r="H342" s="72"/>
      <c r="I342" s="11"/>
      <c r="J342" s="11"/>
      <c r="K342" s="11"/>
    </row>
    <row r="343" ht="13.5" customHeight="1">
      <c r="A343" s="11"/>
      <c r="B343" s="11"/>
      <c r="C343" s="11"/>
      <c r="D343" s="11"/>
      <c r="E343" s="11"/>
      <c r="F343" s="11"/>
      <c r="G343" s="71"/>
      <c r="H343" s="72"/>
      <c r="I343" s="11"/>
      <c r="J343" s="11"/>
      <c r="K343" s="11"/>
    </row>
    <row r="344" ht="13.5" customHeight="1">
      <c r="A344" s="11"/>
      <c r="B344" s="11"/>
      <c r="C344" s="11"/>
      <c r="D344" s="11"/>
      <c r="E344" s="11"/>
      <c r="F344" s="11"/>
      <c r="G344" s="71"/>
      <c r="H344" s="72"/>
      <c r="I344" s="11"/>
      <c r="J344" s="11"/>
      <c r="K344" s="11"/>
    </row>
    <row r="345" ht="13.5" customHeight="1">
      <c r="A345" s="11"/>
      <c r="B345" s="11"/>
      <c r="C345" s="11"/>
      <c r="D345" s="11"/>
      <c r="E345" s="11"/>
      <c r="F345" s="11"/>
      <c r="G345" s="71"/>
      <c r="H345" s="72"/>
      <c r="I345" s="11"/>
      <c r="J345" s="11"/>
      <c r="K345" s="11"/>
    </row>
    <row r="346" ht="13.5" customHeight="1">
      <c r="A346" s="11"/>
      <c r="B346" s="11"/>
      <c r="C346" s="11"/>
      <c r="D346" s="11"/>
      <c r="E346" s="11"/>
      <c r="F346" s="11"/>
      <c r="G346" s="71"/>
      <c r="H346" s="72"/>
      <c r="I346" s="11"/>
      <c r="J346" s="11"/>
      <c r="K346" s="11"/>
    </row>
    <row r="347" ht="13.5" customHeight="1">
      <c r="A347" s="11"/>
      <c r="B347" s="11"/>
      <c r="C347" s="11"/>
      <c r="D347" s="11"/>
      <c r="E347" s="11"/>
      <c r="F347" s="11"/>
      <c r="G347" s="71"/>
      <c r="H347" s="72"/>
      <c r="I347" s="11"/>
      <c r="J347" s="11"/>
      <c r="K347" s="11"/>
    </row>
    <row r="348" ht="13.5" customHeight="1">
      <c r="A348" s="11"/>
      <c r="B348" s="11"/>
      <c r="C348" s="11"/>
      <c r="D348" s="11"/>
      <c r="E348" s="11"/>
      <c r="F348" s="11"/>
      <c r="G348" s="71"/>
      <c r="H348" s="72"/>
      <c r="I348" s="11"/>
      <c r="J348" s="11"/>
      <c r="K348" s="11"/>
    </row>
    <row r="349" ht="13.5" customHeight="1">
      <c r="A349" s="11"/>
      <c r="B349" s="11"/>
      <c r="C349" s="11"/>
      <c r="D349" s="11"/>
      <c r="E349" s="11"/>
      <c r="F349" s="11"/>
      <c r="G349" s="71"/>
      <c r="H349" s="72"/>
      <c r="I349" s="11"/>
      <c r="J349" s="11"/>
      <c r="K349" s="11"/>
    </row>
    <row r="350" ht="13.5" customHeight="1">
      <c r="A350" s="11"/>
      <c r="B350" s="11"/>
      <c r="C350" s="11"/>
      <c r="D350" s="11"/>
      <c r="E350" s="11"/>
      <c r="F350" s="11"/>
      <c r="G350" s="71"/>
      <c r="H350" s="72"/>
      <c r="I350" s="11"/>
      <c r="J350" s="11"/>
      <c r="K350" s="11"/>
    </row>
    <row r="351" ht="13.5" customHeight="1">
      <c r="A351" s="11"/>
      <c r="B351" s="11"/>
      <c r="C351" s="11"/>
      <c r="D351" s="11"/>
      <c r="E351" s="11"/>
      <c r="F351" s="11"/>
      <c r="G351" s="71"/>
      <c r="H351" s="72"/>
      <c r="I351" s="11"/>
      <c r="J351" s="11"/>
      <c r="K351" s="11"/>
    </row>
    <row r="352" ht="13.5" customHeight="1">
      <c r="A352" s="11"/>
      <c r="B352" s="11"/>
      <c r="C352" s="11"/>
      <c r="D352" s="11"/>
      <c r="E352" s="11"/>
      <c r="F352" s="11"/>
      <c r="G352" s="71"/>
      <c r="H352" s="72"/>
      <c r="I352" s="11"/>
      <c r="J352" s="11"/>
      <c r="K352" s="11"/>
    </row>
    <row r="353" ht="13.5" customHeight="1">
      <c r="A353" s="11"/>
      <c r="B353" s="11"/>
      <c r="C353" s="11"/>
      <c r="D353" s="11"/>
      <c r="E353" s="11"/>
      <c r="F353" s="11"/>
      <c r="G353" s="71"/>
      <c r="H353" s="72"/>
      <c r="I353" s="11"/>
      <c r="J353" s="11"/>
      <c r="K353" s="11"/>
    </row>
    <row r="354" ht="13.5" customHeight="1">
      <c r="A354" s="11"/>
      <c r="B354" s="11"/>
      <c r="C354" s="11"/>
      <c r="D354" s="11"/>
      <c r="E354" s="11"/>
      <c r="F354" s="11"/>
      <c r="G354" s="71"/>
      <c r="H354" s="72"/>
      <c r="I354" s="11"/>
      <c r="J354" s="11"/>
      <c r="K354" s="11"/>
    </row>
    <row r="355" ht="13.5" customHeight="1">
      <c r="A355" s="11"/>
      <c r="B355" s="11"/>
      <c r="C355" s="11"/>
      <c r="D355" s="11"/>
      <c r="E355" s="11"/>
      <c r="F355" s="11"/>
      <c r="G355" s="71"/>
      <c r="H355" s="72"/>
      <c r="I355" s="11"/>
      <c r="J355" s="11"/>
      <c r="K355" s="11"/>
    </row>
    <row r="356" ht="13.5" customHeight="1">
      <c r="A356" s="11"/>
      <c r="B356" s="11"/>
      <c r="C356" s="11"/>
      <c r="D356" s="11"/>
      <c r="E356" s="11"/>
      <c r="F356" s="11"/>
      <c r="G356" s="71"/>
      <c r="H356" s="72"/>
      <c r="I356" s="11"/>
      <c r="J356" s="11"/>
      <c r="K356" s="11"/>
    </row>
    <row r="357" ht="13.5" customHeight="1">
      <c r="A357" s="11"/>
      <c r="B357" s="11"/>
      <c r="C357" s="11"/>
      <c r="D357" s="11"/>
      <c r="E357" s="11"/>
      <c r="F357" s="11"/>
      <c r="G357" s="71"/>
      <c r="H357" s="72"/>
      <c r="I357" s="11"/>
      <c r="J357" s="11"/>
      <c r="K357" s="11"/>
    </row>
    <row r="358" ht="13.5" customHeight="1">
      <c r="A358" s="11"/>
      <c r="B358" s="11"/>
      <c r="C358" s="11"/>
      <c r="D358" s="11"/>
      <c r="E358" s="11"/>
      <c r="F358" s="11"/>
      <c r="G358" s="71"/>
      <c r="H358" s="72"/>
      <c r="I358" s="11"/>
      <c r="J358" s="11"/>
      <c r="K358" s="11"/>
    </row>
    <row r="359" ht="13.5" customHeight="1">
      <c r="A359" s="11"/>
      <c r="B359" s="11"/>
      <c r="C359" s="11"/>
      <c r="D359" s="11"/>
      <c r="E359" s="11"/>
      <c r="F359" s="11"/>
      <c r="G359" s="71"/>
      <c r="H359" s="72"/>
      <c r="I359" s="11"/>
      <c r="J359" s="11"/>
      <c r="K359" s="11"/>
    </row>
    <row r="360" ht="13.5" customHeight="1">
      <c r="A360" s="11"/>
      <c r="B360" s="11"/>
      <c r="C360" s="11"/>
      <c r="D360" s="11"/>
      <c r="E360" s="11"/>
      <c r="F360" s="11"/>
      <c r="G360" s="71"/>
      <c r="H360" s="72"/>
      <c r="I360" s="11"/>
      <c r="J360" s="11"/>
      <c r="K360" s="11"/>
    </row>
    <row r="361" ht="13.5" customHeight="1">
      <c r="A361" s="11"/>
      <c r="B361" s="11"/>
      <c r="C361" s="11"/>
      <c r="D361" s="11"/>
      <c r="E361" s="11"/>
      <c r="F361" s="11"/>
      <c r="G361" s="71"/>
      <c r="H361" s="72"/>
      <c r="I361" s="11"/>
      <c r="J361" s="11"/>
      <c r="K361" s="11"/>
    </row>
    <row r="362" ht="13.5" customHeight="1">
      <c r="A362" s="11"/>
      <c r="B362" s="11"/>
      <c r="C362" s="11"/>
      <c r="D362" s="11"/>
      <c r="E362" s="11"/>
      <c r="F362" s="11"/>
      <c r="G362" s="71"/>
      <c r="H362" s="72"/>
      <c r="I362" s="11"/>
      <c r="J362" s="11"/>
      <c r="K362" s="11"/>
    </row>
    <row r="363" ht="13.5" customHeight="1">
      <c r="A363" s="11"/>
      <c r="B363" s="11"/>
      <c r="C363" s="11"/>
      <c r="D363" s="11"/>
      <c r="E363" s="11"/>
      <c r="F363" s="11"/>
      <c r="G363" s="71"/>
      <c r="H363" s="72"/>
      <c r="I363" s="11"/>
      <c r="J363" s="11"/>
      <c r="K363" s="11"/>
    </row>
    <row r="364" ht="13.5" customHeight="1">
      <c r="A364" s="11"/>
      <c r="B364" s="11"/>
      <c r="C364" s="11"/>
      <c r="D364" s="11"/>
      <c r="E364" s="11"/>
      <c r="F364" s="11"/>
      <c r="G364" s="71"/>
      <c r="H364" s="72"/>
      <c r="I364" s="11"/>
      <c r="J364" s="11"/>
      <c r="K364" s="11"/>
    </row>
    <row r="365" ht="13.5" customHeight="1">
      <c r="A365" s="11"/>
      <c r="B365" s="11"/>
      <c r="C365" s="11"/>
      <c r="D365" s="11"/>
      <c r="E365" s="11"/>
      <c r="F365" s="11"/>
      <c r="G365" s="71"/>
      <c r="H365" s="72"/>
      <c r="I365" s="11"/>
      <c r="J365" s="11"/>
      <c r="K365" s="11"/>
    </row>
    <row r="366" ht="13.5" customHeight="1">
      <c r="A366" s="11"/>
      <c r="B366" s="11"/>
      <c r="C366" s="11"/>
      <c r="D366" s="11"/>
      <c r="E366" s="11"/>
      <c r="F366" s="11"/>
      <c r="G366" s="71"/>
      <c r="H366" s="72"/>
      <c r="I366" s="11"/>
      <c r="J366" s="11"/>
      <c r="K366" s="11"/>
    </row>
    <row r="367" ht="13.5" customHeight="1">
      <c r="A367" s="11"/>
      <c r="B367" s="11"/>
      <c r="C367" s="11"/>
      <c r="D367" s="11"/>
      <c r="E367" s="11"/>
      <c r="F367" s="11"/>
      <c r="G367" s="71"/>
      <c r="H367" s="72"/>
      <c r="I367" s="11"/>
      <c r="J367" s="11"/>
      <c r="K367" s="11"/>
    </row>
    <row r="368" ht="13.5" customHeight="1">
      <c r="A368" s="11"/>
      <c r="B368" s="11"/>
      <c r="C368" s="11"/>
      <c r="D368" s="11"/>
      <c r="E368" s="11"/>
      <c r="F368" s="11"/>
      <c r="G368" s="71"/>
      <c r="H368" s="72"/>
      <c r="I368" s="11"/>
      <c r="J368" s="11"/>
      <c r="K368" s="11"/>
    </row>
    <row r="369" ht="13.5" customHeight="1">
      <c r="A369" s="11"/>
      <c r="B369" s="11"/>
      <c r="C369" s="11"/>
      <c r="D369" s="11"/>
      <c r="E369" s="11"/>
      <c r="F369" s="11"/>
      <c r="G369" s="71"/>
      <c r="H369" s="72"/>
      <c r="I369" s="11"/>
      <c r="J369" s="11"/>
      <c r="K369" s="11"/>
    </row>
    <row r="370" ht="13.5" customHeight="1">
      <c r="A370" s="11"/>
      <c r="B370" s="11"/>
      <c r="C370" s="11"/>
      <c r="D370" s="11"/>
      <c r="E370" s="11"/>
      <c r="F370" s="11"/>
      <c r="G370" s="71"/>
      <c r="H370" s="72"/>
      <c r="I370" s="11"/>
      <c r="J370" s="11"/>
      <c r="K370" s="11"/>
    </row>
    <row r="371" ht="13.5" customHeight="1">
      <c r="A371" s="11"/>
      <c r="B371" s="11"/>
      <c r="C371" s="11"/>
      <c r="D371" s="11"/>
      <c r="E371" s="11"/>
      <c r="F371" s="11"/>
      <c r="G371" s="71"/>
      <c r="H371" s="72"/>
      <c r="I371" s="11"/>
      <c r="J371" s="11"/>
      <c r="K371" s="11"/>
    </row>
    <row r="372" ht="13.5" customHeight="1">
      <c r="A372" s="11"/>
      <c r="B372" s="11"/>
      <c r="C372" s="11"/>
      <c r="D372" s="11"/>
      <c r="E372" s="11"/>
      <c r="F372" s="11"/>
      <c r="G372" s="71"/>
      <c r="H372" s="72"/>
      <c r="I372" s="11"/>
      <c r="J372" s="11"/>
      <c r="K372" s="11"/>
    </row>
    <row r="373" ht="13.5" customHeight="1">
      <c r="A373" s="11"/>
      <c r="B373" s="11"/>
      <c r="C373" s="11"/>
      <c r="D373" s="11"/>
      <c r="E373" s="11"/>
      <c r="F373" s="11"/>
      <c r="G373" s="71"/>
      <c r="H373" s="72"/>
      <c r="I373" s="11"/>
      <c r="J373" s="11"/>
      <c r="K373" s="11"/>
    </row>
    <row r="374" ht="13.5" customHeight="1">
      <c r="A374" s="11"/>
      <c r="B374" s="11"/>
      <c r="C374" s="11"/>
      <c r="D374" s="11"/>
      <c r="E374" s="11"/>
      <c r="F374" s="11"/>
      <c r="G374" s="71"/>
      <c r="H374" s="72"/>
      <c r="I374" s="11"/>
      <c r="J374" s="11"/>
      <c r="K374" s="11"/>
    </row>
    <row r="375" ht="13.5" customHeight="1">
      <c r="A375" s="11"/>
      <c r="B375" s="11"/>
      <c r="C375" s="11"/>
      <c r="D375" s="11"/>
      <c r="E375" s="11"/>
      <c r="F375" s="11"/>
      <c r="G375" s="71"/>
      <c r="H375" s="72"/>
      <c r="I375" s="11"/>
      <c r="J375" s="11"/>
      <c r="K375" s="11"/>
    </row>
    <row r="376" ht="13.5" customHeight="1">
      <c r="A376" s="11"/>
      <c r="B376" s="11"/>
      <c r="C376" s="11"/>
      <c r="D376" s="11"/>
      <c r="E376" s="11"/>
      <c r="F376" s="11"/>
      <c r="G376" s="71"/>
      <c r="H376" s="72"/>
      <c r="I376" s="11"/>
      <c r="J376" s="11"/>
      <c r="K376" s="11"/>
    </row>
    <row r="377" ht="13.5" customHeight="1">
      <c r="A377" s="11"/>
      <c r="B377" s="11"/>
      <c r="C377" s="11"/>
      <c r="D377" s="11"/>
      <c r="E377" s="11"/>
      <c r="F377" s="11"/>
      <c r="G377" s="71"/>
      <c r="H377" s="72"/>
      <c r="I377" s="11"/>
      <c r="J377" s="11"/>
      <c r="K377" s="11"/>
    </row>
    <row r="378" ht="13.5" customHeight="1">
      <c r="A378" s="11"/>
      <c r="B378" s="11"/>
      <c r="C378" s="11"/>
      <c r="D378" s="11"/>
      <c r="E378" s="11"/>
      <c r="F378" s="11"/>
      <c r="G378" s="71"/>
      <c r="H378" s="72"/>
      <c r="I378" s="11"/>
      <c r="J378" s="11"/>
      <c r="K378" s="11"/>
    </row>
    <row r="379" ht="13.5" customHeight="1">
      <c r="A379" s="11"/>
      <c r="B379" s="11"/>
      <c r="C379" s="11"/>
      <c r="D379" s="11"/>
      <c r="E379" s="11"/>
      <c r="F379" s="11"/>
      <c r="G379" s="71"/>
      <c r="H379" s="72"/>
      <c r="I379" s="11"/>
      <c r="J379" s="11"/>
      <c r="K379" s="11"/>
    </row>
    <row r="380" ht="13.5" customHeight="1">
      <c r="A380" s="11"/>
      <c r="B380" s="11"/>
      <c r="C380" s="11"/>
      <c r="D380" s="11"/>
      <c r="E380" s="11"/>
      <c r="F380" s="11"/>
      <c r="G380" s="71"/>
      <c r="H380" s="72"/>
      <c r="I380" s="11"/>
      <c r="J380" s="11"/>
      <c r="K380" s="11"/>
    </row>
    <row r="381" ht="13.5" customHeight="1">
      <c r="A381" s="11"/>
      <c r="B381" s="11"/>
      <c r="C381" s="11"/>
      <c r="D381" s="11"/>
      <c r="E381" s="11"/>
      <c r="F381" s="11"/>
      <c r="G381" s="71"/>
      <c r="H381" s="72"/>
      <c r="I381" s="11"/>
      <c r="J381" s="11"/>
      <c r="K381" s="11"/>
    </row>
    <row r="382" ht="13.5" customHeight="1">
      <c r="A382" s="11"/>
      <c r="B382" s="11"/>
      <c r="C382" s="11"/>
      <c r="D382" s="11"/>
      <c r="E382" s="11"/>
      <c r="F382" s="11"/>
      <c r="G382" s="71"/>
      <c r="H382" s="72"/>
      <c r="I382" s="11"/>
      <c r="J382" s="11"/>
      <c r="K382" s="11"/>
    </row>
    <row r="383" ht="13.5" customHeight="1">
      <c r="A383" s="11"/>
      <c r="B383" s="11"/>
      <c r="C383" s="11"/>
      <c r="D383" s="11"/>
      <c r="E383" s="11"/>
      <c r="F383" s="11"/>
      <c r="G383" s="71"/>
      <c r="H383" s="72"/>
      <c r="I383" s="11"/>
      <c r="J383" s="11"/>
      <c r="K383" s="11"/>
    </row>
    <row r="384" ht="13.5" customHeight="1">
      <c r="A384" s="11"/>
      <c r="B384" s="11"/>
      <c r="C384" s="11"/>
      <c r="D384" s="11"/>
      <c r="E384" s="11"/>
      <c r="F384" s="11"/>
      <c r="G384" s="71"/>
      <c r="H384" s="72"/>
      <c r="I384" s="11"/>
      <c r="J384" s="11"/>
      <c r="K384" s="11"/>
    </row>
    <row r="385" ht="13.5" customHeight="1">
      <c r="A385" s="11"/>
      <c r="B385" s="11"/>
      <c r="C385" s="11"/>
      <c r="D385" s="11"/>
      <c r="E385" s="11"/>
      <c r="F385" s="11"/>
      <c r="G385" s="71"/>
      <c r="H385" s="72"/>
      <c r="I385" s="11"/>
      <c r="J385" s="11"/>
      <c r="K385" s="11"/>
    </row>
    <row r="386" ht="13.5" customHeight="1">
      <c r="A386" s="11"/>
      <c r="B386" s="11"/>
      <c r="C386" s="11"/>
      <c r="D386" s="11"/>
      <c r="E386" s="11"/>
      <c r="F386" s="11"/>
      <c r="G386" s="71"/>
      <c r="H386" s="72"/>
      <c r="I386" s="11"/>
      <c r="J386" s="11"/>
      <c r="K386" s="11"/>
    </row>
    <row r="387" ht="13.5" customHeight="1">
      <c r="A387" s="11"/>
      <c r="B387" s="11"/>
      <c r="C387" s="11"/>
      <c r="D387" s="11"/>
      <c r="E387" s="11"/>
      <c r="F387" s="11"/>
      <c r="G387" s="71"/>
      <c r="H387" s="72"/>
      <c r="I387" s="11"/>
      <c r="J387" s="11"/>
      <c r="K387" s="11"/>
    </row>
    <row r="388" ht="13.5" customHeight="1">
      <c r="A388" s="11"/>
      <c r="B388" s="11"/>
      <c r="C388" s="11"/>
      <c r="D388" s="11"/>
      <c r="E388" s="11"/>
      <c r="F388" s="11"/>
      <c r="G388" s="71"/>
      <c r="H388" s="72"/>
      <c r="I388" s="11"/>
      <c r="J388" s="11"/>
      <c r="K388" s="11"/>
    </row>
    <row r="389" ht="13.5" customHeight="1">
      <c r="A389" s="11"/>
      <c r="B389" s="11"/>
      <c r="C389" s="11"/>
      <c r="D389" s="11"/>
      <c r="E389" s="11"/>
      <c r="F389" s="11"/>
      <c r="G389" s="71"/>
      <c r="H389" s="72"/>
      <c r="I389" s="11"/>
      <c r="J389" s="11"/>
      <c r="K389" s="11"/>
    </row>
    <row r="390" ht="13.5" customHeight="1">
      <c r="A390" s="11"/>
      <c r="B390" s="11"/>
      <c r="C390" s="11"/>
      <c r="D390" s="11"/>
      <c r="E390" s="11"/>
      <c r="F390" s="11"/>
      <c r="G390" s="71"/>
      <c r="H390" s="72"/>
      <c r="I390" s="11"/>
      <c r="J390" s="11"/>
      <c r="K390" s="11"/>
    </row>
    <row r="391" ht="13.5" customHeight="1">
      <c r="A391" s="11"/>
      <c r="B391" s="11"/>
      <c r="C391" s="11"/>
      <c r="D391" s="11"/>
      <c r="E391" s="11"/>
      <c r="F391" s="11"/>
      <c r="G391" s="71"/>
      <c r="H391" s="72"/>
      <c r="I391" s="11"/>
      <c r="J391" s="11"/>
      <c r="K391" s="11"/>
    </row>
    <row r="392" ht="13.5" customHeight="1">
      <c r="A392" s="11"/>
      <c r="B392" s="11"/>
      <c r="C392" s="11"/>
      <c r="D392" s="11"/>
      <c r="E392" s="11"/>
      <c r="F392" s="11"/>
      <c r="G392" s="71"/>
      <c r="H392" s="72"/>
      <c r="I392" s="11"/>
      <c r="J392" s="11"/>
      <c r="K392" s="11"/>
    </row>
    <row r="393" ht="13.5" customHeight="1">
      <c r="A393" s="11"/>
      <c r="B393" s="11"/>
      <c r="C393" s="11"/>
      <c r="D393" s="11"/>
      <c r="E393" s="11"/>
      <c r="F393" s="11"/>
      <c r="G393" s="71"/>
      <c r="H393" s="72"/>
      <c r="I393" s="11"/>
      <c r="J393" s="11"/>
      <c r="K393" s="11"/>
    </row>
    <row r="394" ht="13.5" customHeight="1">
      <c r="A394" s="11"/>
      <c r="B394" s="11"/>
      <c r="C394" s="11"/>
      <c r="D394" s="11"/>
      <c r="E394" s="11"/>
      <c r="F394" s="11"/>
      <c r="G394" s="71"/>
      <c r="H394" s="72"/>
      <c r="I394" s="11"/>
      <c r="J394" s="11"/>
      <c r="K394" s="11"/>
    </row>
    <row r="395" ht="13.5" customHeight="1">
      <c r="A395" s="11"/>
      <c r="B395" s="11"/>
      <c r="C395" s="11"/>
      <c r="D395" s="11"/>
      <c r="E395" s="11"/>
      <c r="F395" s="11"/>
      <c r="G395" s="71"/>
      <c r="H395" s="72"/>
      <c r="I395" s="11"/>
      <c r="J395" s="11"/>
      <c r="K395" s="11"/>
    </row>
    <row r="396" ht="13.5" customHeight="1">
      <c r="A396" s="11"/>
      <c r="B396" s="11"/>
      <c r="C396" s="11"/>
      <c r="D396" s="11"/>
      <c r="E396" s="11"/>
      <c r="F396" s="11"/>
      <c r="G396" s="71"/>
      <c r="H396" s="72"/>
      <c r="I396" s="11"/>
      <c r="J396" s="11"/>
      <c r="K396" s="11"/>
    </row>
    <row r="397" ht="13.5" customHeight="1">
      <c r="A397" s="11"/>
      <c r="B397" s="11"/>
      <c r="C397" s="11"/>
      <c r="D397" s="11"/>
      <c r="E397" s="11"/>
      <c r="F397" s="11"/>
      <c r="G397" s="71"/>
      <c r="H397" s="72"/>
      <c r="I397" s="11"/>
      <c r="J397" s="11"/>
      <c r="K397" s="11"/>
    </row>
    <row r="398" ht="13.5" customHeight="1">
      <c r="A398" s="11"/>
      <c r="B398" s="11"/>
      <c r="C398" s="11"/>
      <c r="D398" s="11"/>
      <c r="E398" s="11"/>
      <c r="F398" s="11"/>
      <c r="G398" s="71"/>
      <c r="H398" s="72"/>
      <c r="I398" s="11"/>
      <c r="J398" s="11"/>
      <c r="K398" s="11"/>
    </row>
    <row r="399" ht="13.5" customHeight="1">
      <c r="A399" s="11"/>
      <c r="B399" s="11"/>
      <c r="C399" s="11"/>
      <c r="D399" s="11"/>
      <c r="E399" s="11"/>
      <c r="F399" s="11"/>
      <c r="G399" s="71"/>
      <c r="H399" s="72"/>
      <c r="I399" s="11"/>
      <c r="J399" s="11"/>
      <c r="K399" s="11"/>
    </row>
    <row r="400" ht="13.5" customHeight="1">
      <c r="A400" s="11"/>
      <c r="B400" s="11"/>
      <c r="C400" s="11"/>
      <c r="D400" s="11"/>
      <c r="E400" s="11"/>
      <c r="F400" s="11"/>
      <c r="G400" s="71"/>
      <c r="H400" s="72"/>
      <c r="I400" s="11"/>
      <c r="J400" s="11"/>
      <c r="K400" s="11"/>
    </row>
    <row r="401" ht="13.5" customHeight="1">
      <c r="A401" s="11"/>
      <c r="B401" s="11"/>
      <c r="C401" s="11"/>
      <c r="D401" s="11"/>
      <c r="E401" s="11"/>
      <c r="F401" s="11"/>
      <c r="G401" s="71"/>
      <c r="H401" s="72"/>
      <c r="I401" s="11"/>
      <c r="J401" s="11"/>
      <c r="K401" s="11"/>
    </row>
    <row r="402" ht="13.5" customHeight="1">
      <c r="A402" s="11"/>
      <c r="B402" s="11"/>
      <c r="C402" s="11"/>
      <c r="D402" s="11"/>
      <c r="E402" s="11"/>
      <c r="F402" s="11"/>
      <c r="G402" s="71"/>
      <c r="H402" s="72"/>
      <c r="I402" s="11"/>
      <c r="J402" s="11"/>
      <c r="K402" s="11"/>
    </row>
    <row r="403" ht="13.5" customHeight="1">
      <c r="A403" s="11"/>
      <c r="B403" s="11"/>
      <c r="C403" s="11"/>
      <c r="D403" s="11"/>
      <c r="E403" s="11"/>
      <c r="F403" s="11"/>
      <c r="G403" s="71"/>
      <c r="H403" s="72"/>
      <c r="I403" s="11"/>
      <c r="J403" s="11"/>
      <c r="K403" s="11"/>
    </row>
    <row r="404" ht="13.5" customHeight="1">
      <c r="A404" s="11"/>
      <c r="B404" s="11"/>
      <c r="C404" s="11"/>
      <c r="D404" s="11"/>
      <c r="E404" s="11"/>
      <c r="F404" s="11"/>
      <c r="G404" s="71"/>
      <c r="H404" s="72"/>
      <c r="I404" s="11"/>
      <c r="J404" s="11"/>
      <c r="K404" s="11"/>
    </row>
    <row r="405" ht="13.5" customHeight="1">
      <c r="A405" s="11"/>
      <c r="B405" s="11"/>
      <c r="C405" s="11"/>
      <c r="D405" s="11"/>
      <c r="E405" s="11"/>
      <c r="F405" s="11"/>
      <c r="G405" s="71"/>
      <c r="H405" s="72"/>
      <c r="I405" s="11"/>
      <c r="J405" s="11"/>
      <c r="K405" s="11"/>
    </row>
    <row r="406" ht="13.5" customHeight="1">
      <c r="A406" s="11"/>
      <c r="B406" s="11"/>
      <c r="C406" s="11"/>
      <c r="D406" s="11"/>
      <c r="E406" s="11"/>
      <c r="F406" s="11"/>
      <c r="G406" s="71"/>
      <c r="H406" s="72"/>
      <c r="I406" s="11"/>
      <c r="J406" s="11"/>
      <c r="K406" s="11"/>
    </row>
    <row r="407" ht="13.5" customHeight="1">
      <c r="A407" s="11"/>
      <c r="B407" s="11"/>
      <c r="C407" s="11"/>
      <c r="D407" s="11"/>
      <c r="E407" s="11"/>
      <c r="F407" s="11"/>
      <c r="G407" s="71"/>
      <c r="H407" s="72"/>
      <c r="I407" s="11"/>
      <c r="J407" s="11"/>
      <c r="K407" s="11"/>
    </row>
    <row r="408" ht="13.5" customHeight="1">
      <c r="A408" s="11"/>
      <c r="B408" s="11"/>
      <c r="C408" s="11"/>
      <c r="D408" s="11"/>
      <c r="E408" s="11"/>
      <c r="F408" s="11"/>
      <c r="G408" s="71"/>
      <c r="H408" s="72"/>
      <c r="I408" s="11"/>
      <c r="J408" s="11"/>
      <c r="K408" s="11"/>
    </row>
    <row r="409" ht="13.5" customHeight="1">
      <c r="A409" s="11"/>
      <c r="B409" s="11"/>
      <c r="C409" s="11"/>
      <c r="D409" s="11"/>
      <c r="E409" s="11"/>
      <c r="F409" s="11"/>
      <c r="G409" s="71"/>
      <c r="H409" s="72"/>
      <c r="I409" s="11"/>
      <c r="J409" s="11"/>
      <c r="K409" s="11"/>
    </row>
    <row r="410" ht="13.5" customHeight="1">
      <c r="A410" s="11"/>
      <c r="B410" s="11"/>
      <c r="C410" s="11"/>
      <c r="D410" s="11"/>
      <c r="E410" s="11"/>
      <c r="F410" s="11"/>
      <c r="G410" s="71"/>
      <c r="H410" s="72"/>
      <c r="I410" s="11"/>
      <c r="J410" s="11"/>
      <c r="K410" s="11"/>
    </row>
    <row r="411" ht="13.5" customHeight="1">
      <c r="A411" s="11"/>
      <c r="B411" s="11"/>
      <c r="C411" s="11"/>
      <c r="D411" s="11"/>
      <c r="E411" s="11"/>
      <c r="F411" s="11"/>
      <c r="G411" s="71"/>
      <c r="H411" s="72"/>
      <c r="I411" s="11"/>
      <c r="J411" s="11"/>
      <c r="K411" s="11"/>
    </row>
    <row r="412" ht="13.5" customHeight="1">
      <c r="A412" s="11"/>
      <c r="B412" s="11"/>
      <c r="C412" s="11"/>
      <c r="D412" s="11"/>
      <c r="E412" s="11"/>
      <c r="F412" s="11"/>
      <c r="G412" s="71"/>
      <c r="H412" s="72"/>
      <c r="I412" s="11"/>
      <c r="J412" s="11"/>
      <c r="K412" s="11"/>
    </row>
    <row r="413" ht="13.5" customHeight="1">
      <c r="A413" s="11"/>
      <c r="B413" s="11"/>
      <c r="C413" s="11"/>
      <c r="D413" s="11"/>
      <c r="E413" s="11"/>
      <c r="F413" s="11"/>
      <c r="G413" s="71"/>
      <c r="H413" s="72"/>
      <c r="I413" s="11"/>
      <c r="J413" s="11"/>
      <c r="K413" s="11"/>
    </row>
    <row r="414" ht="13.5" customHeight="1">
      <c r="A414" s="11"/>
      <c r="B414" s="11"/>
      <c r="C414" s="11"/>
      <c r="D414" s="11"/>
      <c r="E414" s="11"/>
      <c r="F414" s="11"/>
      <c r="G414" s="71"/>
      <c r="H414" s="72"/>
      <c r="I414" s="11"/>
      <c r="J414" s="11"/>
      <c r="K414" s="11"/>
    </row>
    <row r="415" ht="13.5" customHeight="1">
      <c r="A415" s="11"/>
      <c r="B415" s="11"/>
      <c r="C415" s="11"/>
      <c r="D415" s="11"/>
      <c r="E415" s="11"/>
      <c r="F415" s="11"/>
      <c r="G415" s="71"/>
      <c r="H415" s="72"/>
      <c r="I415" s="11"/>
      <c r="J415" s="11"/>
      <c r="K415" s="11"/>
    </row>
    <row r="416" ht="13.5" customHeight="1">
      <c r="A416" s="11"/>
      <c r="B416" s="11"/>
      <c r="C416" s="11"/>
      <c r="D416" s="11"/>
      <c r="E416" s="11"/>
      <c r="F416" s="11"/>
      <c r="G416" s="71"/>
      <c r="H416" s="72"/>
      <c r="I416" s="11"/>
      <c r="J416" s="11"/>
      <c r="K416" s="11"/>
    </row>
    <row r="417" ht="13.5" customHeight="1">
      <c r="A417" s="11"/>
      <c r="B417" s="11"/>
      <c r="C417" s="11"/>
      <c r="D417" s="11"/>
      <c r="E417" s="11"/>
      <c r="F417" s="11"/>
      <c r="G417" s="71"/>
      <c r="H417" s="72"/>
      <c r="I417" s="11"/>
      <c r="J417" s="11"/>
      <c r="K417" s="11"/>
    </row>
    <row r="418" ht="13.5" customHeight="1">
      <c r="A418" s="11"/>
      <c r="B418" s="11"/>
      <c r="C418" s="11"/>
      <c r="D418" s="11"/>
      <c r="E418" s="11"/>
      <c r="F418" s="11"/>
      <c r="G418" s="71"/>
      <c r="H418" s="72"/>
      <c r="I418" s="11"/>
      <c r="J418" s="11"/>
      <c r="K418" s="11"/>
    </row>
    <row r="419" ht="13.5" customHeight="1">
      <c r="A419" s="11"/>
      <c r="B419" s="11"/>
      <c r="C419" s="11"/>
      <c r="D419" s="11"/>
      <c r="E419" s="11"/>
      <c r="F419" s="11"/>
      <c r="G419" s="71"/>
      <c r="H419" s="72"/>
      <c r="I419" s="11"/>
      <c r="J419" s="11"/>
      <c r="K419" s="11"/>
    </row>
    <row r="420" ht="13.5" customHeight="1">
      <c r="A420" s="11"/>
      <c r="B420" s="11"/>
      <c r="C420" s="11"/>
      <c r="D420" s="11"/>
      <c r="E420" s="11"/>
      <c r="F420" s="11"/>
      <c r="G420" s="71"/>
      <c r="H420" s="72"/>
      <c r="I420" s="11"/>
      <c r="J420" s="11"/>
      <c r="K420" s="11"/>
    </row>
    <row r="421" ht="13.5" customHeight="1">
      <c r="A421" s="11"/>
      <c r="B421" s="11"/>
      <c r="C421" s="11"/>
      <c r="D421" s="11"/>
      <c r="E421" s="11"/>
      <c r="F421" s="11"/>
      <c r="G421" s="71"/>
      <c r="H421" s="72"/>
      <c r="I421" s="11"/>
      <c r="J421" s="11"/>
      <c r="K421" s="11"/>
    </row>
    <row r="422" ht="13.5" customHeight="1">
      <c r="A422" s="11"/>
      <c r="B422" s="11"/>
      <c r="C422" s="11"/>
      <c r="D422" s="11"/>
      <c r="E422" s="11"/>
      <c r="F422" s="11"/>
      <c r="G422" s="71"/>
      <c r="H422" s="72"/>
      <c r="I422" s="11"/>
      <c r="J422" s="11"/>
      <c r="K422" s="11"/>
    </row>
    <row r="423" ht="13.5" customHeight="1">
      <c r="A423" s="11"/>
      <c r="B423" s="11"/>
      <c r="C423" s="11"/>
      <c r="D423" s="11"/>
      <c r="E423" s="11"/>
      <c r="F423" s="11"/>
      <c r="G423" s="71"/>
      <c r="H423" s="72"/>
      <c r="I423" s="11"/>
      <c r="J423" s="11"/>
      <c r="K423" s="11"/>
    </row>
    <row r="424" ht="13.5" customHeight="1">
      <c r="A424" s="11"/>
      <c r="B424" s="11"/>
      <c r="C424" s="11"/>
      <c r="D424" s="11"/>
      <c r="E424" s="11"/>
      <c r="F424" s="11"/>
      <c r="G424" s="71"/>
      <c r="H424" s="72"/>
      <c r="I424" s="11"/>
      <c r="J424" s="11"/>
      <c r="K424" s="11"/>
    </row>
    <row r="425" ht="13.5" customHeight="1">
      <c r="A425" s="11"/>
      <c r="B425" s="11"/>
      <c r="C425" s="11"/>
      <c r="D425" s="11"/>
      <c r="E425" s="11"/>
      <c r="F425" s="11"/>
      <c r="G425" s="71"/>
      <c r="H425" s="72"/>
      <c r="I425" s="11"/>
      <c r="J425" s="11"/>
      <c r="K425" s="11"/>
    </row>
    <row r="426" ht="13.5" customHeight="1">
      <c r="A426" s="11"/>
      <c r="B426" s="11"/>
      <c r="C426" s="11"/>
      <c r="D426" s="11"/>
      <c r="E426" s="11"/>
      <c r="F426" s="11"/>
      <c r="G426" s="71"/>
      <c r="H426" s="72"/>
      <c r="I426" s="11"/>
      <c r="J426" s="11"/>
      <c r="K426" s="11"/>
    </row>
    <row r="427" ht="13.5" customHeight="1">
      <c r="A427" s="11"/>
      <c r="B427" s="11"/>
      <c r="C427" s="11"/>
      <c r="D427" s="11"/>
      <c r="E427" s="11"/>
      <c r="F427" s="11"/>
      <c r="G427" s="71"/>
      <c r="H427" s="72"/>
      <c r="I427" s="11"/>
      <c r="J427" s="11"/>
      <c r="K427" s="11"/>
    </row>
    <row r="428" ht="13.5" customHeight="1">
      <c r="A428" s="11"/>
      <c r="B428" s="11"/>
      <c r="C428" s="11"/>
      <c r="D428" s="11"/>
      <c r="E428" s="11"/>
      <c r="F428" s="11"/>
      <c r="G428" s="71"/>
      <c r="H428" s="72"/>
      <c r="I428" s="11"/>
      <c r="J428" s="11"/>
      <c r="K428" s="11"/>
    </row>
    <row r="429" ht="13.5" customHeight="1">
      <c r="A429" s="11"/>
      <c r="B429" s="11"/>
      <c r="C429" s="11"/>
      <c r="D429" s="11"/>
      <c r="E429" s="11"/>
      <c r="F429" s="11"/>
      <c r="G429" s="71"/>
      <c r="H429" s="72"/>
      <c r="I429" s="11"/>
      <c r="J429" s="11"/>
      <c r="K429" s="11"/>
    </row>
    <row r="430" ht="13.5" customHeight="1">
      <c r="A430" s="11"/>
      <c r="B430" s="11"/>
      <c r="C430" s="11"/>
      <c r="D430" s="11"/>
      <c r="E430" s="11"/>
      <c r="F430" s="11"/>
      <c r="G430" s="71"/>
      <c r="H430" s="72"/>
      <c r="I430" s="11"/>
      <c r="J430" s="11"/>
      <c r="K430" s="11"/>
    </row>
    <row r="431" ht="13.5" customHeight="1">
      <c r="A431" s="11"/>
      <c r="B431" s="11"/>
      <c r="C431" s="11"/>
      <c r="D431" s="11"/>
      <c r="E431" s="11"/>
      <c r="F431" s="11"/>
      <c r="G431" s="71"/>
      <c r="H431" s="72"/>
      <c r="I431" s="11"/>
      <c r="J431" s="11"/>
      <c r="K431" s="11"/>
    </row>
    <row r="432" ht="13.5" customHeight="1">
      <c r="A432" s="11"/>
      <c r="B432" s="11"/>
      <c r="C432" s="11"/>
      <c r="D432" s="11"/>
      <c r="E432" s="11"/>
      <c r="F432" s="11"/>
      <c r="G432" s="71"/>
      <c r="H432" s="72"/>
      <c r="I432" s="11"/>
      <c r="J432" s="11"/>
      <c r="K432" s="11"/>
    </row>
    <row r="433" ht="13.5" customHeight="1">
      <c r="A433" s="11"/>
      <c r="B433" s="11"/>
      <c r="C433" s="11"/>
      <c r="D433" s="11"/>
      <c r="E433" s="11"/>
      <c r="F433" s="11"/>
      <c r="G433" s="71"/>
      <c r="H433" s="72"/>
      <c r="I433" s="11"/>
      <c r="J433" s="11"/>
      <c r="K433" s="11"/>
    </row>
    <row r="434" ht="13.5" customHeight="1">
      <c r="A434" s="11"/>
      <c r="B434" s="11"/>
      <c r="C434" s="11"/>
      <c r="D434" s="11"/>
      <c r="E434" s="11"/>
      <c r="F434" s="11"/>
      <c r="G434" s="71"/>
      <c r="H434" s="72"/>
      <c r="I434" s="11"/>
      <c r="J434" s="11"/>
      <c r="K434" s="11"/>
    </row>
    <row r="435" ht="13.5" customHeight="1">
      <c r="A435" s="11"/>
      <c r="B435" s="11"/>
      <c r="C435" s="11"/>
      <c r="D435" s="11"/>
      <c r="E435" s="11"/>
      <c r="F435" s="11"/>
      <c r="G435" s="71"/>
      <c r="H435" s="72"/>
      <c r="I435" s="11"/>
      <c r="J435" s="11"/>
      <c r="K435" s="11"/>
    </row>
    <row r="436" ht="13.5" customHeight="1">
      <c r="A436" s="11"/>
      <c r="B436" s="11"/>
      <c r="C436" s="11"/>
      <c r="D436" s="11"/>
      <c r="E436" s="11"/>
      <c r="F436" s="11"/>
      <c r="G436" s="71"/>
      <c r="H436" s="72"/>
      <c r="I436" s="11"/>
      <c r="J436" s="11"/>
      <c r="K436" s="11"/>
    </row>
    <row r="437" ht="13.5" customHeight="1">
      <c r="A437" s="11"/>
      <c r="B437" s="11"/>
      <c r="C437" s="11"/>
      <c r="D437" s="11"/>
      <c r="E437" s="11"/>
      <c r="F437" s="11"/>
      <c r="G437" s="71"/>
      <c r="H437" s="72"/>
      <c r="I437" s="11"/>
      <c r="J437" s="11"/>
      <c r="K437" s="11"/>
    </row>
    <row r="438" ht="13.5" customHeight="1">
      <c r="A438" s="11"/>
      <c r="B438" s="11"/>
      <c r="C438" s="11"/>
      <c r="D438" s="11"/>
      <c r="E438" s="11"/>
      <c r="F438" s="11"/>
      <c r="G438" s="71"/>
      <c r="H438" s="72"/>
      <c r="I438" s="11"/>
      <c r="J438" s="11"/>
      <c r="K438" s="11"/>
    </row>
    <row r="439" ht="13.5" customHeight="1">
      <c r="A439" s="11"/>
      <c r="B439" s="11"/>
      <c r="C439" s="11"/>
      <c r="D439" s="11"/>
      <c r="E439" s="11"/>
      <c r="F439" s="11"/>
      <c r="G439" s="71"/>
      <c r="H439" s="72"/>
      <c r="I439" s="11"/>
      <c r="J439" s="11"/>
      <c r="K439" s="11"/>
    </row>
    <row r="440" ht="13.5" customHeight="1">
      <c r="A440" s="11"/>
      <c r="B440" s="11"/>
      <c r="C440" s="11"/>
      <c r="D440" s="11"/>
      <c r="E440" s="11"/>
      <c r="F440" s="11"/>
      <c r="G440" s="71"/>
      <c r="H440" s="72"/>
      <c r="I440" s="11"/>
      <c r="J440" s="11"/>
      <c r="K440" s="11"/>
    </row>
    <row r="441" ht="13.5" customHeight="1">
      <c r="A441" s="11"/>
      <c r="B441" s="11"/>
      <c r="C441" s="11"/>
      <c r="D441" s="11"/>
      <c r="E441" s="11"/>
      <c r="F441" s="11"/>
      <c r="G441" s="71"/>
      <c r="H441" s="72"/>
      <c r="I441" s="11"/>
      <c r="J441" s="11"/>
      <c r="K441" s="11"/>
    </row>
    <row r="442" ht="13.5" customHeight="1">
      <c r="A442" s="11"/>
      <c r="B442" s="11"/>
      <c r="C442" s="11"/>
      <c r="D442" s="11"/>
      <c r="E442" s="11"/>
      <c r="F442" s="11"/>
      <c r="G442" s="71"/>
      <c r="H442" s="72"/>
      <c r="I442" s="11"/>
      <c r="J442" s="11"/>
      <c r="K442" s="11"/>
    </row>
    <row r="443" ht="13.5" customHeight="1">
      <c r="A443" s="11"/>
      <c r="B443" s="11"/>
      <c r="C443" s="11"/>
      <c r="D443" s="11"/>
      <c r="E443" s="11"/>
      <c r="F443" s="11"/>
      <c r="G443" s="71"/>
      <c r="H443" s="72"/>
      <c r="I443" s="11"/>
      <c r="J443" s="11"/>
      <c r="K443" s="11"/>
    </row>
    <row r="444" ht="13.5" customHeight="1">
      <c r="A444" s="11"/>
      <c r="B444" s="11"/>
      <c r="C444" s="11"/>
      <c r="D444" s="11"/>
      <c r="E444" s="11"/>
      <c r="F444" s="11"/>
      <c r="G444" s="71"/>
      <c r="H444" s="72"/>
      <c r="I444" s="11"/>
      <c r="J444" s="11"/>
      <c r="K444" s="11"/>
    </row>
    <row r="445" ht="13.5" customHeight="1">
      <c r="A445" s="11"/>
      <c r="B445" s="11"/>
      <c r="C445" s="11"/>
      <c r="D445" s="11"/>
      <c r="E445" s="11"/>
      <c r="F445" s="11"/>
      <c r="G445" s="71"/>
      <c r="H445" s="72"/>
      <c r="I445" s="11"/>
      <c r="J445" s="11"/>
      <c r="K445" s="11"/>
    </row>
    <row r="446" ht="13.5" customHeight="1">
      <c r="A446" s="11"/>
      <c r="B446" s="11"/>
      <c r="C446" s="11"/>
      <c r="D446" s="11"/>
      <c r="E446" s="11"/>
      <c r="F446" s="11"/>
      <c r="G446" s="71"/>
      <c r="H446" s="72"/>
      <c r="I446" s="11"/>
      <c r="J446" s="11"/>
      <c r="K446" s="11"/>
    </row>
    <row r="447" ht="13.5" customHeight="1">
      <c r="A447" s="11"/>
      <c r="B447" s="11"/>
      <c r="C447" s="11"/>
      <c r="D447" s="11"/>
      <c r="E447" s="11"/>
      <c r="F447" s="11"/>
      <c r="G447" s="71"/>
      <c r="H447" s="72"/>
      <c r="I447" s="11"/>
      <c r="J447" s="11"/>
      <c r="K447" s="11"/>
    </row>
    <row r="448" ht="13.5" customHeight="1">
      <c r="A448" s="11"/>
      <c r="B448" s="11"/>
      <c r="C448" s="11"/>
      <c r="D448" s="11"/>
      <c r="E448" s="11"/>
      <c r="F448" s="11"/>
      <c r="G448" s="71"/>
      <c r="H448" s="72"/>
      <c r="I448" s="11"/>
      <c r="J448" s="11"/>
      <c r="K448" s="11"/>
    </row>
    <row r="449" ht="13.5" customHeight="1">
      <c r="A449" s="11"/>
      <c r="B449" s="11"/>
      <c r="C449" s="11"/>
      <c r="D449" s="11"/>
      <c r="E449" s="11"/>
      <c r="F449" s="11"/>
      <c r="G449" s="71"/>
      <c r="H449" s="72"/>
      <c r="I449" s="11"/>
      <c r="J449" s="11"/>
      <c r="K449" s="11"/>
    </row>
    <row r="450" ht="13.5" customHeight="1">
      <c r="A450" s="11"/>
      <c r="B450" s="11"/>
      <c r="C450" s="11"/>
      <c r="D450" s="11"/>
      <c r="E450" s="11"/>
      <c r="F450" s="11"/>
      <c r="G450" s="71"/>
      <c r="H450" s="72"/>
      <c r="I450" s="11"/>
      <c r="J450" s="11"/>
      <c r="K450" s="11"/>
    </row>
    <row r="451" ht="13.5" customHeight="1">
      <c r="A451" s="11"/>
      <c r="B451" s="11"/>
      <c r="C451" s="11"/>
      <c r="D451" s="11"/>
      <c r="E451" s="11"/>
      <c r="F451" s="11"/>
      <c r="G451" s="71"/>
      <c r="H451" s="72"/>
      <c r="I451" s="11"/>
      <c r="J451" s="11"/>
      <c r="K451" s="11"/>
    </row>
    <row r="452" ht="13.5" customHeight="1">
      <c r="A452" s="11"/>
      <c r="B452" s="11"/>
      <c r="C452" s="11"/>
      <c r="D452" s="11"/>
      <c r="E452" s="11"/>
      <c r="F452" s="11"/>
      <c r="G452" s="71"/>
      <c r="H452" s="72"/>
      <c r="I452" s="11"/>
      <c r="J452" s="11"/>
      <c r="K452" s="11"/>
    </row>
    <row r="453" ht="13.5" customHeight="1">
      <c r="A453" s="11"/>
      <c r="B453" s="11"/>
      <c r="C453" s="11"/>
      <c r="D453" s="11"/>
      <c r="E453" s="11"/>
      <c r="F453" s="11"/>
      <c r="G453" s="71"/>
      <c r="H453" s="72"/>
      <c r="I453" s="11"/>
      <c r="J453" s="11"/>
      <c r="K453" s="11"/>
    </row>
    <row r="454" ht="13.5" customHeight="1">
      <c r="A454" s="11"/>
      <c r="B454" s="11"/>
      <c r="C454" s="11"/>
      <c r="D454" s="11"/>
      <c r="E454" s="11"/>
      <c r="F454" s="11"/>
      <c r="G454" s="71"/>
      <c r="H454" s="72"/>
      <c r="I454" s="11"/>
      <c r="J454" s="11"/>
      <c r="K454" s="11"/>
    </row>
    <row r="455" ht="13.5" customHeight="1">
      <c r="A455" s="11"/>
      <c r="B455" s="11"/>
      <c r="C455" s="11"/>
      <c r="D455" s="11"/>
      <c r="E455" s="11"/>
      <c r="F455" s="11"/>
      <c r="G455" s="71"/>
      <c r="H455" s="72"/>
      <c r="I455" s="11"/>
      <c r="J455" s="11"/>
      <c r="K455" s="11"/>
    </row>
    <row r="456" ht="13.5" customHeight="1">
      <c r="A456" s="11"/>
      <c r="B456" s="11"/>
      <c r="C456" s="11"/>
      <c r="D456" s="11"/>
      <c r="E456" s="11"/>
      <c r="F456" s="11"/>
      <c r="G456" s="71"/>
      <c r="H456" s="72"/>
      <c r="I456" s="11"/>
      <c r="J456" s="11"/>
      <c r="K456" s="11"/>
    </row>
    <row r="457" ht="13.5" customHeight="1">
      <c r="A457" s="11"/>
      <c r="B457" s="11"/>
      <c r="C457" s="11"/>
      <c r="D457" s="11"/>
      <c r="E457" s="11"/>
      <c r="F457" s="11"/>
      <c r="G457" s="71"/>
      <c r="H457" s="72"/>
      <c r="I457" s="11"/>
      <c r="J457" s="11"/>
      <c r="K457" s="11"/>
    </row>
    <row r="458" ht="13.5" customHeight="1">
      <c r="A458" s="11"/>
      <c r="B458" s="11"/>
      <c r="C458" s="11"/>
      <c r="D458" s="11"/>
      <c r="E458" s="11"/>
      <c r="F458" s="11"/>
      <c r="G458" s="71"/>
      <c r="H458" s="72"/>
      <c r="I458" s="11"/>
      <c r="J458" s="11"/>
      <c r="K458" s="11"/>
    </row>
    <row r="459" ht="13.5" customHeight="1">
      <c r="A459" s="11"/>
      <c r="B459" s="11"/>
      <c r="C459" s="11"/>
      <c r="D459" s="11"/>
      <c r="E459" s="11"/>
      <c r="F459" s="11"/>
      <c r="G459" s="71"/>
      <c r="H459" s="72"/>
      <c r="I459" s="11"/>
      <c r="J459" s="11"/>
      <c r="K459" s="11"/>
    </row>
    <row r="460" ht="13.5" customHeight="1">
      <c r="A460" s="11"/>
      <c r="B460" s="11"/>
      <c r="C460" s="11"/>
      <c r="D460" s="11"/>
      <c r="E460" s="11"/>
      <c r="F460" s="11"/>
      <c r="G460" s="71"/>
      <c r="H460" s="72"/>
      <c r="I460" s="11"/>
      <c r="J460" s="11"/>
      <c r="K460" s="11"/>
    </row>
    <row r="461" ht="13.5" customHeight="1">
      <c r="A461" s="11"/>
      <c r="B461" s="11"/>
      <c r="C461" s="11"/>
      <c r="D461" s="11"/>
      <c r="E461" s="11"/>
      <c r="F461" s="11"/>
      <c r="G461" s="71"/>
      <c r="H461" s="72"/>
      <c r="I461" s="11"/>
      <c r="J461" s="11"/>
      <c r="K461" s="11"/>
    </row>
    <row r="462" ht="13.5" customHeight="1">
      <c r="A462" s="11"/>
      <c r="B462" s="11"/>
      <c r="C462" s="11"/>
      <c r="D462" s="11"/>
      <c r="E462" s="11"/>
      <c r="F462" s="11"/>
      <c r="G462" s="71"/>
      <c r="H462" s="72"/>
      <c r="I462" s="11"/>
      <c r="J462" s="11"/>
      <c r="K462" s="11"/>
    </row>
    <row r="463" ht="13.5" customHeight="1">
      <c r="A463" s="11"/>
      <c r="B463" s="11"/>
      <c r="C463" s="11"/>
      <c r="D463" s="11"/>
      <c r="E463" s="11"/>
      <c r="F463" s="11"/>
      <c r="G463" s="71"/>
      <c r="H463" s="72"/>
      <c r="I463" s="11"/>
      <c r="J463" s="11"/>
      <c r="K463" s="11"/>
    </row>
    <row r="464" ht="13.5" customHeight="1">
      <c r="A464" s="11"/>
      <c r="B464" s="11"/>
      <c r="C464" s="11"/>
      <c r="D464" s="11"/>
      <c r="E464" s="11"/>
      <c r="F464" s="11"/>
      <c r="G464" s="71"/>
      <c r="H464" s="72"/>
      <c r="I464" s="11"/>
      <c r="J464" s="11"/>
      <c r="K464" s="11"/>
    </row>
    <row r="465" ht="13.5" customHeight="1">
      <c r="A465" s="11"/>
      <c r="B465" s="11"/>
      <c r="C465" s="11"/>
      <c r="D465" s="11"/>
      <c r="E465" s="11"/>
      <c r="F465" s="11"/>
      <c r="G465" s="71"/>
      <c r="H465" s="72"/>
      <c r="I465" s="11"/>
      <c r="J465" s="11"/>
      <c r="K465" s="11"/>
    </row>
    <row r="466" ht="13.5" customHeight="1">
      <c r="A466" s="11"/>
      <c r="B466" s="11"/>
      <c r="C466" s="11"/>
      <c r="D466" s="11"/>
      <c r="E466" s="11"/>
      <c r="F466" s="11"/>
      <c r="G466" s="71"/>
      <c r="H466" s="72"/>
      <c r="I466" s="11"/>
      <c r="J466" s="11"/>
      <c r="K466" s="11"/>
    </row>
    <row r="467" ht="13.5" customHeight="1">
      <c r="A467" s="11"/>
      <c r="B467" s="11"/>
      <c r="C467" s="11"/>
      <c r="D467" s="11"/>
      <c r="E467" s="11"/>
      <c r="F467" s="11"/>
      <c r="G467" s="71"/>
      <c r="H467" s="72"/>
      <c r="I467" s="11"/>
      <c r="J467" s="11"/>
      <c r="K467" s="11"/>
    </row>
    <row r="468" ht="13.5" customHeight="1">
      <c r="A468" s="11"/>
      <c r="B468" s="11"/>
      <c r="C468" s="11"/>
      <c r="D468" s="11"/>
      <c r="E468" s="11"/>
      <c r="F468" s="11"/>
      <c r="G468" s="71"/>
      <c r="H468" s="72"/>
      <c r="I468" s="11"/>
      <c r="J468" s="11"/>
      <c r="K468" s="11"/>
    </row>
    <row r="469" ht="13.5" customHeight="1">
      <c r="A469" s="11"/>
      <c r="B469" s="11"/>
      <c r="C469" s="11"/>
      <c r="D469" s="11"/>
      <c r="E469" s="11"/>
      <c r="F469" s="11"/>
      <c r="G469" s="71"/>
      <c r="H469" s="72"/>
      <c r="I469" s="11"/>
      <c r="J469" s="11"/>
      <c r="K469" s="11"/>
    </row>
    <row r="470" ht="13.5" customHeight="1">
      <c r="A470" s="11"/>
      <c r="B470" s="11"/>
      <c r="C470" s="11"/>
      <c r="D470" s="11"/>
      <c r="E470" s="11"/>
      <c r="F470" s="11"/>
      <c r="G470" s="71"/>
      <c r="H470" s="72"/>
      <c r="I470" s="11"/>
      <c r="J470" s="11"/>
      <c r="K470" s="11"/>
    </row>
    <row r="471" ht="13.5" customHeight="1">
      <c r="A471" s="11"/>
      <c r="B471" s="11"/>
      <c r="C471" s="11"/>
      <c r="D471" s="11"/>
      <c r="E471" s="11"/>
      <c r="F471" s="11"/>
      <c r="G471" s="71"/>
      <c r="H471" s="72"/>
      <c r="I471" s="11"/>
      <c r="J471" s="11"/>
      <c r="K471" s="11"/>
    </row>
    <row r="472" ht="13.5" customHeight="1">
      <c r="A472" s="11"/>
      <c r="B472" s="11"/>
      <c r="C472" s="11"/>
      <c r="D472" s="11"/>
      <c r="E472" s="11"/>
      <c r="F472" s="11"/>
      <c r="G472" s="71"/>
      <c r="H472" s="72"/>
      <c r="I472" s="11"/>
      <c r="J472" s="11"/>
      <c r="K472" s="11"/>
    </row>
    <row r="473" ht="13.5" customHeight="1">
      <c r="A473" s="11"/>
      <c r="B473" s="11"/>
      <c r="C473" s="11"/>
      <c r="D473" s="11"/>
      <c r="E473" s="11"/>
      <c r="F473" s="11"/>
      <c r="G473" s="71"/>
      <c r="H473" s="72"/>
      <c r="I473" s="11"/>
      <c r="J473" s="11"/>
      <c r="K473" s="11"/>
    </row>
    <row r="474" ht="13.5" customHeight="1">
      <c r="A474" s="11"/>
      <c r="B474" s="11"/>
      <c r="C474" s="11"/>
      <c r="D474" s="11"/>
      <c r="E474" s="11"/>
      <c r="F474" s="11"/>
      <c r="G474" s="71"/>
      <c r="H474" s="72"/>
      <c r="I474" s="11"/>
      <c r="J474" s="11"/>
      <c r="K474" s="11"/>
    </row>
    <row r="475" ht="13.5" customHeight="1">
      <c r="A475" s="11"/>
      <c r="B475" s="11"/>
      <c r="C475" s="11"/>
      <c r="D475" s="11"/>
      <c r="E475" s="11"/>
      <c r="F475" s="11"/>
      <c r="G475" s="71"/>
      <c r="H475" s="72"/>
      <c r="I475" s="11"/>
      <c r="J475" s="11"/>
      <c r="K475" s="11"/>
    </row>
    <row r="476" ht="13.5" customHeight="1">
      <c r="A476" s="11"/>
      <c r="B476" s="11"/>
      <c r="C476" s="11"/>
      <c r="D476" s="11"/>
      <c r="E476" s="11"/>
      <c r="F476" s="11"/>
      <c r="G476" s="71"/>
      <c r="H476" s="72"/>
      <c r="I476" s="11"/>
      <c r="J476" s="11"/>
      <c r="K476" s="11"/>
    </row>
    <row r="477" ht="13.5" customHeight="1">
      <c r="A477" s="11"/>
      <c r="B477" s="11"/>
      <c r="C477" s="11"/>
      <c r="D477" s="11"/>
      <c r="E477" s="11"/>
      <c r="F477" s="11"/>
      <c r="G477" s="71"/>
      <c r="H477" s="72"/>
      <c r="I477" s="11"/>
      <c r="J477" s="11"/>
      <c r="K477" s="11"/>
    </row>
    <row r="478" ht="13.5" customHeight="1">
      <c r="A478" s="11"/>
      <c r="B478" s="11"/>
      <c r="C478" s="11"/>
      <c r="D478" s="11"/>
      <c r="E478" s="11"/>
      <c r="F478" s="11"/>
      <c r="G478" s="71"/>
      <c r="H478" s="72"/>
      <c r="I478" s="11"/>
      <c r="J478" s="11"/>
      <c r="K478" s="11"/>
    </row>
    <row r="479" ht="13.5" customHeight="1">
      <c r="A479" s="11"/>
      <c r="B479" s="11"/>
      <c r="C479" s="11"/>
      <c r="D479" s="11"/>
      <c r="E479" s="11"/>
      <c r="F479" s="11"/>
      <c r="G479" s="71"/>
      <c r="H479" s="72"/>
      <c r="I479" s="11"/>
      <c r="J479" s="11"/>
      <c r="K479" s="11"/>
    </row>
    <row r="480" ht="13.5" customHeight="1">
      <c r="A480" s="11"/>
      <c r="B480" s="11"/>
      <c r="C480" s="11"/>
      <c r="D480" s="11"/>
      <c r="E480" s="11"/>
      <c r="F480" s="11"/>
      <c r="G480" s="71"/>
      <c r="H480" s="72"/>
      <c r="I480" s="11"/>
      <c r="J480" s="11"/>
      <c r="K480" s="11"/>
    </row>
    <row r="481" ht="13.5" customHeight="1">
      <c r="A481" s="11"/>
      <c r="B481" s="11"/>
      <c r="C481" s="11"/>
      <c r="D481" s="11"/>
      <c r="E481" s="11"/>
      <c r="F481" s="11"/>
      <c r="G481" s="71"/>
      <c r="H481" s="72"/>
      <c r="I481" s="11"/>
      <c r="J481" s="11"/>
      <c r="K481" s="11"/>
    </row>
    <row r="482" ht="13.5" customHeight="1">
      <c r="A482" s="11"/>
      <c r="B482" s="11"/>
      <c r="C482" s="11"/>
      <c r="D482" s="11"/>
      <c r="E482" s="11"/>
      <c r="F482" s="11"/>
      <c r="G482" s="71"/>
      <c r="H482" s="72"/>
      <c r="I482" s="11"/>
      <c r="J482" s="11"/>
      <c r="K482" s="11"/>
    </row>
    <row r="483" ht="13.5" customHeight="1">
      <c r="A483" s="11"/>
      <c r="B483" s="11"/>
      <c r="C483" s="11"/>
      <c r="D483" s="11"/>
      <c r="E483" s="11"/>
      <c r="F483" s="11"/>
      <c r="G483" s="71"/>
      <c r="H483" s="72"/>
      <c r="I483" s="11"/>
      <c r="J483" s="11"/>
      <c r="K483" s="11"/>
    </row>
    <row r="484" ht="13.5" customHeight="1">
      <c r="A484" s="11"/>
      <c r="B484" s="11"/>
      <c r="C484" s="11"/>
      <c r="D484" s="11"/>
      <c r="E484" s="11"/>
      <c r="F484" s="11"/>
      <c r="G484" s="71"/>
      <c r="H484" s="72"/>
      <c r="I484" s="11"/>
      <c r="J484" s="11"/>
      <c r="K484" s="11"/>
    </row>
    <row r="485" ht="13.5" customHeight="1">
      <c r="A485" s="11"/>
      <c r="B485" s="11"/>
      <c r="C485" s="11"/>
      <c r="D485" s="11"/>
      <c r="E485" s="11"/>
      <c r="F485" s="11"/>
      <c r="G485" s="71"/>
      <c r="H485" s="72"/>
      <c r="I485" s="11"/>
      <c r="J485" s="11"/>
      <c r="K485" s="11"/>
    </row>
    <row r="486" ht="13.5" customHeight="1">
      <c r="A486" s="11"/>
      <c r="B486" s="11"/>
      <c r="C486" s="11"/>
      <c r="D486" s="11"/>
      <c r="E486" s="11"/>
      <c r="F486" s="11"/>
      <c r="G486" s="71"/>
      <c r="H486" s="72"/>
      <c r="I486" s="11"/>
      <c r="J486" s="11"/>
      <c r="K486" s="11"/>
    </row>
    <row r="487" ht="13.5" customHeight="1">
      <c r="A487" s="11"/>
      <c r="B487" s="11"/>
      <c r="C487" s="11"/>
      <c r="D487" s="11"/>
      <c r="E487" s="11"/>
      <c r="F487" s="11"/>
      <c r="G487" s="71"/>
      <c r="H487" s="72"/>
      <c r="I487" s="11"/>
      <c r="J487" s="11"/>
      <c r="K487" s="11"/>
    </row>
    <row r="488" ht="13.5" customHeight="1">
      <c r="A488" s="11"/>
      <c r="B488" s="11"/>
      <c r="C488" s="11"/>
      <c r="D488" s="11"/>
      <c r="E488" s="11"/>
      <c r="F488" s="11"/>
      <c r="G488" s="71"/>
      <c r="H488" s="72"/>
      <c r="I488" s="11"/>
      <c r="J488" s="11"/>
      <c r="K488" s="11"/>
    </row>
    <row r="489" ht="13.5" customHeight="1">
      <c r="A489" s="11"/>
      <c r="B489" s="11"/>
      <c r="C489" s="11"/>
      <c r="D489" s="11"/>
      <c r="E489" s="11"/>
      <c r="F489" s="11"/>
      <c r="G489" s="71"/>
      <c r="H489" s="72"/>
      <c r="I489" s="11"/>
      <c r="J489" s="11"/>
      <c r="K489" s="11"/>
    </row>
    <row r="490" ht="13.5" customHeight="1">
      <c r="A490" s="11"/>
      <c r="B490" s="11"/>
      <c r="C490" s="11"/>
      <c r="D490" s="11"/>
      <c r="E490" s="11"/>
      <c r="F490" s="11"/>
      <c r="G490" s="71"/>
      <c r="H490" s="72"/>
      <c r="I490" s="11"/>
      <c r="J490" s="11"/>
      <c r="K490" s="11"/>
    </row>
    <row r="491" ht="13.5" customHeight="1">
      <c r="A491" s="11"/>
      <c r="B491" s="11"/>
      <c r="C491" s="11"/>
      <c r="D491" s="11"/>
      <c r="E491" s="11"/>
      <c r="F491" s="11"/>
      <c r="G491" s="71"/>
      <c r="H491" s="72"/>
      <c r="I491" s="11"/>
      <c r="J491" s="11"/>
      <c r="K491" s="11"/>
    </row>
    <row r="492" ht="13.5" customHeight="1">
      <c r="A492" s="11"/>
      <c r="B492" s="11"/>
      <c r="C492" s="11"/>
      <c r="D492" s="11"/>
      <c r="E492" s="11"/>
      <c r="F492" s="11"/>
      <c r="G492" s="71"/>
      <c r="H492" s="72"/>
      <c r="I492" s="11"/>
      <c r="J492" s="11"/>
      <c r="K492" s="11"/>
    </row>
    <row r="493" ht="13.5" customHeight="1">
      <c r="A493" s="11"/>
      <c r="B493" s="11"/>
      <c r="C493" s="11"/>
      <c r="D493" s="11"/>
      <c r="E493" s="11"/>
      <c r="F493" s="11"/>
      <c r="G493" s="71"/>
      <c r="H493" s="72"/>
      <c r="I493" s="11"/>
      <c r="J493" s="11"/>
      <c r="K493" s="11"/>
    </row>
    <row r="494" ht="13.5" customHeight="1">
      <c r="A494" s="11"/>
      <c r="B494" s="11"/>
      <c r="C494" s="11"/>
      <c r="D494" s="11"/>
      <c r="E494" s="11"/>
      <c r="F494" s="11"/>
      <c r="G494" s="71"/>
      <c r="H494" s="72"/>
      <c r="I494" s="11"/>
      <c r="J494" s="11"/>
      <c r="K494" s="11"/>
    </row>
    <row r="495" ht="13.5" customHeight="1">
      <c r="A495" s="11"/>
      <c r="B495" s="11"/>
      <c r="C495" s="11"/>
      <c r="D495" s="11"/>
      <c r="E495" s="11"/>
      <c r="F495" s="11"/>
      <c r="G495" s="71"/>
      <c r="H495" s="72"/>
      <c r="I495" s="11"/>
      <c r="J495" s="11"/>
      <c r="K495" s="11"/>
    </row>
    <row r="496" ht="13.5" customHeight="1">
      <c r="A496" s="11"/>
      <c r="B496" s="11"/>
      <c r="C496" s="11"/>
      <c r="D496" s="11"/>
      <c r="E496" s="11"/>
      <c r="F496" s="11"/>
      <c r="G496" s="71"/>
      <c r="H496" s="72"/>
      <c r="I496" s="11"/>
      <c r="J496" s="11"/>
      <c r="K496" s="11"/>
    </row>
    <row r="497" ht="13.5" customHeight="1">
      <c r="A497" s="11"/>
      <c r="B497" s="11"/>
      <c r="C497" s="11"/>
      <c r="D497" s="11"/>
      <c r="E497" s="11"/>
      <c r="F497" s="11"/>
      <c r="G497" s="71"/>
      <c r="H497" s="72"/>
      <c r="I497" s="11"/>
      <c r="J497" s="11"/>
      <c r="K497" s="11"/>
    </row>
    <row r="498" ht="13.5" customHeight="1">
      <c r="A498" s="11"/>
      <c r="B498" s="11"/>
      <c r="C498" s="11"/>
      <c r="D498" s="11"/>
      <c r="E498" s="11"/>
      <c r="F498" s="11"/>
      <c r="G498" s="71"/>
      <c r="H498" s="72"/>
      <c r="I498" s="11"/>
      <c r="J498" s="11"/>
      <c r="K498" s="11"/>
    </row>
    <row r="499" ht="13.5" customHeight="1">
      <c r="A499" s="11"/>
      <c r="B499" s="11"/>
      <c r="C499" s="11"/>
      <c r="D499" s="11"/>
      <c r="E499" s="11"/>
      <c r="F499" s="11"/>
      <c r="G499" s="71"/>
      <c r="H499" s="72"/>
      <c r="I499" s="11"/>
      <c r="J499" s="11"/>
      <c r="K499" s="11"/>
    </row>
    <row r="500" ht="13.5" customHeight="1">
      <c r="A500" s="11"/>
      <c r="B500" s="11"/>
      <c r="C500" s="11"/>
      <c r="D500" s="11"/>
      <c r="E500" s="11"/>
      <c r="F500" s="11"/>
      <c r="G500" s="71"/>
      <c r="H500" s="72"/>
      <c r="I500" s="11"/>
      <c r="J500" s="11"/>
      <c r="K500" s="11"/>
    </row>
    <row r="501" ht="13.5" customHeight="1">
      <c r="A501" s="11"/>
      <c r="B501" s="11"/>
      <c r="C501" s="11"/>
      <c r="D501" s="11"/>
      <c r="E501" s="11"/>
      <c r="F501" s="11"/>
      <c r="G501" s="71"/>
      <c r="H501" s="72"/>
      <c r="I501" s="11"/>
      <c r="J501" s="11"/>
      <c r="K501" s="11"/>
    </row>
    <row r="502" ht="13.5" customHeight="1">
      <c r="A502" s="11"/>
      <c r="B502" s="11"/>
      <c r="C502" s="11"/>
      <c r="D502" s="11"/>
      <c r="E502" s="11"/>
      <c r="F502" s="11"/>
      <c r="G502" s="71"/>
      <c r="H502" s="72"/>
      <c r="I502" s="11"/>
      <c r="J502" s="11"/>
      <c r="K502" s="11"/>
    </row>
    <row r="503" ht="13.5" customHeight="1">
      <c r="A503" s="11"/>
      <c r="B503" s="11"/>
      <c r="C503" s="11"/>
      <c r="D503" s="11"/>
      <c r="E503" s="11"/>
      <c r="F503" s="11"/>
      <c r="G503" s="71"/>
      <c r="H503" s="72"/>
      <c r="I503" s="11"/>
      <c r="J503" s="11"/>
      <c r="K503" s="11"/>
    </row>
    <row r="504" ht="13.5" customHeight="1">
      <c r="A504" s="11"/>
      <c r="B504" s="11"/>
      <c r="C504" s="11"/>
      <c r="D504" s="11"/>
      <c r="E504" s="11"/>
      <c r="F504" s="11"/>
      <c r="G504" s="71"/>
      <c r="H504" s="72"/>
      <c r="I504" s="11"/>
      <c r="J504" s="11"/>
      <c r="K504" s="11"/>
    </row>
    <row r="505" ht="13.5" customHeight="1">
      <c r="A505" s="11"/>
      <c r="B505" s="11"/>
      <c r="C505" s="11"/>
      <c r="D505" s="11"/>
      <c r="E505" s="11"/>
      <c r="F505" s="11"/>
      <c r="G505" s="71"/>
      <c r="H505" s="72"/>
      <c r="I505" s="11"/>
      <c r="J505" s="11"/>
      <c r="K505" s="11"/>
    </row>
    <row r="506" ht="13.5" customHeight="1">
      <c r="A506" s="11"/>
      <c r="B506" s="11"/>
      <c r="C506" s="11"/>
      <c r="D506" s="11"/>
      <c r="E506" s="11"/>
      <c r="F506" s="11"/>
      <c r="G506" s="71"/>
      <c r="H506" s="72"/>
      <c r="I506" s="11"/>
      <c r="J506" s="11"/>
      <c r="K506" s="11"/>
    </row>
    <row r="507" ht="13.5" customHeight="1">
      <c r="A507" s="11"/>
      <c r="B507" s="11"/>
      <c r="C507" s="11"/>
      <c r="D507" s="11"/>
      <c r="E507" s="11"/>
      <c r="F507" s="11"/>
      <c r="G507" s="71"/>
      <c r="H507" s="72"/>
      <c r="I507" s="11"/>
      <c r="J507" s="11"/>
      <c r="K507" s="11"/>
    </row>
    <row r="508" ht="13.5" customHeight="1">
      <c r="A508" s="11"/>
      <c r="B508" s="11"/>
      <c r="C508" s="11"/>
      <c r="D508" s="11"/>
      <c r="E508" s="11"/>
      <c r="F508" s="11"/>
      <c r="G508" s="71"/>
      <c r="H508" s="72"/>
      <c r="I508" s="11"/>
      <c r="J508" s="11"/>
      <c r="K508" s="11"/>
    </row>
    <row r="509" ht="13.5" customHeight="1">
      <c r="A509" s="11"/>
      <c r="B509" s="11"/>
      <c r="C509" s="11"/>
      <c r="D509" s="11"/>
      <c r="E509" s="11"/>
      <c r="F509" s="11"/>
      <c r="G509" s="71"/>
      <c r="H509" s="72"/>
      <c r="I509" s="11"/>
      <c r="J509" s="11"/>
      <c r="K509" s="11"/>
    </row>
    <row r="510" ht="13.5" customHeight="1">
      <c r="A510" s="11"/>
      <c r="B510" s="11"/>
      <c r="C510" s="11"/>
      <c r="D510" s="11"/>
      <c r="E510" s="11"/>
      <c r="F510" s="11"/>
      <c r="G510" s="71"/>
      <c r="H510" s="72"/>
      <c r="I510" s="11"/>
      <c r="J510" s="11"/>
      <c r="K510" s="11"/>
    </row>
    <row r="511" ht="13.5" customHeight="1">
      <c r="A511" s="11"/>
      <c r="B511" s="11"/>
      <c r="C511" s="11"/>
      <c r="D511" s="11"/>
      <c r="E511" s="11"/>
      <c r="F511" s="11"/>
      <c r="G511" s="71"/>
      <c r="H511" s="72"/>
      <c r="I511" s="11"/>
      <c r="J511" s="11"/>
      <c r="K511" s="11"/>
    </row>
    <row r="512" ht="13.5" customHeight="1">
      <c r="A512" s="11"/>
      <c r="B512" s="11"/>
      <c r="C512" s="11"/>
      <c r="D512" s="11"/>
      <c r="E512" s="11"/>
      <c r="F512" s="11"/>
      <c r="G512" s="71"/>
      <c r="H512" s="72"/>
      <c r="I512" s="11"/>
      <c r="J512" s="11"/>
      <c r="K512" s="11"/>
    </row>
    <row r="513" ht="13.5" customHeight="1">
      <c r="A513" s="11"/>
      <c r="B513" s="11"/>
      <c r="C513" s="11"/>
      <c r="D513" s="11"/>
      <c r="E513" s="11"/>
      <c r="F513" s="11"/>
      <c r="G513" s="71"/>
      <c r="H513" s="72"/>
      <c r="I513" s="11"/>
      <c r="J513" s="11"/>
      <c r="K513" s="11"/>
    </row>
    <row r="514" ht="13.5" customHeight="1">
      <c r="A514" s="11"/>
      <c r="B514" s="11"/>
      <c r="C514" s="11"/>
      <c r="D514" s="11"/>
      <c r="E514" s="11"/>
      <c r="F514" s="11"/>
      <c r="G514" s="71"/>
      <c r="H514" s="72"/>
      <c r="I514" s="11"/>
      <c r="J514" s="11"/>
      <c r="K514" s="11"/>
    </row>
    <row r="515" ht="13.5" customHeight="1">
      <c r="A515" s="11"/>
      <c r="B515" s="11"/>
      <c r="C515" s="11"/>
      <c r="D515" s="11"/>
      <c r="E515" s="11"/>
      <c r="F515" s="11"/>
      <c r="G515" s="71"/>
      <c r="H515" s="72"/>
      <c r="I515" s="11"/>
      <c r="J515" s="11"/>
      <c r="K515" s="11"/>
    </row>
    <row r="516" ht="13.5" customHeight="1">
      <c r="A516" s="11"/>
      <c r="B516" s="11"/>
      <c r="C516" s="11"/>
      <c r="D516" s="11"/>
      <c r="E516" s="11"/>
      <c r="F516" s="11"/>
      <c r="G516" s="71"/>
      <c r="H516" s="72"/>
      <c r="I516" s="11"/>
      <c r="J516" s="11"/>
      <c r="K516" s="11"/>
    </row>
    <row r="517" ht="13.5" customHeight="1">
      <c r="A517" s="11"/>
      <c r="B517" s="11"/>
      <c r="C517" s="11"/>
      <c r="D517" s="11"/>
      <c r="E517" s="11"/>
      <c r="F517" s="11"/>
      <c r="G517" s="71"/>
      <c r="H517" s="72"/>
      <c r="I517" s="11"/>
      <c r="J517" s="11"/>
      <c r="K517" s="11"/>
    </row>
    <row r="518" ht="13.5" customHeight="1">
      <c r="A518" s="11"/>
      <c r="B518" s="11"/>
      <c r="C518" s="11"/>
      <c r="D518" s="11"/>
      <c r="E518" s="11"/>
      <c r="F518" s="11"/>
      <c r="G518" s="71"/>
      <c r="H518" s="72"/>
      <c r="I518" s="11"/>
      <c r="J518" s="11"/>
      <c r="K518" s="11"/>
    </row>
    <row r="519" ht="13.5" customHeight="1">
      <c r="A519" s="11"/>
      <c r="B519" s="11"/>
      <c r="C519" s="11"/>
      <c r="D519" s="11"/>
      <c r="E519" s="11"/>
      <c r="F519" s="11"/>
      <c r="G519" s="71"/>
      <c r="H519" s="72"/>
      <c r="I519" s="11"/>
      <c r="J519" s="11"/>
      <c r="K519" s="11"/>
    </row>
    <row r="520" ht="13.5" customHeight="1">
      <c r="A520" s="11"/>
      <c r="B520" s="11"/>
      <c r="C520" s="11"/>
      <c r="D520" s="11"/>
      <c r="E520" s="11"/>
      <c r="F520" s="11"/>
      <c r="G520" s="71"/>
      <c r="H520" s="72"/>
      <c r="I520" s="11"/>
      <c r="J520" s="11"/>
      <c r="K520" s="11"/>
    </row>
    <row r="521" ht="13.5" customHeight="1">
      <c r="A521" s="11"/>
      <c r="B521" s="11"/>
      <c r="C521" s="11"/>
      <c r="D521" s="11"/>
      <c r="E521" s="11"/>
      <c r="F521" s="11"/>
      <c r="G521" s="71"/>
      <c r="H521" s="72"/>
      <c r="I521" s="11"/>
      <c r="J521" s="11"/>
      <c r="K521" s="11"/>
    </row>
    <row r="522" ht="13.5" customHeight="1">
      <c r="A522" s="11"/>
      <c r="B522" s="11"/>
      <c r="C522" s="11"/>
      <c r="D522" s="11"/>
      <c r="E522" s="11"/>
      <c r="F522" s="11"/>
      <c r="G522" s="71"/>
      <c r="H522" s="72"/>
      <c r="I522" s="11"/>
      <c r="J522" s="11"/>
      <c r="K522" s="11"/>
    </row>
    <row r="523" ht="13.5" customHeight="1">
      <c r="A523" s="11"/>
      <c r="B523" s="11"/>
      <c r="C523" s="11"/>
      <c r="D523" s="11"/>
      <c r="E523" s="11"/>
      <c r="F523" s="11"/>
      <c r="G523" s="71"/>
      <c r="H523" s="72"/>
      <c r="I523" s="11"/>
      <c r="J523" s="11"/>
      <c r="K523" s="11"/>
    </row>
    <row r="524" ht="13.5" customHeight="1">
      <c r="A524" s="11"/>
      <c r="B524" s="11"/>
      <c r="C524" s="11"/>
      <c r="D524" s="11"/>
      <c r="E524" s="11"/>
      <c r="F524" s="11"/>
      <c r="G524" s="71"/>
      <c r="H524" s="72"/>
      <c r="I524" s="11"/>
      <c r="J524" s="11"/>
      <c r="K524" s="11"/>
    </row>
    <row r="525" ht="13.5" customHeight="1">
      <c r="A525" s="11"/>
      <c r="B525" s="11"/>
      <c r="C525" s="11"/>
      <c r="D525" s="11"/>
      <c r="E525" s="11"/>
      <c r="F525" s="11"/>
      <c r="G525" s="71"/>
      <c r="H525" s="72"/>
      <c r="I525" s="11"/>
      <c r="J525" s="11"/>
      <c r="K525" s="11"/>
    </row>
    <row r="526" ht="13.5" customHeight="1">
      <c r="A526" s="11"/>
      <c r="B526" s="11"/>
      <c r="C526" s="11"/>
      <c r="D526" s="11"/>
      <c r="E526" s="11"/>
      <c r="F526" s="11"/>
      <c r="G526" s="71"/>
      <c r="H526" s="72"/>
      <c r="I526" s="11"/>
      <c r="J526" s="11"/>
      <c r="K526" s="11"/>
    </row>
    <row r="527" ht="13.5" customHeight="1">
      <c r="A527" s="11"/>
      <c r="B527" s="11"/>
      <c r="C527" s="11"/>
      <c r="D527" s="11"/>
      <c r="E527" s="11"/>
      <c r="F527" s="11"/>
      <c r="G527" s="71"/>
      <c r="H527" s="72"/>
      <c r="I527" s="11"/>
      <c r="J527" s="11"/>
      <c r="K527" s="11"/>
    </row>
    <row r="528" ht="13.5" customHeight="1">
      <c r="A528" s="11"/>
      <c r="B528" s="11"/>
      <c r="C528" s="11"/>
      <c r="D528" s="11"/>
      <c r="E528" s="11"/>
      <c r="F528" s="11"/>
      <c r="G528" s="71"/>
      <c r="H528" s="72"/>
      <c r="I528" s="11"/>
      <c r="J528" s="11"/>
      <c r="K528" s="11"/>
    </row>
    <row r="529" ht="13.5" customHeight="1">
      <c r="A529" s="11"/>
      <c r="B529" s="11"/>
      <c r="C529" s="11"/>
      <c r="D529" s="11"/>
      <c r="E529" s="11"/>
      <c r="F529" s="11"/>
      <c r="G529" s="71"/>
      <c r="H529" s="72"/>
      <c r="I529" s="11"/>
      <c r="J529" s="11"/>
      <c r="K529" s="11"/>
    </row>
    <row r="530" ht="13.5" customHeight="1">
      <c r="A530" s="11"/>
      <c r="B530" s="11"/>
      <c r="C530" s="11"/>
      <c r="D530" s="11"/>
      <c r="E530" s="11"/>
      <c r="F530" s="11"/>
      <c r="G530" s="71"/>
      <c r="H530" s="72"/>
      <c r="I530" s="11"/>
      <c r="J530" s="11"/>
      <c r="K530" s="11"/>
    </row>
    <row r="531" ht="13.5" customHeight="1">
      <c r="A531" s="11"/>
      <c r="B531" s="11"/>
      <c r="C531" s="11"/>
      <c r="D531" s="11"/>
      <c r="E531" s="11"/>
      <c r="F531" s="11"/>
      <c r="G531" s="71"/>
      <c r="H531" s="72"/>
      <c r="I531" s="11"/>
      <c r="J531" s="11"/>
      <c r="K531" s="11"/>
    </row>
    <row r="532" ht="13.5" customHeight="1">
      <c r="A532" s="11"/>
      <c r="B532" s="11"/>
      <c r="C532" s="11"/>
      <c r="D532" s="11"/>
      <c r="E532" s="11"/>
      <c r="F532" s="11"/>
      <c r="G532" s="71"/>
      <c r="H532" s="72"/>
      <c r="I532" s="11"/>
      <c r="J532" s="11"/>
      <c r="K532" s="11"/>
    </row>
    <row r="533" ht="13.5" customHeight="1">
      <c r="A533" s="11"/>
      <c r="B533" s="11"/>
      <c r="C533" s="11"/>
      <c r="D533" s="11"/>
      <c r="E533" s="11"/>
      <c r="F533" s="11"/>
      <c r="G533" s="71"/>
      <c r="H533" s="72"/>
      <c r="I533" s="11"/>
      <c r="J533" s="11"/>
      <c r="K533" s="11"/>
    </row>
    <row r="534" ht="13.5" customHeight="1">
      <c r="A534" s="11"/>
      <c r="B534" s="11"/>
      <c r="C534" s="11"/>
      <c r="D534" s="11"/>
      <c r="E534" s="11"/>
      <c r="F534" s="11"/>
      <c r="G534" s="71"/>
      <c r="H534" s="72"/>
      <c r="I534" s="11"/>
      <c r="J534" s="11"/>
      <c r="K534" s="11"/>
    </row>
    <row r="535" ht="13.5" customHeight="1">
      <c r="A535" s="11"/>
      <c r="B535" s="11"/>
      <c r="C535" s="11"/>
      <c r="D535" s="11"/>
      <c r="E535" s="11"/>
      <c r="F535" s="11"/>
      <c r="G535" s="71"/>
      <c r="H535" s="72"/>
      <c r="I535" s="11"/>
      <c r="J535" s="11"/>
      <c r="K535" s="11"/>
    </row>
    <row r="536" ht="13.5" customHeight="1">
      <c r="A536" s="11"/>
      <c r="B536" s="11"/>
      <c r="C536" s="11"/>
      <c r="D536" s="11"/>
      <c r="E536" s="11"/>
      <c r="F536" s="11"/>
      <c r="G536" s="71"/>
      <c r="H536" s="72"/>
      <c r="I536" s="11"/>
      <c r="J536" s="11"/>
      <c r="K536" s="11"/>
    </row>
    <row r="537" ht="13.5" customHeight="1">
      <c r="A537" s="11"/>
      <c r="B537" s="11"/>
      <c r="C537" s="11"/>
      <c r="D537" s="11"/>
      <c r="E537" s="11"/>
      <c r="F537" s="11"/>
      <c r="G537" s="71"/>
      <c r="H537" s="72"/>
      <c r="I537" s="11"/>
      <c r="J537" s="11"/>
      <c r="K537" s="11"/>
    </row>
    <row r="538" ht="13.5" customHeight="1">
      <c r="A538" s="11"/>
      <c r="B538" s="11"/>
      <c r="C538" s="11"/>
      <c r="D538" s="11"/>
      <c r="E538" s="11"/>
      <c r="F538" s="11"/>
      <c r="G538" s="71"/>
      <c r="H538" s="72"/>
      <c r="I538" s="11"/>
      <c r="J538" s="11"/>
      <c r="K538" s="11"/>
    </row>
    <row r="539" ht="13.5" customHeight="1">
      <c r="A539" s="11"/>
      <c r="B539" s="11"/>
      <c r="C539" s="11"/>
      <c r="D539" s="11"/>
      <c r="E539" s="11"/>
      <c r="F539" s="11"/>
      <c r="G539" s="71"/>
      <c r="H539" s="72"/>
      <c r="I539" s="11"/>
      <c r="J539" s="11"/>
      <c r="K539" s="11"/>
    </row>
    <row r="540" ht="13.5" customHeight="1">
      <c r="A540" s="11"/>
      <c r="B540" s="11"/>
      <c r="C540" s="11"/>
      <c r="D540" s="11"/>
      <c r="E540" s="11"/>
      <c r="F540" s="11"/>
      <c r="G540" s="71"/>
      <c r="H540" s="72"/>
      <c r="I540" s="11"/>
      <c r="J540" s="11"/>
      <c r="K540" s="11"/>
    </row>
    <row r="541" ht="13.5" customHeight="1">
      <c r="A541" s="11"/>
      <c r="B541" s="11"/>
      <c r="C541" s="11"/>
      <c r="D541" s="11"/>
      <c r="E541" s="11"/>
      <c r="F541" s="11"/>
      <c r="G541" s="71"/>
      <c r="H541" s="72"/>
      <c r="I541" s="11"/>
      <c r="J541" s="11"/>
      <c r="K541" s="11"/>
    </row>
    <row r="542" ht="13.5" customHeight="1">
      <c r="A542" s="11"/>
      <c r="B542" s="11"/>
      <c r="C542" s="11"/>
      <c r="D542" s="11"/>
      <c r="E542" s="11"/>
      <c r="F542" s="11"/>
      <c r="G542" s="71"/>
      <c r="H542" s="72"/>
      <c r="I542" s="11"/>
      <c r="J542" s="11"/>
      <c r="K542" s="11"/>
    </row>
    <row r="543" ht="13.5" customHeight="1">
      <c r="A543" s="11"/>
      <c r="B543" s="11"/>
      <c r="C543" s="11"/>
      <c r="D543" s="11"/>
      <c r="E543" s="11"/>
      <c r="F543" s="11"/>
      <c r="G543" s="71"/>
      <c r="H543" s="72"/>
      <c r="I543" s="11"/>
      <c r="J543" s="11"/>
      <c r="K543" s="11"/>
    </row>
    <row r="544" ht="13.5" customHeight="1">
      <c r="A544" s="11"/>
      <c r="B544" s="11"/>
      <c r="C544" s="11"/>
      <c r="D544" s="11"/>
      <c r="E544" s="11"/>
      <c r="F544" s="11"/>
      <c r="G544" s="71"/>
      <c r="H544" s="72"/>
      <c r="I544" s="11"/>
      <c r="J544" s="11"/>
      <c r="K544" s="11"/>
    </row>
    <row r="545" ht="13.5" customHeight="1">
      <c r="A545" s="11"/>
      <c r="B545" s="11"/>
      <c r="C545" s="11"/>
      <c r="D545" s="11"/>
      <c r="E545" s="11"/>
      <c r="F545" s="11"/>
      <c r="G545" s="71"/>
      <c r="H545" s="72"/>
      <c r="I545" s="11"/>
      <c r="J545" s="11"/>
      <c r="K545" s="11"/>
    </row>
    <row r="546" ht="13.5" customHeight="1">
      <c r="A546" s="11"/>
      <c r="B546" s="11"/>
      <c r="C546" s="11"/>
      <c r="D546" s="11"/>
      <c r="E546" s="11"/>
      <c r="F546" s="11"/>
      <c r="G546" s="71"/>
      <c r="H546" s="72"/>
      <c r="I546" s="11"/>
      <c r="J546" s="11"/>
      <c r="K546" s="11"/>
    </row>
    <row r="547" ht="13.5" customHeight="1">
      <c r="A547" s="11"/>
      <c r="B547" s="11"/>
      <c r="C547" s="11"/>
      <c r="D547" s="11"/>
      <c r="E547" s="11"/>
      <c r="F547" s="11"/>
      <c r="G547" s="71"/>
      <c r="H547" s="72"/>
      <c r="I547" s="11"/>
      <c r="J547" s="11"/>
      <c r="K547" s="11"/>
    </row>
    <row r="548" ht="13.5" customHeight="1">
      <c r="A548" s="11"/>
      <c r="B548" s="11"/>
      <c r="C548" s="11"/>
      <c r="D548" s="11"/>
      <c r="E548" s="11"/>
      <c r="F548" s="11"/>
      <c r="G548" s="71"/>
      <c r="H548" s="72"/>
      <c r="I548" s="11"/>
      <c r="J548" s="11"/>
      <c r="K548" s="11"/>
    </row>
    <row r="549" ht="13.5" customHeight="1">
      <c r="A549" s="11"/>
      <c r="B549" s="11"/>
      <c r="C549" s="11"/>
      <c r="D549" s="11"/>
      <c r="E549" s="11"/>
      <c r="F549" s="11"/>
      <c r="G549" s="71"/>
      <c r="H549" s="72"/>
      <c r="I549" s="11"/>
      <c r="J549" s="11"/>
      <c r="K549" s="11"/>
    </row>
    <row r="550" ht="13.5" customHeight="1">
      <c r="A550" s="11"/>
      <c r="B550" s="11"/>
      <c r="C550" s="11"/>
      <c r="D550" s="11"/>
      <c r="E550" s="11"/>
      <c r="F550" s="11"/>
      <c r="G550" s="71"/>
      <c r="H550" s="72"/>
      <c r="I550" s="11"/>
      <c r="J550" s="11"/>
      <c r="K550" s="11"/>
    </row>
    <row r="551" ht="13.5" customHeight="1">
      <c r="A551" s="11"/>
      <c r="B551" s="11"/>
      <c r="C551" s="11"/>
      <c r="D551" s="11"/>
      <c r="E551" s="11"/>
      <c r="F551" s="11"/>
      <c r="G551" s="71"/>
      <c r="H551" s="72"/>
      <c r="I551" s="11"/>
      <c r="J551" s="11"/>
      <c r="K551" s="11"/>
    </row>
    <row r="552" ht="13.5" customHeight="1">
      <c r="A552" s="11"/>
      <c r="B552" s="11"/>
      <c r="C552" s="11"/>
      <c r="D552" s="11"/>
      <c r="E552" s="11"/>
      <c r="F552" s="11"/>
      <c r="G552" s="71"/>
      <c r="H552" s="72"/>
      <c r="I552" s="11"/>
      <c r="J552" s="11"/>
      <c r="K552" s="11"/>
    </row>
    <row r="553" ht="13.5" customHeight="1">
      <c r="A553" s="11"/>
      <c r="B553" s="11"/>
      <c r="C553" s="11"/>
      <c r="D553" s="11"/>
      <c r="E553" s="11"/>
      <c r="F553" s="11"/>
      <c r="G553" s="71"/>
      <c r="H553" s="72"/>
      <c r="I553" s="11"/>
      <c r="J553" s="11"/>
      <c r="K553" s="11"/>
    </row>
    <row r="554" ht="13.5" customHeight="1">
      <c r="A554" s="11"/>
      <c r="B554" s="11"/>
      <c r="C554" s="11"/>
      <c r="D554" s="11"/>
      <c r="E554" s="11"/>
      <c r="F554" s="11"/>
      <c r="G554" s="71"/>
      <c r="H554" s="72"/>
      <c r="I554" s="11"/>
      <c r="J554" s="11"/>
      <c r="K554" s="11"/>
    </row>
    <row r="555" ht="13.5" customHeight="1">
      <c r="A555" s="11"/>
      <c r="B555" s="11"/>
      <c r="C555" s="11"/>
      <c r="D555" s="11"/>
      <c r="E555" s="11"/>
      <c r="F555" s="11"/>
      <c r="G555" s="71"/>
      <c r="H555" s="72"/>
      <c r="I555" s="11"/>
      <c r="J555" s="11"/>
      <c r="K555" s="11"/>
    </row>
    <row r="556" ht="13.5" customHeight="1">
      <c r="A556" s="11"/>
      <c r="B556" s="11"/>
      <c r="C556" s="11"/>
      <c r="D556" s="11"/>
      <c r="E556" s="11"/>
      <c r="F556" s="11"/>
      <c r="G556" s="71"/>
      <c r="H556" s="72"/>
      <c r="I556" s="11"/>
      <c r="J556" s="11"/>
      <c r="K556" s="11"/>
    </row>
    <row r="557" ht="13.5" customHeight="1">
      <c r="A557" s="11"/>
      <c r="B557" s="11"/>
      <c r="C557" s="11"/>
      <c r="D557" s="11"/>
      <c r="E557" s="11"/>
      <c r="F557" s="11"/>
      <c r="G557" s="71"/>
      <c r="H557" s="72"/>
      <c r="I557" s="11"/>
      <c r="J557" s="11"/>
      <c r="K557" s="11"/>
    </row>
    <row r="558" ht="13.5" customHeight="1">
      <c r="A558" s="11"/>
      <c r="B558" s="11"/>
      <c r="C558" s="11"/>
      <c r="D558" s="11"/>
      <c r="E558" s="11"/>
      <c r="F558" s="11"/>
      <c r="G558" s="71"/>
      <c r="H558" s="72"/>
      <c r="I558" s="11"/>
      <c r="J558" s="11"/>
      <c r="K558" s="11"/>
    </row>
    <row r="559" ht="13.5" customHeight="1">
      <c r="A559" s="11"/>
      <c r="B559" s="11"/>
      <c r="C559" s="11"/>
      <c r="D559" s="11"/>
      <c r="E559" s="11"/>
      <c r="F559" s="11"/>
      <c r="G559" s="71"/>
      <c r="H559" s="72"/>
      <c r="I559" s="11"/>
      <c r="J559" s="11"/>
      <c r="K559" s="11"/>
    </row>
    <row r="560" ht="13.5" customHeight="1">
      <c r="A560" s="11"/>
      <c r="B560" s="11"/>
      <c r="C560" s="11"/>
      <c r="D560" s="11"/>
      <c r="E560" s="11"/>
      <c r="F560" s="11"/>
      <c r="G560" s="71"/>
      <c r="H560" s="72"/>
      <c r="I560" s="11"/>
      <c r="J560" s="11"/>
      <c r="K560" s="11"/>
    </row>
    <row r="561" ht="13.5" customHeight="1">
      <c r="A561" s="11"/>
      <c r="B561" s="11"/>
      <c r="C561" s="11"/>
      <c r="D561" s="11"/>
      <c r="E561" s="11"/>
      <c r="F561" s="11"/>
      <c r="G561" s="71"/>
      <c r="H561" s="72"/>
      <c r="I561" s="11"/>
      <c r="J561" s="11"/>
      <c r="K561" s="11"/>
    </row>
    <row r="562" ht="13.5" customHeight="1">
      <c r="A562" s="11"/>
      <c r="B562" s="11"/>
      <c r="C562" s="11"/>
      <c r="D562" s="11"/>
      <c r="E562" s="11"/>
      <c r="F562" s="11"/>
      <c r="G562" s="71"/>
      <c r="H562" s="72"/>
      <c r="I562" s="11"/>
      <c r="J562" s="11"/>
      <c r="K562" s="11"/>
    </row>
    <row r="563" ht="13.5" customHeight="1">
      <c r="A563" s="11"/>
      <c r="B563" s="11"/>
      <c r="C563" s="11"/>
      <c r="D563" s="11"/>
      <c r="E563" s="11"/>
      <c r="F563" s="11"/>
      <c r="G563" s="71"/>
      <c r="H563" s="72"/>
      <c r="I563" s="11"/>
      <c r="J563" s="11"/>
      <c r="K563" s="11"/>
    </row>
    <row r="564" ht="13.5" customHeight="1">
      <c r="A564" s="11"/>
      <c r="B564" s="11"/>
      <c r="C564" s="11"/>
      <c r="D564" s="11"/>
      <c r="E564" s="11"/>
      <c r="F564" s="11"/>
      <c r="G564" s="71"/>
      <c r="H564" s="72"/>
      <c r="I564" s="11"/>
      <c r="J564" s="11"/>
      <c r="K564" s="11"/>
    </row>
    <row r="565" ht="13.5" customHeight="1">
      <c r="A565" s="11"/>
      <c r="B565" s="11"/>
      <c r="C565" s="11"/>
      <c r="D565" s="11"/>
      <c r="E565" s="11"/>
      <c r="F565" s="11"/>
      <c r="G565" s="71"/>
      <c r="H565" s="72"/>
      <c r="I565" s="11"/>
      <c r="J565" s="11"/>
      <c r="K565" s="11"/>
    </row>
    <row r="566" ht="13.5" customHeight="1">
      <c r="A566" s="11"/>
      <c r="B566" s="11"/>
      <c r="C566" s="11"/>
      <c r="D566" s="11"/>
      <c r="E566" s="11"/>
      <c r="F566" s="11"/>
      <c r="G566" s="71"/>
      <c r="H566" s="72"/>
      <c r="I566" s="11"/>
      <c r="J566" s="11"/>
      <c r="K566" s="11"/>
    </row>
    <row r="567" ht="13.5" customHeight="1">
      <c r="A567" s="11"/>
      <c r="B567" s="11"/>
      <c r="C567" s="11"/>
      <c r="D567" s="11"/>
      <c r="E567" s="11"/>
      <c r="F567" s="11"/>
      <c r="G567" s="71"/>
      <c r="H567" s="72"/>
      <c r="I567" s="11"/>
      <c r="J567" s="11"/>
      <c r="K567" s="11"/>
    </row>
    <row r="568" ht="13.5" customHeight="1">
      <c r="A568" s="11"/>
      <c r="B568" s="11"/>
      <c r="C568" s="11"/>
      <c r="D568" s="11"/>
      <c r="E568" s="11"/>
      <c r="F568" s="11"/>
      <c r="G568" s="71"/>
      <c r="H568" s="72"/>
      <c r="I568" s="11"/>
      <c r="J568" s="11"/>
      <c r="K568" s="11"/>
    </row>
    <row r="569" ht="13.5" customHeight="1">
      <c r="A569" s="11"/>
      <c r="B569" s="11"/>
      <c r="C569" s="11"/>
      <c r="D569" s="11"/>
      <c r="E569" s="11"/>
      <c r="F569" s="11"/>
      <c r="G569" s="71"/>
      <c r="H569" s="72"/>
      <c r="I569" s="11"/>
      <c r="J569" s="11"/>
      <c r="K569" s="11"/>
    </row>
    <row r="570" ht="13.5" customHeight="1">
      <c r="A570" s="11"/>
      <c r="B570" s="11"/>
      <c r="C570" s="11"/>
      <c r="D570" s="11"/>
      <c r="E570" s="11"/>
      <c r="F570" s="11"/>
      <c r="G570" s="71"/>
      <c r="H570" s="72"/>
      <c r="I570" s="11"/>
      <c r="J570" s="11"/>
      <c r="K570" s="11"/>
    </row>
    <row r="571" ht="13.5" customHeight="1">
      <c r="A571" s="11"/>
      <c r="B571" s="11"/>
      <c r="C571" s="11"/>
      <c r="D571" s="11"/>
      <c r="E571" s="11"/>
      <c r="F571" s="11"/>
      <c r="G571" s="71"/>
      <c r="H571" s="72"/>
      <c r="I571" s="11"/>
      <c r="J571" s="11"/>
      <c r="K571" s="11"/>
    </row>
    <row r="572" ht="13.5" customHeight="1">
      <c r="A572" s="11"/>
      <c r="B572" s="11"/>
      <c r="C572" s="11"/>
      <c r="D572" s="11"/>
      <c r="E572" s="11"/>
      <c r="F572" s="11"/>
      <c r="G572" s="71"/>
      <c r="H572" s="72"/>
      <c r="I572" s="11"/>
      <c r="J572" s="11"/>
      <c r="K572" s="11"/>
    </row>
    <row r="573" ht="13.5" customHeight="1">
      <c r="A573" s="11"/>
      <c r="B573" s="11"/>
      <c r="C573" s="11"/>
      <c r="D573" s="11"/>
      <c r="E573" s="11"/>
      <c r="F573" s="11"/>
      <c r="G573" s="71"/>
      <c r="H573" s="72"/>
      <c r="I573" s="11"/>
      <c r="J573" s="11"/>
      <c r="K573" s="11"/>
    </row>
    <row r="574" ht="13.5" customHeight="1">
      <c r="A574" s="11"/>
      <c r="B574" s="11"/>
      <c r="C574" s="11"/>
      <c r="D574" s="11"/>
      <c r="E574" s="11"/>
      <c r="F574" s="11"/>
      <c r="G574" s="71"/>
      <c r="H574" s="72"/>
      <c r="I574" s="11"/>
      <c r="J574" s="11"/>
      <c r="K574" s="11"/>
    </row>
    <row r="575" ht="13.5" customHeight="1">
      <c r="A575" s="11"/>
      <c r="B575" s="11"/>
      <c r="C575" s="11"/>
      <c r="D575" s="11"/>
      <c r="E575" s="11"/>
      <c r="F575" s="11"/>
      <c r="G575" s="71"/>
      <c r="H575" s="72"/>
      <c r="I575" s="11"/>
      <c r="J575" s="11"/>
      <c r="K575" s="11"/>
    </row>
    <row r="576" ht="13.5" customHeight="1">
      <c r="A576" s="11"/>
      <c r="B576" s="11"/>
      <c r="C576" s="11"/>
      <c r="D576" s="11"/>
      <c r="E576" s="11"/>
      <c r="F576" s="11"/>
      <c r="G576" s="71"/>
      <c r="H576" s="72"/>
      <c r="I576" s="11"/>
      <c r="J576" s="11"/>
      <c r="K576" s="11"/>
    </row>
    <row r="577" ht="13.5" customHeight="1">
      <c r="A577" s="11"/>
      <c r="B577" s="11"/>
      <c r="C577" s="11"/>
      <c r="D577" s="11"/>
      <c r="E577" s="11"/>
      <c r="F577" s="11"/>
      <c r="G577" s="71"/>
      <c r="H577" s="72"/>
      <c r="I577" s="11"/>
      <c r="J577" s="11"/>
      <c r="K577" s="11"/>
    </row>
    <row r="578" ht="13.5" customHeight="1">
      <c r="A578" s="11"/>
      <c r="B578" s="11"/>
      <c r="C578" s="11"/>
      <c r="D578" s="11"/>
      <c r="E578" s="11"/>
      <c r="F578" s="11"/>
      <c r="G578" s="71"/>
      <c r="H578" s="72"/>
      <c r="I578" s="11"/>
      <c r="J578" s="11"/>
      <c r="K578" s="11"/>
    </row>
    <row r="579" ht="13.5" customHeight="1">
      <c r="A579" s="11"/>
      <c r="B579" s="11"/>
      <c r="C579" s="11"/>
      <c r="D579" s="11"/>
      <c r="E579" s="11"/>
      <c r="F579" s="11"/>
      <c r="G579" s="71"/>
      <c r="H579" s="72"/>
      <c r="I579" s="11"/>
      <c r="J579" s="11"/>
      <c r="K579" s="11"/>
    </row>
    <row r="580" ht="13.5" customHeight="1">
      <c r="A580" s="11"/>
      <c r="B580" s="11"/>
      <c r="C580" s="11"/>
      <c r="D580" s="11"/>
      <c r="E580" s="11"/>
      <c r="F580" s="11"/>
      <c r="G580" s="71"/>
      <c r="H580" s="72"/>
      <c r="I580" s="11"/>
      <c r="J580" s="11"/>
      <c r="K580" s="11"/>
    </row>
    <row r="581" ht="13.5" customHeight="1">
      <c r="A581" s="11"/>
      <c r="B581" s="11"/>
      <c r="C581" s="11"/>
      <c r="D581" s="11"/>
      <c r="E581" s="11"/>
      <c r="F581" s="11"/>
      <c r="G581" s="71"/>
      <c r="H581" s="72"/>
      <c r="I581" s="11"/>
      <c r="J581" s="11"/>
      <c r="K581" s="11"/>
    </row>
    <row r="582" ht="13.5" customHeight="1">
      <c r="A582" s="11"/>
      <c r="B582" s="11"/>
      <c r="C582" s="11"/>
      <c r="D582" s="11"/>
      <c r="E582" s="11"/>
      <c r="F582" s="11"/>
      <c r="G582" s="71"/>
      <c r="H582" s="72"/>
      <c r="I582" s="11"/>
      <c r="J582" s="11"/>
      <c r="K582" s="11"/>
    </row>
    <row r="583" ht="13.5" customHeight="1">
      <c r="A583" s="11"/>
      <c r="B583" s="11"/>
      <c r="C583" s="11"/>
      <c r="D583" s="11"/>
      <c r="E583" s="11"/>
      <c r="F583" s="11"/>
      <c r="G583" s="71"/>
      <c r="H583" s="72"/>
      <c r="I583" s="11"/>
      <c r="J583" s="11"/>
      <c r="K583" s="11"/>
    </row>
    <row r="584" ht="13.5" customHeight="1">
      <c r="A584" s="11"/>
      <c r="B584" s="11"/>
      <c r="C584" s="11"/>
      <c r="D584" s="11"/>
      <c r="E584" s="11"/>
      <c r="F584" s="11"/>
      <c r="G584" s="71"/>
      <c r="H584" s="72"/>
      <c r="I584" s="11"/>
      <c r="J584" s="11"/>
      <c r="K584" s="11"/>
    </row>
    <row r="585" ht="13.5" customHeight="1">
      <c r="A585" s="11"/>
      <c r="B585" s="11"/>
      <c r="C585" s="11"/>
      <c r="D585" s="11"/>
      <c r="E585" s="11"/>
      <c r="F585" s="11"/>
      <c r="G585" s="71"/>
      <c r="H585" s="72"/>
      <c r="I585" s="11"/>
      <c r="J585" s="11"/>
      <c r="K585" s="11"/>
    </row>
    <row r="586" ht="13.5" customHeight="1">
      <c r="A586" s="11"/>
      <c r="B586" s="11"/>
      <c r="C586" s="11"/>
      <c r="D586" s="11"/>
      <c r="E586" s="11"/>
      <c r="F586" s="11"/>
      <c r="G586" s="71"/>
      <c r="H586" s="72"/>
      <c r="I586" s="11"/>
      <c r="J586" s="11"/>
      <c r="K586" s="11"/>
    </row>
    <row r="587" ht="13.5" customHeight="1">
      <c r="A587" s="11"/>
      <c r="B587" s="11"/>
      <c r="C587" s="11"/>
      <c r="D587" s="11"/>
      <c r="E587" s="11"/>
      <c r="F587" s="11"/>
      <c r="G587" s="71"/>
      <c r="H587" s="72"/>
      <c r="I587" s="11"/>
      <c r="J587" s="11"/>
      <c r="K587" s="11"/>
    </row>
    <row r="588" ht="13.5" customHeight="1">
      <c r="A588" s="11"/>
      <c r="B588" s="11"/>
      <c r="C588" s="11"/>
      <c r="D588" s="11"/>
      <c r="E588" s="11"/>
      <c r="F588" s="11"/>
      <c r="G588" s="71"/>
      <c r="H588" s="72"/>
      <c r="I588" s="11"/>
      <c r="J588" s="11"/>
      <c r="K588" s="11"/>
    </row>
    <row r="589" ht="13.5" customHeight="1">
      <c r="A589" s="11"/>
      <c r="B589" s="11"/>
      <c r="C589" s="11"/>
      <c r="D589" s="11"/>
      <c r="E589" s="11"/>
      <c r="F589" s="11"/>
      <c r="G589" s="71"/>
      <c r="H589" s="72"/>
      <c r="I589" s="11"/>
      <c r="J589" s="11"/>
      <c r="K589" s="11"/>
    </row>
    <row r="590" ht="13.5" customHeight="1">
      <c r="A590" s="11"/>
      <c r="B590" s="11"/>
      <c r="C590" s="11"/>
      <c r="D590" s="11"/>
      <c r="E590" s="11"/>
      <c r="F590" s="11"/>
      <c r="G590" s="71"/>
      <c r="H590" s="72"/>
      <c r="I590" s="11"/>
      <c r="J590" s="11"/>
      <c r="K590" s="11"/>
    </row>
    <row r="591" ht="13.5" customHeight="1">
      <c r="A591" s="11"/>
      <c r="B591" s="11"/>
      <c r="C591" s="11"/>
      <c r="D591" s="11"/>
      <c r="E591" s="11"/>
      <c r="F591" s="11"/>
      <c r="G591" s="71"/>
      <c r="H591" s="72"/>
      <c r="I591" s="11"/>
      <c r="J591" s="11"/>
      <c r="K591" s="11"/>
    </row>
    <row r="592" ht="13.5" customHeight="1">
      <c r="A592" s="11"/>
      <c r="B592" s="11"/>
      <c r="C592" s="11"/>
      <c r="D592" s="11"/>
      <c r="E592" s="11"/>
      <c r="F592" s="11"/>
      <c r="G592" s="71"/>
      <c r="H592" s="72"/>
      <c r="I592" s="11"/>
      <c r="J592" s="11"/>
      <c r="K592" s="11"/>
    </row>
    <row r="593" ht="13.5" customHeight="1">
      <c r="A593" s="11"/>
      <c r="B593" s="11"/>
      <c r="C593" s="11"/>
      <c r="D593" s="11"/>
      <c r="E593" s="11"/>
      <c r="F593" s="11"/>
      <c r="G593" s="71"/>
      <c r="H593" s="72"/>
      <c r="I593" s="11"/>
      <c r="J593" s="11"/>
      <c r="K593" s="11"/>
    </row>
    <row r="594" ht="13.5" customHeight="1">
      <c r="A594" s="11"/>
      <c r="B594" s="11"/>
      <c r="C594" s="11"/>
      <c r="D594" s="11"/>
      <c r="E594" s="11"/>
      <c r="F594" s="11"/>
      <c r="G594" s="71"/>
      <c r="H594" s="72"/>
      <c r="I594" s="11"/>
      <c r="J594" s="11"/>
      <c r="K594" s="11"/>
    </row>
    <row r="595" ht="13.5" customHeight="1">
      <c r="A595" s="11"/>
      <c r="B595" s="11"/>
      <c r="C595" s="11"/>
      <c r="D595" s="11"/>
      <c r="E595" s="11"/>
      <c r="F595" s="11"/>
      <c r="G595" s="71"/>
      <c r="H595" s="72"/>
      <c r="I595" s="11"/>
      <c r="J595" s="11"/>
      <c r="K595" s="11"/>
    </row>
    <row r="596" ht="13.5" customHeight="1">
      <c r="A596" s="11"/>
      <c r="B596" s="11"/>
      <c r="C596" s="11"/>
      <c r="D596" s="11"/>
      <c r="E596" s="11"/>
      <c r="F596" s="11"/>
      <c r="G596" s="71"/>
      <c r="H596" s="72"/>
      <c r="I596" s="11"/>
      <c r="J596" s="11"/>
      <c r="K596" s="11"/>
    </row>
    <row r="597" ht="13.5" customHeight="1">
      <c r="A597" s="11"/>
      <c r="B597" s="11"/>
      <c r="C597" s="11"/>
      <c r="D597" s="11"/>
      <c r="E597" s="11"/>
      <c r="F597" s="11"/>
      <c r="G597" s="71"/>
      <c r="H597" s="72"/>
      <c r="I597" s="11"/>
      <c r="J597" s="11"/>
      <c r="K597" s="11"/>
    </row>
    <row r="598" ht="13.5" customHeight="1">
      <c r="A598" s="11"/>
      <c r="B598" s="11"/>
      <c r="C598" s="11"/>
      <c r="D598" s="11"/>
      <c r="E598" s="11"/>
      <c r="F598" s="11"/>
      <c r="G598" s="71"/>
      <c r="H598" s="72"/>
      <c r="I598" s="11"/>
      <c r="J598" s="11"/>
      <c r="K598" s="11"/>
    </row>
    <row r="599" ht="13.5" customHeight="1">
      <c r="A599" s="11"/>
      <c r="B599" s="11"/>
      <c r="C599" s="11"/>
      <c r="D599" s="11"/>
      <c r="E599" s="11"/>
      <c r="F599" s="11"/>
      <c r="G599" s="71"/>
      <c r="H599" s="72"/>
      <c r="I599" s="11"/>
      <c r="J599" s="11"/>
      <c r="K599" s="11"/>
    </row>
    <row r="600" ht="13.5" customHeight="1">
      <c r="A600" s="11"/>
      <c r="B600" s="11"/>
      <c r="C600" s="11"/>
      <c r="D600" s="11"/>
      <c r="E600" s="11"/>
      <c r="F600" s="11"/>
      <c r="G600" s="71"/>
      <c r="H600" s="72"/>
      <c r="I600" s="11"/>
      <c r="J600" s="11"/>
      <c r="K600" s="11"/>
    </row>
    <row r="601" ht="13.5" customHeight="1">
      <c r="A601" s="11"/>
      <c r="B601" s="11"/>
      <c r="C601" s="11"/>
      <c r="D601" s="11"/>
      <c r="E601" s="11"/>
      <c r="F601" s="11"/>
      <c r="G601" s="71"/>
      <c r="H601" s="72"/>
      <c r="I601" s="11"/>
      <c r="J601" s="11"/>
      <c r="K601" s="11"/>
    </row>
    <row r="602" ht="13.5" customHeight="1">
      <c r="A602" s="11"/>
      <c r="B602" s="11"/>
      <c r="C602" s="11"/>
      <c r="D602" s="11"/>
      <c r="E602" s="11"/>
      <c r="F602" s="11"/>
      <c r="G602" s="71"/>
      <c r="H602" s="72"/>
      <c r="I602" s="11"/>
      <c r="J602" s="11"/>
      <c r="K602" s="11"/>
    </row>
    <row r="603" ht="13.5" customHeight="1">
      <c r="A603" s="11"/>
      <c r="B603" s="11"/>
      <c r="C603" s="11"/>
      <c r="D603" s="11"/>
      <c r="E603" s="11"/>
      <c r="F603" s="11"/>
      <c r="G603" s="71"/>
      <c r="H603" s="72"/>
      <c r="I603" s="11"/>
      <c r="J603" s="11"/>
      <c r="K603" s="11"/>
    </row>
    <row r="604" ht="13.5" customHeight="1">
      <c r="A604" s="11"/>
      <c r="B604" s="11"/>
      <c r="C604" s="11"/>
      <c r="D604" s="11"/>
      <c r="E604" s="11"/>
      <c r="F604" s="11"/>
      <c r="G604" s="71"/>
      <c r="H604" s="72"/>
      <c r="I604" s="11"/>
      <c r="J604" s="11"/>
      <c r="K604" s="11"/>
    </row>
    <row r="605" ht="13.5" customHeight="1">
      <c r="A605" s="11"/>
      <c r="B605" s="11"/>
      <c r="C605" s="11"/>
      <c r="D605" s="11"/>
      <c r="E605" s="11"/>
      <c r="F605" s="11"/>
      <c r="G605" s="71"/>
      <c r="H605" s="72"/>
      <c r="I605" s="11"/>
      <c r="J605" s="11"/>
      <c r="K605" s="11"/>
    </row>
    <row r="606" ht="13.5" customHeight="1">
      <c r="A606" s="11"/>
      <c r="B606" s="11"/>
      <c r="C606" s="11"/>
      <c r="D606" s="11"/>
      <c r="E606" s="11"/>
      <c r="F606" s="11"/>
      <c r="G606" s="71"/>
      <c r="H606" s="72"/>
      <c r="I606" s="11"/>
      <c r="J606" s="11"/>
      <c r="K606" s="11"/>
    </row>
    <row r="607" ht="13.5" customHeight="1">
      <c r="A607" s="11"/>
      <c r="B607" s="11"/>
      <c r="C607" s="11"/>
      <c r="D607" s="11"/>
      <c r="E607" s="11"/>
      <c r="F607" s="11"/>
      <c r="G607" s="71"/>
      <c r="H607" s="72"/>
      <c r="I607" s="11"/>
      <c r="J607" s="11"/>
      <c r="K607" s="11"/>
    </row>
    <row r="608" ht="13.5" customHeight="1">
      <c r="A608" s="11"/>
      <c r="B608" s="11"/>
      <c r="C608" s="11"/>
      <c r="D608" s="11"/>
      <c r="E608" s="11"/>
      <c r="F608" s="11"/>
      <c r="G608" s="71"/>
      <c r="H608" s="72"/>
      <c r="I608" s="11"/>
      <c r="J608" s="11"/>
      <c r="K608" s="11"/>
    </row>
    <row r="609" ht="13.5" customHeight="1">
      <c r="A609" s="11"/>
      <c r="B609" s="11"/>
      <c r="C609" s="11"/>
      <c r="D609" s="11"/>
      <c r="E609" s="11"/>
      <c r="F609" s="11"/>
      <c r="G609" s="71"/>
      <c r="H609" s="72"/>
      <c r="I609" s="11"/>
      <c r="J609" s="11"/>
      <c r="K609" s="11"/>
    </row>
    <row r="610" ht="13.5" customHeight="1">
      <c r="A610" s="11"/>
      <c r="B610" s="11"/>
      <c r="C610" s="11"/>
      <c r="D610" s="11"/>
      <c r="E610" s="11"/>
      <c r="F610" s="11"/>
      <c r="G610" s="71"/>
      <c r="H610" s="72"/>
      <c r="I610" s="11"/>
      <c r="J610" s="11"/>
      <c r="K610" s="11"/>
    </row>
    <row r="611" ht="13.5" customHeight="1">
      <c r="A611" s="11"/>
      <c r="B611" s="11"/>
      <c r="C611" s="11"/>
      <c r="D611" s="11"/>
      <c r="E611" s="11"/>
      <c r="F611" s="11"/>
      <c r="G611" s="71"/>
      <c r="H611" s="72"/>
      <c r="I611" s="11"/>
      <c r="J611" s="11"/>
      <c r="K611" s="11"/>
    </row>
    <row r="612" ht="13.5" customHeight="1">
      <c r="A612" s="11"/>
      <c r="B612" s="11"/>
      <c r="C612" s="11"/>
      <c r="D612" s="11"/>
      <c r="E612" s="11"/>
      <c r="F612" s="11"/>
      <c r="G612" s="71"/>
      <c r="H612" s="72"/>
      <c r="I612" s="11"/>
      <c r="J612" s="11"/>
      <c r="K612" s="11"/>
    </row>
    <row r="613" ht="13.5" customHeight="1">
      <c r="A613" s="11"/>
      <c r="B613" s="11"/>
      <c r="C613" s="11"/>
      <c r="D613" s="11"/>
      <c r="E613" s="11"/>
      <c r="F613" s="11"/>
      <c r="G613" s="71"/>
      <c r="H613" s="72"/>
      <c r="I613" s="11"/>
      <c r="J613" s="11"/>
      <c r="K613" s="11"/>
    </row>
    <row r="614" ht="13.5" customHeight="1">
      <c r="A614" s="11"/>
      <c r="B614" s="11"/>
      <c r="C614" s="11"/>
      <c r="D614" s="11"/>
      <c r="E614" s="11"/>
      <c r="F614" s="11"/>
      <c r="G614" s="71"/>
      <c r="H614" s="72"/>
      <c r="I614" s="11"/>
      <c r="J614" s="11"/>
      <c r="K614" s="11"/>
    </row>
    <row r="615" ht="13.5" customHeight="1">
      <c r="A615" s="11"/>
      <c r="B615" s="11"/>
      <c r="C615" s="11"/>
      <c r="D615" s="11"/>
      <c r="E615" s="11"/>
      <c r="F615" s="11"/>
      <c r="G615" s="71"/>
      <c r="H615" s="72"/>
      <c r="I615" s="11"/>
      <c r="J615" s="11"/>
      <c r="K615" s="11"/>
    </row>
    <row r="616" ht="13.5" customHeight="1">
      <c r="A616" s="11"/>
      <c r="B616" s="11"/>
      <c r="C616" s="11"/>
      <c r="D616" s="11"/>
      <c r="E616" s="11"/>
      <c r="F616" s="11"/>
      <c r="G616" s="71"/>
      <c r="H616" s="72"/>
      <c r="I616" s="11"/>
      <c r="J616" s="11"/>
      <c r="K616" s="11"/>
    </row>
    <row r="617" ht="13.5" customHeight="1">
      <c r="A617" s="11"/>
      <c r="B617" s="11"/>
      <c r="C617" s="11"/>
      <c r="D617" s="11"/>
      <c r="E617" s="11"/>
      <c r="F617" s="11"/>
      <c r="G617" s="71"/>
      <c r="H617" s="72"/>
      <c r="I617" s="11"/>
      <c r="J617" s="11"/>
      <c r="K617" s="11"/>
    </row>
    <row r="618" ht="13.5" customHeight="1">
      <c r="A618" s="11"/>
      <c r="B618" s="11"/>
      <c r="C618" s="11"/>
      <c r="D618" s="11"/>
      <c r="E618" s="11"/>
      <c r="F618" s="11"/>
      <c r="G618" s="71"/>
      <c r="H618" s="72"/>
      <c r="I618" s="11"/>
      <c r="J618" s="11"/>
      <c r="K618" s="11"/>
    </row>
    <row r="619" ht="13.5" customHeight="1">
      <c r="A619" s="11"/>
      <c r="B619" s="11"/>
      <c r="C619" s="11"/>
      <c r="D619" s="11"/>
      <c r="E619" s="11"/>
      <c r="F619" s="11"/>
      <c r="G619" s="71"/>
      <c r="H619" s="72"/>
      <c r="I619" s="11"/>
      <c r="J619" s="11"/>
      <c r="K619" s="11"/>
    </row>
    <row r="620" ht="13.5" customHeight="1">
      <c r="A620" s="11"/>
      <c r="B620" s="11"/>
      <c r="C620" s="11"/>
      <c r="D620" s="11"/>
      <c r="E620" s="11"/>
      <c r="F620" s="11"/>
      <c r="G620" s="71"/>
      <c r="H620" s="72"/>
      <c r="I620" s="11"/>
      <c r="J620" s="11"/>
      <c r="K620" s="11"/>
    </row>
    <row r="621" ht="13.5" customHeight="1">
      <c r="A621" s="11"/>
      <c r="B621" s="11"/>
      <c r="C621" s="11"/>
      <c r="D621" s="11"/>
      <c r="E621" s="11"/>
      <c r="F621" s="11"/>
      <c r="G621" s="71"/>
      <c r="H621" s="72"/>
      <c r="I621" s="11"/>
      <c r="J621" s="11"/>
      <c r="K621" s="11"/>
    </row>
    <row r="622" ht="13.5" customHeight="1">
      <c r="A622" s="11"/>
      <c r="B622" s="11"/>
      <c r="C622" s="11"/>
      <c r="D622" s="11"/>
      <c r="E622" s="11"/>
      <c r="F622" s="11"/>
      <c r="G622" s="71"/>
      <c r="H622" s="72"/>
      <c r="I622" s="11"/>
      <c r="J622" s="11"/>
      <c r="K622" s="11"/>
    </row>
    <row r="623" ht="13.5" customHeight="1">
      <c r="A623" s="11"/>
      <c r="B623" s="11"/>
      <c r="C623" s="11"/>
      <c r="D623" s="11"/>
      <c r="E623" s="11"/>
      <c r="F623" s="11"/>
      <c r="G623" s="71"/>
      <c r="H623" s="72"/>
      <c r="I623" s="11"/>
      <c r="J623" s="11"/>
      <c r="K623" s="11"/>
    </row>
    <row r="624" ht="13.5" customHeight="1">
      <c r="A624" s="11"/>
      <c r="B624" s="11"/>
      <c r="C624" s="11"/>
      <c r="D624" s="11"/>
      <c r="E624" s="11"/>
      <c r="F624" s="11"/>
      <c r="G624" s="71"/>
      <c r="H624" s="72"/>
      <c r="I624" s="11"/>
      <c r="J624" s="11"/>
      <c r="K624" s="11"/>
    </row>
    <row r="625" ht="13.5" customHeight="1">
      <c r="A625" s="11"/>
      <c r="B625" s="11"/>
      <c r="C625" s="11"/>
      <c r="D625" s="11"/>
      <c r="E625" s="11"/>
      <c r="F625" s="11"/>
      <c r="G625" s="71"/>
      <c r="H625" s="72"/>
      <c r="I625" s="11"/>
      <c r="J625" s="11"/>
      <c r="K625" s="11"/>
    </row>
    <row r="626" ht="13.5" customHeight="1">
      <c r="A626" s="11"/>
      <c r="B626" s="11"/>
      <c r="C626" s="11"/>
      <c r="D626" s="11"/>
      <c r="E626" s="11"/>
      <c r="F626" s="11"/>
      <c r="G626" s="71"/>
      <c r="H626" s="72"/>
      <c r="I626" s="11"/>
      <c r="J626" s="11"/>
      <c r="K626" s="11"/>
    </row>
    <row r="627" ht="13.5" customHeight="1">
      <c r="A627" s="11"/>
      <c r="B627" s="11"/>
      <c r="C627" s="11"/>
      <c r="D627" s="11"/>
      <c r="E627" s="11"/>
      <c r="F627" s="11"/>
      <c r="G627" s="71"/>
      <c r="H627" s="72"/>
      <c r="I627" s="11"/>
      <c r="J627" s="11"/>
      <c r="K627" s="11"/>
    </row>
    <row r="628" ht="13.5" customHeight="1">
      <c r="A628" s="11"/>
      <c r="B628" s="11"/>
      <c r="C628" s="11"/>
      <c r="D628" s="11"/>
      <c r="E628" s="11"/>
      <c r="F628" s="11"/>
      <c r="G628" s="71"/>
      <c r="H628" s="72"/>
      <c r="I628" s="11"/>
      <c r="J628" s="11"/>
      <c r="K628" s="11"/>
    </row>
    <row r="629" ht="13.5" customHeight="1">
      <c r="A629" s="11"/>
      <c r="B629" s="11"/>
      <c r="C629" s="11"/>
      <c r="D629" s="11"/>
      <c r="E629" s="11"/>
      <c r="F629" s="11"/>
      <c r="G629" s="71"/>
      <c r="H629" s="72"/>
      <c r="I629" s="11"/>
      <c r="J629" s="11"/>
      <c r="K629" s="11"/>
    </row>
    <row r="630" ht="13.5" customHeight="1">
      <c r="A630" s="11"/>
      <c r="B630" s="11"/>
      <c r="C630" s="11"/>
      <c r="D630" s="11"/>
      <c r="E630" s="11"/>
      <c r="F630" s="11"/>
      <c r="G630" s="71"/>
      <c r="H630" s="72"/>
      <c r="I630" s="11"/>
      <c r="J630" s="11"/>
      <c r="K630" s="11"/>
    </row>
    <row r="631" ht="13.5" customHeight="1">
      <c r="A631" s="11"/>
      <c r="B631" s="11"/>
      <c r="C631" s="11"/>
      <c r="D631" s="11"/>
      <c r="E631" s="11"/>
      <c r="F631" s="11"/>
      <c r="G631" s="71"/>
      <c r="H631" s="72"/>
      <c r="I631" s="11"/>
      <c r="J631" s="11"/>
      <c r="K631" s="11"/>
    </row>
    <row r="632" ht="13.5" customHeight="1">
      <c r="A632" s="11"/>
      <c r="B632" s="11"/>
      <c r="C632" s="11"/>
      <c r="D632" s="11"/>
      <c r="E632" s="11"/>
      <c r="F632" s="11"/>
      <c r="G632" s="71"/>
      <c r="H632" s="72"/>
      <c r="I632" s="11"/>
      <c r="J632" s="11"/>
      <c r="K632" s="11"/>
    </row>
    <row r="633" ht="13.5" customHeight="1">
      <c r="A633" s="11"/>
      <c r="B633" s="11"/>
      <c r="C633" s="11"/>
      <c r="D633" s="11"/>
      <c r="E633" s="11"/>
      <c r="F633" s="11"/>
      <c r="G633" s="71"/>
      <c r="H633" s="72"/>
      <c r="I633" s="11"/>
      <c r="J633" s="11"/>
      <c r="K633" s="11"/>
    </row>
    <row r="634" ht="13.5" customHeight="1">
      <c r="A634" s="11"/>
      <c r="B634" s="11"/>
      <c r="C634" s="11"/>
      <c r="D634" s="11"/>
      <c r="E634" s="11"/>
      <c r="F634" s="11"/>
      <c r="G634" s="71"/>
      <c r="H634" s="72"/>
      <c r="I634" s="11"/>
      <c r="J634" s="11"/>
      <c r="K634" s="11"/>
    </row>
    <row r="635" ht="13.5" customHeight="1">
      <c r="A635" s="11"/>
      <c r="B635" s="11"/>
      <c r="C635" s="11"/>
      <c r="D635" s="11"/>
      <c r="E635" s="11"/>
      <c r="F635" s="11"/>
      <c r="G635" s="71"/>
      <c r="H635" s="72"/>
      <c r="I635" s="11"/>
      <c r="J635" s="11"/>
      <c r="K635" s="11"/>
    </row>
    <row r="636" ht="13.5" customHeight="1">
      <c r="A636" s="11"/>
      <c r="B636" s="11"/>
      <c r="C636" s="11"/>
      <c r="D636" s="11"/>
      <c r="E636" s="11"/>
      <c r="F636" s="11"/>
      <c r="G636" s="71"/>
      <c r="H636" s="72"/>
      <c r="I636" s="11"/>
      <c r="J636" s="11"/>
      <c r="K636" s="11"/>
    </row>
    <row r="637" ht="13.5" customHeight="1">
      <c r="A637" s="11"/>
      <c r="B637" s="11"/>
      <c r="C637" s="11"/>
      <c r="D637" s="11"/>
      <c r="E637" s="11"/>
      <c r="F637" s="11"/>
      <c r="G637" s="71"/>
      <c r="H637" s="72"/>
      <c r="I637" s="11"/>
      <c r="J637" s="11"/>
      <c r="K637" s="11"/>
    </row>
    <row r="638" ht="13.5" customHeight="1">
      <c r="A638" s="11"/>
      <c r="B638" s="11"/>
      <c r="C638" s="11"/>
      <c r="D638" s="11"/>
      <c r="E638" s="11"/>
      <c r="F638" s="11"/>
      <c r="G638" s="71"/>
      <c r="H638" s="72"/>
      <c r="I638" s="11"/>
      <c r="J638" s="11"/>
      <c r="K638" s="11"/>
    </row>
    <row r="639" ht="13.5" customHeight="1">
      <c r="A639" s="11"/>
      <c r="B639" s="11"/>
      <c r="C639" s="11"/>
      <c r="D639" s="11"/>
      <c r="E639" s="11"/>
      <c r="F639" s="11"/>
      <c r="G639" s="71"/>
      <c r="H639" s="72"/>
      <c r="I639" s="11"/>
      <c r="J639" s="11"/>
      <c r="K639" s="11"/>
    </row>
    <row r="640" ht="13.5" customHeight="1">
      <c r="A640" s="11"/>
      <c r="B640" s="11"/>
      <c r="C640" s="11"/>
      <c r="D640" s="11"/>
      <c r="E640" s="11"/>
      <c r="F640" s="11"/>
      <c r="G640" s="71"/>
      <c r="H640" s="72"/>
      <c r="I640" s="11"/>
      <c r="J640" s="11"/>
      <c r="K640" s="11"/>
    </row>
    <row r="641" ht="13.5" customHeight="1">
      <c r="A641" s="11"/>
      <c r="B641" s="11"/>
      <c r="C641" s="11"/>
      <c r="D641" s="11"/>
      <c r="E641" s="11"/>
      <c r="F641" s="11"/>
      <c r="G641" s="71"/>
      <c r="H641" s="72"/>
      <c r="I641" s="11"/>
      <c r="J641" s="11"/>
      <c r="K641" s="11"/>
    </row>
    <row r="642" ht="13.5" customHeight="1">
      <c r="A642" s="11"/>
      <c r="B642" s="11"/>
      <c r="C642" s="11"/>
      <c r="D642" s="11"/>
      <c r="E642" s="11"/>
      <c r="F642" s="11"/>
      <c r="G642" s="71"/>
      <c r="H642" s="72"/>
      <c r="I642" s="11"/>
      <c r="J642" s="11"/>
      <c r="K642" s="11"/>
    </row>
    <row r="643" ht="13.5" customHeight="1">
      <c r="A643" s="11"/>
      <c r="B643" s="11"/>
      <c r="C643" s="11"/>
      <c r="D643" s="11"/>
      <c r="E643" s="11"/>
      <c r="F643" s="11"/>
      <c r="G643" s="71"/>
      <c r="H643" s="72"/>
      <c r="I643" s="11"/>
      <c r="J643" s="11"/>
      <c r="K643" s="11"/>
    </row>
    <row r="644" ht="13.5" customHeight="1">
      <c r="A644" s="11"/>
      <c r="B644" s="11"/>
      <c r="C644" s="11"/>
      <c r="D644" s="11"/>
      <c r="E644" s="11"/>
      <c r="F644" s="11"/>
      <c r="G644" s="71"/>
      <c r="H644" s="72"/>
      <c r="I644" s="11"/>
      <c r="J644" s="11"/>
      <c r="K644" s="11"/>
    </row>
    <row r="645" ht="13.5" customHeight="1">
      <c r="A645" s="11"/>
      <c r="B645" s="11"/>
      <c r="C645" s="11"/>
      <c r="D645" s="11"/>
      <c r="E645" s="11"/>
      <c r="F645" s="11"/>
      <c r="G645" s="71"/>
      <c r="H645" s="72"/>
      <c r="I645" s="11"/>
      <c r="J645" s="11"/>
      <c r="K645" s="11"/>
    </row>
    <row r="646" ht="13.5" customHeight="1">
      <c r="A646" s="11"/>
      <c r="B646" s="11"/>
      <c r="C646" s="11"/>
      <c r="D646" s="11"/>
      <c r="E646" s="11"/>
      <c r="F646" s="11"/>
      <c r="G646" s="71"/>
      <c r="H646" s="72"/>
      <c r="I646" s="11"/>
      <c r="J646" s="11"/>
      <c r="K646" s="11"/>
    </row>
    <row r="647" ht="13.5" customHeight="1">
      <c r="A647" s="11"/>
      <c r="B647" s="11"/>
      <c r="C647" s="11"/>
      <c r="D647" s="11"/>
      <c r="E647" s="11"/>
      <c r="F647" s="11"/>
      <c r="G647" s="71"/>
      <c r="H647" s="72"/>
      <c r="I647" s="11"/>
      <c r="J647" s="11"/>
      <c r="K647" s="11"/>
    </row>
    <row r="648" ht="13.5" customHeight="1">
      <c r="A648" s="11"/>
      <c r="B648" s="11"/>
      <c r="C648" s="11"/>
      <c r="D648" s="11"/>
      <c r="E648" s="11"/>
      <c r="F648" s="11"/>
      <c r="G648" s="71"/>
      <c r="H648" s="72"/>
      <c r="I648" s="11"/>
      <c r="J648" s="11"/>
      <c r="K648" s="11"/>
    </row>
    <row r="649" ht="13.5" customHeight="1">
      <c r="A649" s="11"/>
      <c r="B649" s="11"/>
      <c r="C649" s="11"/>
      <c r="D649" s="11"/>
      <c r="E649" s="11"/>
      <c r="F649" s="11"/>
      <c r="G649" s="71"/>
      <c r="H649" s="72"/>
      <c r="I649" s="11"/>
      <c r="J649" s="11"/>
      <c r="K649" s="11"/>
    </row>
    <row r="650" ht="13.5" customHeight="1">
      <c r="A650" s="11"/>
      <c r="B650" s="11"/>
      <c r="C650" s="11"/>
      <c r="D650" s="11"/>
      <c r="E650" s="11"/>
      <c r="F650" s="11"/>
      <c r="G650" s="71"/>
      <c r="H650" s="72"/>
      <c r="I650" s="11"/>
      <c r="J650" s="11"/>
      <c r="K650" s="11"/>
    </row>
    <row r="651" ht="13.5" customHeight="1">
      <c r="A651" s="11"/>
      <c r="B651" s="11"/>
      <c r="C651" s="11"/>
      <c r="D651" s="11"/>
      <c r="E651" s="11"/>
      <c r="F651" s="11"/>
      <c r="G651" s="71"/>
      <c r="H651" s="72"/>
      <c r="I651" s="11"/>
      <c r="J651" s="11"/>
      <c r="K651" s="11"/>
    </row>
    <row r="652" ht="13.5" customHeight="1">
      <c r="A652" s="11"/>
      <c r="B652" s="11"/>
      <c r="C652" s="11"/>
      <c r="D652" s="11"/>
      <c r="E652" s="11"/>
      <c r="F652" s="11"/>
      <c r="G652" s="71"/>
      <c r="H652" s="72"/>
      <c r="I652" s="11"/>
      <c r="J652" s="11"/>
      <c r="K652" s="11"/>
    </row>
    <row r="653" ht="13.5" customHeight="1">
      <c r="A653" s="11"/>
      <c r="B653" s="11"/>
      <c r="C653" s="11"/>
      <c r="D653" s="11"/>
      <c r="E653" s="11"/>
      <c r="F653" s="11"/>
      <c r="G653" s="71"/>
      <c r="H653" s="72"/>
      <c r="I653" s="11"/>
      <c r="J653" s="11"/>
      <c r="K653" s="11"/>
    </row>
    <row r="654" ht="13.5" customHeight="1">
      <c r="A654" s="11"/>
      <c r="B654" s="11"/>
      <c r="C654" s="11"/>
      <c r="D654" s="11"/>
      <c r="E654" s="11"/>
      <c r="F654" s="11"/>
      <c r="G654" s="71"/>
      <c r="H654" s="72"/>
      <c r="I654" s="11"/>
      <c r="J654" s="11"/>
      <c r="K654" s="11"/>
    </row>
    <row r="655" ht="13.5" customHeight="1">
      <c r="A655" s="11"/>
      <c r="B655" s="11"/>
      <c r="C655" s="11"/>
      <c r="D655" s="11"/>
      <c r="E655" s="11"/>
      <c r="F655" s="11"/>
      <c r="G655" s="71"/>
      <c r="H655" s="72"/>
      <c r="I655" s="11"/>
      <c r="J655" s="11"/>
      <c r="K655" s="11"/>
    </row>
    <row r="656" ht="13.5" customHeight="1">
      <c r="A656" s="11"/>
      <c r="B656" s="11"/>
      <c r="C656" s="11"/>
      <c r="D656" s="11"/>
      <c r="E656" s="11"/>
      <c r="F656" s="11"/>
      <c r="G656" s="71"/>
      <c r="H656" s="72"/>
      <c r="I656" s="11"/>
      <c r="J656" s="11"/>
      <c r="K656" s="11"/>
    </row>
    <row r="657" ht="13.5" customHeight="1">
      <c r="A657" s="11"/>
      <c r="B657" s="11"/>
      <c r="C657" s="11"/>
      <c r="D657" s="11"/>
      <c r="E657" s="11"/>
      <c r="F657" s="11"/>
      <c r="G657" s="71"/>
      <c r="H657" s="72"/>
      <c r="I657" s="11"/>
      <c r="J657" s="11"/>
      <c r="K657" s="11"/>
    </row>
    <row r="658" ht="13.5" customHeight="1">
      <c r="A658" s="11"/>
      <c r="B658" s="11"/>
      <c r="C658" s="11"/>
      <c r="D658" s="11"/>
      <c r="E658" s="11"/>
      <c r="F658" s="11"/>
      <c r="G658" s="71"/>
      <c r="H658" s="72"/>
      <c r="I658" s="11"/>
      <c r="J658" s="11"/>
      <c r="K658" s="11"/>
    </row>
    <row r="659" ht="13.5" customHeight="1">
      <c r="A659" s="11"/>
      <c r="B659" s="11"/>
      <c r="C659" s="11"/>
      <c r="D659" s="11"/>
      <c r="E659" s="11"/>
      <c r="F659" s="11"/>
      <c r="G659" s="71"/>
      <c r="H659" s="72"/>
      <c r="I659" s="11"/>
      <c r="J659" s="11"/>
      <c r="K659" s="11"/>
    </row>
    <row r="660" ht="13.5" customHeight="1">
      <c r="A660" s="11"/>
      <c r="B660" s="11"/>
      <c r="C660" s="11"/>
      <c r="D660" s="11"/>
      <c r="E660" s="11"/>
      <c r="F660" s="11"/>
      <c r="G660" s="71"/>
      <c r="H660" s="72"/>
      <c r="I660" s="11"/>
      <c r="J660" s="11"/>
      <c r="K660" s="11"/>
    </row>
    <row r="661" ht="13.5" customHeight="1">
      <c r="A661" s="11"/>
      <c r="B661" s="11"/>
      <c r="C661" s="11"/>
      <c r="D661" s="11"/>
      <c r="E661" s="11"/>
      <c r="F661" s="11"/>
      <c r="G661" s="71"/>
      <c r="H661" s="72"/>
      <c r="I661" s="11"/>
      <c r="J661" s="11"/>
      <c r="K661" s="11"/>
    </row>
    <row r="662" ht="13.5" customHeight="1">
      <c r="A662" s="11"/>
      <c r="B662" s="11"/>
      <c r="C662" s="11"/>
      <c r="D662" s="11"/>
      <c r="E662" s="11"/>
      <c r="F662" s="11"/>
      <c r="G662" s="71"/>
      <c r="H662" s="72"/>
      <c r="I662" s="11"/>
      <c r="J662" s="11"/>
      <c r="K662" s="11"/>
    </row>
    <row r="663" ht="13.5" customHeight="1">
      <c r="A663" s="11"/>
      <c r="B663" s="11"/>
      <c r="C663" s="11"/>
      <c r="D663" s="11"/>
      <c r="E663" s="11"/>
      <c r="F663" s="11"/>
      <c r="G663" s="71"/>
      <c r="H663" s="72"/>
      <c r="I663" s="11"/>
      <c r="J663" s="11"/>
      <c r="K663" s="11"/>
    </row>
    <row r="664" ht="13.5" customHeight="1">
      <c r="A664" s="11"/>
      <c r="B664" s="11"/>
      <c r="C664" s="11"/>
      <c r="D664" s="11"/>
      <c r="E664" s="11"/>
      <c r="F664" s="11"/>
      <c r="G664" s="71"/>
      <c r="H664" s="72"/>
      <c r="I664" s="11"/>
      <c r="J664" s="11"/>
      <c r="K664" s="11"/>
    </row>
    <row r="665" ht="13.5" customHeight="1">
      <c r="A665" s="11"/>
      <c r="B665" s="11"/>
      <c r="C665" s="11"/>
      <c r="D665" s="11"/>
      <c r="E665" s="11"/>
      <c r="F665" s="11"/>
      <c r="G665" s="71"/>
      <c r="H665" s="72"/>
      <c r="I665" s="11"/>
      <c r="J665" s="11"/>
      <c r="K665" s="11"/>
    </row>
    <row r="666" ht="13.5" customHeight="1">
      <c r="A666" s="11"/>
      <c r="B666" s="11"/>
      <c r="C666" s="11"/>
      <c r="D666" s="11"/>
      <c r="E666" s="11"/>
      <c r="F666" s="11"/>
      <c r="G666" s="71"/>
      <c r="H666" s="72"/>
      <c r="I666" s="11"/>
      <c r="J666" s="11"/>
      <c r="K666" s="11"/>
    </row>
    <row r="667" ht="13.5" customHeight="1">
      <c r="A667" s="11"/>
      <c r="B667" s="11"/>
      <c r="C667" s="11"/>
      <c r="D667" s="11"/>
      <c r="E667" s="11"/>
      <c r="F667" s="11"/>
      <c r="G667" s="71"/>
      <c r="H667" s="72"/>
      <c r="I667" s="11"/>
      <c r="J667" s="11"/>
      <c r="K667" s="11"/>
    </row>
    <row r="668" ht="13.5" customHeight="1">
      <c r="A668" s="11"/>
      <c r="B668" s="11"/>
      <c r="C668" s="11"/>
      <c r="D668" s="11"/>
      <c r="E668" s="11"/>
      <c r="F668" s="11"/>
      <c r="G668" s="71"/>
      <c r="H668" s="72"/>
      <c r="I668" s="11"/>
      <c r="J668" s="11"/>
      <c r="K668" s="11"/>
    </row>
    <row r="669" ht="13.5" customHeight="1">
      <c r="A669" s="11"/>
      <c r="B669" s="11"/>
      <c r="C669" s="11"/>
      <c r="D669" s="11"/>
      <c r="E669" s="11"/>
      <c r="F669" s="11"/>
      <c r="G669" s="71"/>
      <c r="H669" s="72"/>
      <c r="I669" s="11"/>
      <c r="J669" s="11"/>
      <c r="K669" s="11"/>
    </row>
    <row r="670" ht="13.5" customHeight="1">
      <c r="A670" s="11"/>
      <c r="B670" s="11"/>
      <c r="C670" s="11"/>
      <c r="D670" s="11"/>
      <c r="E670" s="11"/>
      <c r="F670" s="11"/>
      <c r="G670" s="71"/>
      <c r="H670" s="72"/>
      <c r="I670" s="11"/>
      <c r="J670" s="11"/>
      <c r="K670" s="11"/>
    </row>
    <row r="671" ht="13.5" customHeight="1">
      <c r="A671" s="11"/>
      <c r="B671" s="11"/>
      <c r="C671" s="11"/>
      <c r="D671" s="11"/>
      <c r="E671" s="11"/>
      <c r="F671" s="11"/>
      <c r="G671" s="71"/>
      <c r="H671" s="72"/>
      <c r="I671" s="11"/>
      <c r="J671" s="11"/>
      <c r="K671" s="11"/>
    </row>
    <row r="672" ht="13.5" customHeight="1">
      <c r="A672" s="11"/>
      <c r="B672" s="11"/>
      <c r="C672" s="11"/>
      <c r="D672" s="11"/>
      <c r="E672" s="11"/>
      <c r="F672" s="11"/>
      <c r="G672" s="71"/>
      <c r="H672" s="72"/>
      <c r="I672" s="11"/>
      <c r="J672" s="11"/>
      <c r="K672" s="11"/>
    </row>
    <row r="673" ht="13.5" customHeight="1">
      <c r="A673" s="11"/>
      <c r="B673" s="11"/>
      <c r="C673" s="11"/>
      <c r="D673" s="11"/>
      <c r="E673" s="11"/>
      <c r="F673" s="11"/>
      <c r="G673" s="71"/>
      <c r="H673" s="72"/>
      <c r="I673" s="11"/>
      <c r="J673" s="11"/>
      <c r="K673" s="11"/>
    </row>
    <row r="674" ht="13.5" customHeight="1">
      <c r="A674" s="11"/>
      <c r="B674" s="11"/>
      <c r="C674" s="11"/>
      <c r="D674" s="11"/>
      <c r="E674" s="11"/>
      <c r="F674" s="11"/>
      <c r="G674" s="71"/>
      <c r="H674" s="72"/>
      <c r="I674" s="11"/>
      <c r="J674" s="11"/>
      <c r="K674" s="11"/>
    </row>
    <row r="675" ht="13.5" customHeight="1">
      <c r="A675" s="11"/>
      <c r="B675" s="11"/>
      <c r="C675" s="11"/>
      <c r="D675" s="11"/>
      <c r="E675" s="11"/>
      <c r="F675" s="11"/>
      <c r="G675" s="71"/>
      <c r="H675" s="72"/>
      <c r="I675" s="11"/>
      <c r="J675" s="11"/>
      <c r="K675" s="11"/>
    </row>
    <row r="676" ht="13.5" customHeight="1">
      <c r="A676" s="11"/>
      <c r="B676" s="11"/>
      <c r="C676" s="11"/>
      <c r="D676" s="11"/>
      <c r="E676" s="11"/>
      <c r="F676" s="11"/>
      <c r="G676" s="71"/>
      <c r="H676" s="72"/>
      <c r="I676" s="11"/>
      <c r="J676" s="11"/>
      <c r="K676" s="11"/>
    </row>
    <row r="677" ht="13.5" customHeight="1">
      <c r="A677" s="11"/>
      <c r="B677" s="11"/>
      <c r="C677" s="11"/>
      <c r="D677" s="11"/>
      <c r="E677" s="11"/>
      <c r="F677" s="11"/>
      <c r="G677" s="71"/>
      <c r="H677" s="72"/>
      <c r="I677" s="11"/>
      <c r="J677" s="11"/>
      <c r="K677" s="11"/>
    </row>
    <row r="678" ht="13.5" customHeight="1">
      <c r="A678" s="11"/>
      <c r="B678" s="11"/>
      <c r="C678" s="11"/>
      <c r="D678" s="11"/>
      <c r="E678" s="11"/>
      <c r="F678" s="11"/>
      <c r="G678" s="71"/>
      <c r="H678" s="72"/>
      <c r="I678" s="11"/>
      <c r="J678" s="11"/>
      <c r="K678" s="11"/>
    </row>
    <row r="679" ht="13.5" customHeight="1">
      <c r="A679" s="11"/>
      <c r="B679" s="11"/>
      <c r="C679" s="11"/>
      <c r="D679" s="11"/>
      <c r="E679" s="11"/>
      <c r="F679" s="11"/>
      <c r="G679" s="71"/>
      <c r="H679" s="72"/>
      <c r="I679" s="11"/>
      <c r="J679" s="11"/>
      <c r="K679" s="11"/>
    </row>
    <row r="680" ht="13.5" customHeight="1">
      <c r="A680" s="11"/>
      <c r="B680" s="11"/>
      <c r="C680" s="11"/>
      <c r="D680" s="11"/>
      <c r="E680" s="11"/>
      <c r="F680" s="11"/>
      <c r="G680" s="71"/>
      <c r="H680" s="72"/>
      <c r="I680" s="11"/>
      <c r="J680" s="11"/>
      <c r="K680" s="11"/>
    </row>
    <row r="681" ht="13.5" customHeight="1">
      <c r="A681" s="11"/>
      <c r="B681" s="11"/>
      <c r="C681" s="11"/>
      <c r="D681" s="11"/>
      <c r="E681" s="11"/>
      <c r="F681" s="11"/>
      <c r="G681" s="71"/>
      <c r="H681" s="72"/>
      <c r="I681" s="11"/>
      <c r="J681" s="11"/>
      <c r="K681" s="11"/>
    </row>
    <row r="682" ht="13.5" customHeight="1">
      <c r="A682" s="11"/>
      <c r="B682" s="11"/>
      <c r="C682" s="11"/>
      <c r="D682" s="11"/>
      <c r="E682" s="11"/>
      <c r="F682" s="11"/>
      <c r="G682" s="71"/>
      <c r="H682" s="72"/>
      <c r="I682" s="11"/>
      <c r="J682" s="11"/>
      <c r="K682" s="11"/>
    </row>
    <row r="683" ht="13.5" customHeight="1">
      <c r="A683" s="11"/>
      <c r="B683" s="11"/>
      <c r="C683" s="11"/>
      <c r="D683" s="11"/>
      <c r="E683" s="11"/>
      <c r="F683" s="11"/>
      <c r="G683" s="71"/>
      <c r="H683" s="72"/>
      <c r="I683" s="11"/>
      <c r="J683" s="11"/>
      <c r="K683" s="11"/>
    </row>
    <row r="684" ht="13.5" customHeight="1">
      <c r="A684" s="11"/>
      <c r="B684" s="11"/>
      <c r="C684" s="11"/>
      <c r="D684" s="11"/>
      <c r="E684" s="11"/>
      <c r="F684" s="11"/>
      <c r="G684" s="71"/>
      <c r="H684" s="72"/>
      <c r="I684" s="11"/>
      <c r="J684" s="11"/>
      <c r="K684" s="11"/>
    </row>
    <row r="685" ht="13.5" customHeight="1">
      <c r="A685" s="11"/>
      <c r="B685" s="11"/>
      <c r="C685" s="11"/>
      <c r="D685" s="11"/>
      <c r="E685" s="11"/>
      <c r="F685" s="11"/>
      <c r="G685" s="71"/>
      <c r="H685" s="72"/>
      <c r="I685" s="11"/>
      <c r="J685" s="11"/>
      <c r="K685" s="11"/>
    </row>
    <row r="686" ht="13.5" customHeight="1">
      <c r="A686" s="11"/>
      <c r="B686" s="11"/>
      <c r="C686" s="11"/>
      <c r="D686" s="11"/>
      <c r="E686" s="11"/>
      <c r="F686" s="11"/>
      <c r="G686" s="71"/>
      <c r="H686" s="72"/>
      <c r="I686" s="11"/>
      <c r="J686" s="11"/>
      <c r="K686" s="11"/>
    </row>
    <row r="687" ht="13.5" customHeight="1">
      <c r="A687" s="11"/>
      <c r="B687" s="11"/>
      <c r="C687" s="11"/>
      <c r="D687" s="11"/>
      <c r="E687" s="11"/>
      <c r="F687" s="11"/>
      <c r="G687" s="71"/>
      <c r="H687" s="72"/>
      <c r="I687" s="11"/>
      <c r="J687" s="11"/>
      <c r="K687" s="11"/>
    </row>
    <row r="688" ht="13.5" customHeight="1">
      <c r="A688" s="11"/>
      <c r="B688" s="11"/>
      <c r="C688" s="11"/>
      <c r="D688" s="11"/>
      <c r="E688" s="11"/>
      <c r="F688" s="11"/>
      <c r="G688" s="71"/>
      <c r="H688" s="72"/>
      <c r="I688" s="11"/>
      <c r="J688" s="11"/>
      <c r="K688" s="11"/>
    </row>
    <row r="689" ht="13.5" customHeight="1">
      <c r="A689" s="11"/>
      <c r="B689" s="11"/>
      <c r="C689" s="11"/>
      <c r="D689" s="11"/>
      <c r="E689" s="11"/>
      <c r="F689" s="11"/>
      <c r="G689" s="71"/>
      <c r="H689" s="72"/>
      <c r="I689" s="11"/>
      <c r="J689" s="11"/>
      <c r="K689" s="11"/>
    </row>
    <row r="690" ht="13.5" customHeight="1">
      <c r="A690" s="11"/>
      <c r="B690" s="11"/>
      <c r="C690" s="11"/>
      <c r="D690" s="11"/>
      <c r="E690" s="11"/>
      <c r="F690" s="11"/>
      <c r="G690" s="71"/>
      <c r="H690" s="72"/>
      <c r="I690" s="11"/>
      <c r="J690" s="11"/>
      <c r="K690" s="11"/>
    </row>
    <row r="691" ht="13.5" customHeight="1">
      <c r="A691" s="11"/>
      <c r="B691" s="11"/>
      <c r="C691" s="11"/>
      <c r="D691" s="11"/>
      <c r="E691" s="11"/>
      <c r="F691" s="11"/>
      <c r="G691" s="71"/>
      <c r="H691" s="72"/>
      <c r="I691" s="11"/>
      <c r="J691" s="11"/>
      <c r="K691" s="11"/>
    </row>
    <row r="692" ht="13.5" customHeight="1">
      <c r="A692" s="11"/>
      <c r="B692" s="11"/>
      <c r="C692" s="11"/>
      <c r="D692" s="11"/>
      <c r="E692" s="11"/>
      <c r="F692" s="11"/>
      <c r="G692" s="71"/>
      <c r="H692" s="72"/>
      <c r="I692" s="11"/>
      <c r="J692" s="11"/>
      <c r="K692" s="11"/>
    </row>
    <row r="693" ht="13.5" customHeight="1">
      <c r="A693" s="11"/>
      <c r="B693" s="11"/>
      <c r="C693" s="11"/>
      <c r="D693" s="11"/>
      <c r="E693" s="11"/>
      <c r="F693" s="11"/>
      <c r="G693" s="71"/>
      <c r="H693" s="72"/>
      <c r="I693" s="11"/>
      <c r="J693" s="11"/>
      <c r="K693" s="11"/>
    </row>
    <row r="694" ht="13.5" customHeight="1">
      <c r="A694" s="11"/>
      <c r="B694" s="11"/>
      <c r="C694" s="11"/>
      <c r="D694" s="11"/>
      <c r="E694" s="11"/>
      <c r="F694" s="11"/>
      <c r="G694" s="71"/>
      <c r="H694" s="72"/>
      <c r="I694" s="11"/>
      <c r="J694" s="11"/>
      <c r="K694" s="11"/>
    </row>
    <row r="695" ht="13.5" customHeight="1">
      <c r="A695" s="11"/>
      <c r="B695" s="11"/>
      <c r="C695" s="11"/>
      <c r="D695" s="11"/>
      <c r="E695" s="11"/>
      <c r="F695" s="11"/>
      <c r="G695" s="71"/>
      <c r="H695" s="72"/>
      <c r="I695" s="11"/>
      <c r="J695" s="11"/>
      <c r="K695" s="11"/>
    </row>
    <row r="696" ht="13.5" customHeight="1">
      <c r="A696" s="11"/>
      <c r="B696" s="11"/>
      <c r="C696" s="11"/>
      <c r="D696" s="11"/>
      <c r="E696" s="11"/>
      <c r="F696" s="11"/>
      <c r="G696" s="71"/>
      <c r="H696" s="72"/>
      <c r="I696" s="11"/>
      <c r="J696" s="11"/>
      <c r="K696" s="11"/>
    </row>
    <row r="697" ht="13.5" customHeight="1">
      <c r="A697" s="11"/>
      <c r="B697" s="11"/>
      <c r="C697" s="11"/>
      <c r="D697" s="11"/>
      <c r="E697" s="11"/>
      <c r="F697" s="11"/>
      <c r="G697" s="71"/>
      <c r="H697" s="72"/>
      <c r="I697" s="11"/>
      <c r="J697" s="11"/>
      <c r="K697" s="11"/>
    </row>
    <row r="698" ht="13.5" customHeight="1">
      <c r="A698" s="11"/>
      <c r="B698" s="11"/>
      <c r="C698" s="11"/>
      <c r="D698" s="11"/>
      <c r="E698" s="11"/>
      <c r="F698" s="11"/>
      <c r="G698" s="71"/>
      <c r="H698" s="72"/>
      <c r="I698" s="11"/>
      <c r="J698" s="11"/>
      <c r="K698" s="11"/>
    </row>
    <row r="699" ht="13.5" customHeight="1">
      <c r="A699" s="11"/>
      <c r="B699" s="11"/>
      <c r="C699" s="11"/>
      <c r="D699" s="11"/>
      <c r="E699" s="11"/>
      <c r="F699" s="11"/>
      <c r="G699" s="71"/>
      <c r="H699" s="72"/>
      <c r="I699" s="11"/>
      <c r="J699" s="11"/>
      <c r="K699" s="11"/>
    </row>
    <row r="700" ht="13.5" customHeight="1">
      <c r="A700" s="11"/>
      <c r="B700" s="11"/>
      <c r="C700" s="11"/>
      <c r="D700" s="11"/>
      <c r="E700" s="11"/>
      <c r="F700" s="11"/>
      <c r="G700" s="71"/>
      <c r="H700" s="72"/>
      <c r="I700" s="11"/>
      <c r="J700" s="11"/>
      <c r="K700" s="11"/>
    </row>
    <row r="701" ht="13.5" customHeight="1">
      <c r="A701" s="11"/>
      <c r="B701" s="11"/>
      <c r="C701" s="11"/>
      <c r="D701" s="11"/>
      <c r="E701" s="11"/>
      <c r="F701" s="11"/>
      <c r="G701" s="71"/>
      <c r="H701" s="72"/>
      <c r="I701" s="11"/>
      <c r="J701" s="11"/>
      <c r="K701" s="11"/>
    </row>
    <row r="702" ht="13.5" customHeight="1">
      <c r="A702" s="11"/>
      <c r="B702" s="11"/>
      <c r="C702" s="11"/>
      <c r="D702" s="11"/>
      <c r="E702" s="11"/>
      <c r="F702" s="11"/>
      <c r="G702" s="71"/>
      <c r="H702" s="72"/>
      <c r="I702" s="11"/>
      <c r="J702" s="11"/>
      <c r="K702" s="11"/>
    </row>
    <row r="703" ht="13.5" customHeight="1">
      <c r="A703" s="11"/>
      <c r="B703" s="11"/>
      <c r="C703" s="11"/>
      <c r="D703" s="11"/>
      <c r="E703" s="11"/>
      <c r="F703" s="11"/>
      <c r="G703" s="71"/>
      <c r="H703" s="72"/>
      <c r="I703" s="11"/>
      <c r="J703" s="11"/>
      <c r="K703" s="11"/>
    </row>
    <row r="704" ht="13.5" customHeight="1">
      <c r="A704" s="11"/>
      <c r="B704" s="11"/>
      <c r="C704" s="11"/>
      <c r="D704" s="11"/>
      <c r="E704" s="11"/>
      <c r="F704" s="11"/>
      <c r="G704" s="71"/>
      <c r="H704" s="72"/>
      <c r="I704" s="11"/>
      <c r="J704" s="11"/>
      <c r="K704" s="11"/>
    </row>
    <row r="705" ht="13.5" customHeight="1">
      <c r="A705" s="11"/>
      <c r="B705" s="11"/>
      <c r="C705" s="11"/>
      <c r="D705" s="11"/>
      <c r="E705" s="11"/>
      <c r="F705" s="11"/>
      <c r="G705" s="71"/>
      <c r="H705" s="72"/>
      <c r="I705" s="11"/>
      <c r="J705" s="11"/>
      <c r="K705" s="11"/>
    </row>
    <row r="706" ht="13.5" customHeight="1">
      <c r="A706" s="11"/>
      <c r="B706" s="11"/>
      <c r="C706" s="11"/>
      <c r="D706" s="11"/>
      <c r="E706" s="11"/>
      <c r="F706" s="11"/>
      <c r="G706" s="71"/>
      <c r="H706" s="72"/>
      <c r="I706" s="11"/>
      <c r="J706" s="11"/>
      <c r="K706" s="11"/>
    </row>
    <row r="707" ht="13.5" customHeight="1">
      <c r="A707" s="11"/>
      <c r="B707" s="11"/>
      <c r="C707" s="11"/>
      <c r="D707" s="11"/>
      <c r="E707" s="11"/>
      <c r="F707" s="11"/>
      <c r="G707" s="71"/>
      <c r="H707" s="72"/>
      <c r="I707" s="11"/>
      <c r="J707" s="11"/>
      <c r="K707" s="11"/>
    </row>
    <row r="708" ht="13.5" customHeight="1">
      <c r="A708" s="11"/>
      <c r="B708" s="11"/>
      <c r="C708" s="11"/>
      <c r="D708" s="11"/>
      <c r="E708" s="11"/>
      <c r="F708" s="11"/>
      <c r="G708" s="71"/>
      <c r="H708" s="72"/>
      <c r="I708" s="11"/>
      <c r="J708" s="11"/>
      <c r="K708" s="11"/>
    </row>
    <row r="709" ht="13.5" customHeight="1">
      <c r="A709" s="11"/>
      <c r="B709" s="11"/>
      <c r="C709" s="11"/>
      <c r="D709" s="11"/>
      <c r="E709" s="11"/>
      <c r="F709" s="11"/>
      <c r="G709" s="71"/>
      <c r="H709" s="72"/>
      <c r="I709" s="11"/>
      <c r="J709" s="11"/>
      <c r="K709" s="11"/>
    </row>
    <row r="710" ht="13.5" customHeight="1">
      <c r="A710" s="11"/>
      <c r="B710" s="11"/>
      <c r="C710" s="11"/>
      <c r="D710" s="11"/>
      <c r="E710" s="11"/>
      <c r="F710" s="11"/>
      <c r="G710" s="71"/>
      <c r="H710" s="72"/>
      <c r="I710" s="11"/>
      <c r="J710" s="11"/>
      <c r="K710" s="11"/>
    </row>
    <row r="711" ht="13.5" customHeight="1">
      <c r="A711" s="11"/>
      <c r="B711" s="11"/>
      <c r="C711" s="11"/>
      <c r="D711" s="11"/>
      <c r="E711" s="11"/>
      <c r="F711" s="11"/>
      <c r="G711" s="71"/>
      <c r="H711" s="72"/>
      <c r="I711" s="11"/>
      <c r="J711" s="11"/>
      <c r="K711" s="11"/>
    </row>
    <row r="712" ht="13.5" customHeight="1">
      <c r="A712" s="11"/>
      <c r="B712" s="11"/>
      <c r="C712" s="11"/>
      <c r="D712" s="11"/>
      <c r="E712" s="11"/>
      <c r="F712" s="11"/>
      <c r="G712" s="71"/>
      <c r="H712" s="72"/>
      <c r="I712" s="11"/>
      <c r="J712" s="11"/>
      <c r="K712" s="11"/>
    </row>
    <row r="713" ht="13.5" customHeight="1">
      <c r="A713" s="11"/>
      <c r="B713" s="11"/>
      <c r="C713" s="11"/>
      <c r="D713" s="11"/>
      <c r="E713" s="11"/>
      <c r="F713" s="11"/>
      <c r="G713" s="71"/>
      <c r="H713" s="72"/>
      <c r="I713" s="11"/>
      <c r="J713" s="11"/>
      <c r="K713" s="11"/>
    </row>
    <row r="714" ht="13.5" customHeight="1">
      <c r="A714" s="11"/>
      <c r="B714" s="11"/>
      <c r="C714" s="11"/>
      <c r="D714" s="11"/>
      <c r="E714" s="11"/>
      <c r="F714" s="11"/>
      <c r="G714" s="71"/>
      <c r="H714" s="72"/>
      <c r="I714" s="11"/>
      <c r="J714" s="11"/>
      <c r="K714" s="11"/>
    </row>
    <row r="715" ht="13.5" customHeight="1">
      <c r="A715" s="11"/>
      <c r="B715" s="11"/>
      <c r="C715" s="11"/>
      <c r="D715" s="11"/>
      <c r="E715" s="11"/>
      <c r="F715" s="11"/>
      <c r="G715" s="71"/>
      <c r="H715" s="72"/>
      <c r="I715" s="11"/>
      <c r="J715" s="11"/>
      <c r="K715" s="11"/>
    </row>
    <row r="716" ht="13.5" customHeight="1">
      <c r="A716" s="11"/>
      <c r="B716" s="11"/>
      <c r="C716" s="11"/>
      <c r="D716" s="11"/>
      <c r="E716" s="11"/>
      <c r="F716" s="11"/>
      <c r="G716" s="71"/>
      <c r="H716" s="72"/>
      <c r="I716" s="11"/>
      <c r="J716" s="11"/>
      <c r="K716" s="11"/>
    </row>
    <row r="717" ht="13.5" customHeight="1">
      <c r="A717" s="11"/>
      <c r="B717" s="11"/>
      <c r="C717" s="11"/>
      <c r="D717" s="11"/>
      <c r="E717" s="11"/>
      <c r="F717" s="11"/>
      <c r="G717" s="71"/>
      <c r="H717" s="72"/>
      <c r="I717" s="11"/>
      <c r="J717" s="11"/>
      <c r="K717" s="11"/>
    </row>
    <row r="718" ht="13.5" customHeight="1">
      <c r="A718" s="11"/>
      <c r="B718" s="11"/>
      <c r="C718" s="11"/>
      <c r="D718" s="11"/>
      <c r="E718" s="11"/>
      <c r="F718" s="11"/>
      <c r="G718" s="71"/>
      <c r="H718" s="72"/>
      <c r="I718" s="11"/>
      <c r="J718" s="11"/>
      <c r="K718" s="11"/>
    </row>
    <row r="719" ht="13.5" customHeight="1">
      <c r="A719" s="11"/>
      <c r="B719" s="11"/>
      <c r="C719" s="11"/>
      <c r="D719" s="11"/>
      <c r="E719" s="11"/>
      <c r="F719" s="11"/>
      <c r="G719" s="71"/>
      <c r="H719" s="72"/>
      <c r="I719" s="11"/>
      <c r="J719" s="11"/>
      <c r="K719" s="11"/>
    </row>
    <row r="720" ht="13.5" customHeight="1">
      <c r="A720" s="11"/>
      <c r="B720" s="11"/>
      <c r="C720" s="11"/>
      <c r="D720" s="11"/>
      <c r="E720" s="11"/>
      <c r="F720" s="11"/>
      <c r="G720" s="71"/>
      <c r="H720" s="72"/>
      <c r="I720" s="11"/>
      <c r="J720" s="11"/>
      <c r="K720" s="11"/>
    </row>
    <row r="721" ht="13.5" customHeight="1">
      <c r="A721" s="11"/>
      <c r="B721" s="11"/>
      <c r="C721" s="11"/>
      <c r="D721" s="11"/>
      <c r="E721" s="11"/>
      <c r="F721" s="11"/>
      <c r="G721" s="71"/>
      <c r="H721" s="72"/>
      <c r="I721" s="11"/>
      <c r="J721" s="11"/>
      <c r="K721" s="11"/>
    </row>
    <row r="722" ht="13.5" customHeight="1">
      <c r="A722" s="11"/>
      <c r="B722" s="11"/>
      <c r="C722" s="11"/>
      <c r="D722" s="11"/>
      <c r="E722" s="11"/>
      <c r="F722" s="11"/>
      <c r="G722" s="71"/>
      <c r="H722" s="72"/>
      <c r="I722" s="11"/>
      <c r="J722" s="11"/>
      <c r="K722" s="11"/>
    </row>
    <row r="723" ht="13.5" customHeight="1">
      <c r="A723" s="11"/>
      <c r="B723" s="11"/>
      <c r="C723" s="11"/>
      <c r="D723" s="11"/>
      <c r="E723" s="11"/>
      <c r="F723" s="11"/>
      <c r="G723" s="71"/>
      <c r="H723" s="72"/>
      <c r="I723" s="11"/>
      <c r="J723" s="11"/>
      <c r="K723" s="11"/>
    </row>
    <row r="724" ht="13.5" customHeight="1">
      <c r="A724" s="11"/>
      <c r="B724" s="11"/>
      <c r="C724" s="11"/>
      <c r="D724" s="11"/>
      <c r="E724" s="11"/>
      <c r="F724" s="11"/>
      <c r="G724" s="71"/>
      <c r="H724" s="72"/>
      <c r="I724" s="11"/>
      <c r="J724" s="11"/>
      <c r="K724" s="11"/>
    </row>
    <row r="725" ht="13.5" customHeight="1">
      <c r="A725" s="11"/>
      <c r="B725" s="11"/>
      <c r="C725" s="11"/>
      <c r="D725" s="11"/>
      <c r="E725" s="11"/>
      <c r="F725" s="11"/>
      <c r="G725" s="71"/>
      <c r="H725" s="72"/>
      <c r="I725" s="11"/>
      <c r="J725" s="11"/>
      <c r="K725" s="11"/>
    </row>
    <row r="726" ht="13.5" customHeight="1">
      <c r="A726" s="11"/>
      <c r="B726" s="11"/>
      <c r="C726" s="11"/>
      <c r="D726" s="11"/>
      <c r="E726" s="11"/>
      <c r="F726" s="11"/>
      <c r="G726" s="71"/>
      <c r="H726" s="72"/>
      <c r="I726" s="11"/>
      <c r="J726" s="11"/>
      <c r="K726" s="11"/>
    </row>
    <row r="727" ht="13.5" customHeight="1">
      <c r="A727" s="11"/>
      <c r="B727" s="11"/>
      <c r="C727" s="11"/>
      <c r="D727" s="11"/>
      <c r="E727" s="11"/>
      <c r="F727" s="11"/>
      <c r="G727" s="71"/>
      <c r="H727" s="72"/>
      <c r="I727" s="11"/>
      <c r="J727" s="11"/>
      <c r="K727" s="11"/>
    </row>
    <row r="728" ht="13.5" customHeight="1">
      <c r="A728" s="11"/>
      <c r="B728" s="11"/>
      <c r="C728" s="11"/>
      <c r="D728" s="11"/>
      <c r="E728" s="11"/>
      <c r="F728" s="11"/>
      <c r="G728" s="71"/>
      <c r="H728" s="72"/>
      <c r="I728" s="11"/>
      <c r="J728" s="11"/>
      <c r="K728" s="11"/>
    </row>
    <row r="729" ht="13.5" customHeight="1">
      <c r="A729" s="11"/>
      <c r="B729" s="11"/>
      <c r="C729" s="11"/>
      <c r="D729" s="11"/>
      <c r="E729" s="11"/>
      <c r="F729" s="11"/>
      <c r="G729" s="71"/>
      <c r="H729" s="72"/>
      <c r="I729" s="11"/>
      <c r="J729" s="11"/>
      <c r="K729" s="11"/>
    </row>
    <row r="730" ht="13.5" customHeight="1">
      <c r="A730" s="11"/>
      <c r="B730" s="11"/>
      <c r="C730" s="11"/>
      <c r="D730" s="11"/>
      <c r="E730" s="11"/>
      <c r="F730" s="11"/>
      <c r="G730" s="71"/>
      <c r="H730" s="72"/>
      <c r="I730" s="11"/>
      <c r="J730" s="11"/>
      <c r="K730" s="11"/>
    </row>
    <row r="731" ht="13.5" customHeight="1">
      <c r="A731" s="11"/>
      <c r="B731" s="11"/>
      <c r="C731" s="11"/>
      <c r="D731" s="11"/>
      <c r="E731" s="11"/>
      <c r="F731" s="11"/>
      <c r="G731" s="71"/>
      <c r="H731" s="72"/>
      <c r="I731" s="11"/>
      <c r="J731" s="11"/>
      <c r="K731" s="11"/>
    </row>
    <row r="732" ht="13.5" customHeight="1">
      <c r="A732" s="11"/>
      <c r="B732" s="11"/>
      <c r="C732" s="11"/>
      <c r="D732" s="11"/>
      <c r="E732" s="11"/>
      <c r="F732" s="11"/>
      <c r="G732" s="71"/>
      <c r="H732" s="72"/>
      <c r="I732" s="11"/>
      <c r="J732" s="11"/>
      <c r="K732" s="11"/>
    </row>
    <row r="733" ht="13.5" customHeight="1">
      <c r="A733" s="11"/>
      <c r="B733" s="11"/>
      <c r="C733" s="11"/>
      <c r="D733" s="11"/>
      <c r="E733" s="11"/>
      <c r="F733" s="11"/>
      <c r="G733" s="71"/>
      <c r="H733" s="72"/>
      <c r="I733" s="11"/>
      <c r="J733" s="11"/>
      <c r="K733" s="11"/>
    </row>
    <row r="734" ht="13.5" customHeight="1">
      <c r="A734" s="11"/>
      <c r="B734" s="11"/>
      <c r="C734" s="11"/>
      <c r="D734" s="11"/>
      <c r="E734" s="11"/>
      <c r="F734" s="11"/>
      <c r="G734" s="71"/>
      <c r="H734" s="72"/>
      <c r="I734" s="11"/>
      <c r="J734" s="11"/>
      <c r="K734" s="11"/>
    </row>
    <row r="735" ht="13.5" customHeight="1">
      <c r="A735" s="11"/>
      <c r="B735" s="11"/>
      <c r="C735" s="11"/>
      <c r="D735" s="11"/>
      <c r="E735" s="11"/>
      <c r="F735" s="11"/>
      <c r="G735" s="71"/>
      <c r="H735" s="72"/>
      <c r="I735" s="11"/>
      <c r="J735" s="11"/>
      <c r="K735" s="11"/>
    </row>
    <row r="736" ht="13.5" customHeight="1">
      <c r="A736" s="11"/>
      <c r="B736" s="11"/>
      <c r="C736" s="11"/>
      <c r="D736" s="11"/>
      <c r="E736" s="11"/>
      <c r="F736" s="11"/>
      <c r="G736" s="71"/>
      <c r="H736" s="72"/>
      <c r="I736" s="11"/>
      <c r="J736" s="11"/>
      <c r="K736" s="11"/>
    </row>
    <row r="737" ht="13.5" customHeight="1">
      <c r="A737" s="11"/>
      <c r="B737" s="11"/>
      <c r="C737" s="11"/>
      <c r="D737" s="11"/>
      <c r="E737" s="11"/>
      <c r="F737" s="11"/>
      <c r="G737" s="71"/>
      <c r="H737" s="72"/>
      <c r="I737" s="11"/>
      <c r="J737" s="11"/>
      <c r="K737" s="11"/>
    </row>
    <row r="738" ht="13.5" customHeight="1">
      <c r="A738" s="11"/>
      <c r="B738" s="11"/>
      <c r="C738" s="11"/>
      <c r="D738" s="11"/>
      <c r="E738" s="11"/>
      <c r="F738" s="11"/>
      <c r="G738" s="71"/>
      <c r="H738" s="72"/>
      <c r="I738" s="11"/>
      <c r="J738" s="11"/>
      <c r="K738" s="11"/>
    </row>
    <row r="739" ht="13.5" customHeight="1">
      <c r="A739" s="11"/>
      <c r="B739" s="11"/>
      <c r="C739" s="11"/>
      <c r="D739" s="11"/>
      <c r="E739" s="11"/>
      <c r="F739" s="11"/>
      <c r="G739" s="71"/>
      <c r="H739" s="72"/>
      <c r="I739" s="11"/>
      <c r="J739" s="11"/>
      <c r="K739" s="11"/>
    </row>
    <row r="740" ht="13.5" customHeight="1">
      <c r="A740" s="11"/>
      <c r="B740" s="11"/>
      <c r="C740" s="11"/>
      <c r="D740" s="11"/>
      <c r="E740" s="11"/>
      <c r="F740" s="11"/>
      <c r="G740" s="71"/>
      <c r="H740" s="72"/>
      <c r="I740" s="11"/>
      <c r="J740" s="11"/>
      <c r="K740" s="11"/>
    </row>
    <row r="741" ht="13.5" customHeight="1">
      <c r="A741" s="11"/>
      <c r="B741" s="11"/>
      <c r="C741" s="11"/>
      <c r="D741" s="11"/>
      <c r="E741" s="11"/>
      <c r="F741" s="11"/>
      <c r="G741" s="71"/>
      <c r="H741" s="72"/>
      <c r="I741" s="11"/>
      <c r="J741" s="11"/>
      <c r="K741" s="11"/>
    </row>
    <row r="742" ht="13.5" customHeight="1">
      <c r="A742" s="11"/>
      <c r="B742" s="11"/>
      <c r="C742" s="11"/>
      <c r="D742" s="11"/>
      <c r="E742" s="11"/>
      <c r="F742" s="11"/>
      <c r="G742" s="71"/>
      <c r="H742" s="72"/>
      <c r="I742" s="11"/>
      <c r="J742" s="11"/>
      <c r="K742" s="11"/>
    </row>
    <row r="743" ht="13.5" customHeight="1">
      <c r="A743" s="11"/>
      <c r="B743" s="11"/>
      <c r="C743" s="11"/>
      <c r="D743" s="11"/>
      <c r="E743" s="11"/>
      <c r="F743" s="11"/>
      <c r="G743" s="71"/>
      <c r="H743" s="72"/>
      <c r="I743" s="11"/>
      <c r="J743" s="11"/>
      <c r="K743" s="11"/>
    </row>
    <row r="744" ht="13.5" customHeight="1">
      <c r="A744" s="11"/>
      <c r="B744" s="11"/>
      <c r="C744" s="11"/>
      <c r="D744" s="11"/>
      <c r="E744" s="11"/>
      <c r="F744" s="11"/>
      <c r="G744" s="71"/>
      <c r="H744" s="72"/>
      <c r="I744" s="11"/>
      <c r="J744" s="11"/>
      <c r="K744" s="11"/>
    </row>
    <row r="745" ht="13.5" customHeight="1">
      <c r="A745" s="11"/>
      <c r="B745" s="11"/>
      <c r="C745" s="11"/>
      <c r="D745" s="11"/>
      <c r="E745" s="11"/>
      <c r="F745" s="11"/>
      <c r="G745" s="71"/>
      <c r="H745" s="72"/>
      <c r="I745" s="11"/>
      <c r="J745" s="11"/>
      <c r="K745" s="11"/>
    </row>
    <row r="746" ht="13.5" customHeight="1">
      <c r="A746" s="11"/>
      <c r="B746" s="11"/>
      <c r="C746" s="11"/>
      <c r="D746" s="11"/>
      <c r="E746" s="11"/>
      <c r="F746" s="11"/>
      <c r="G746" s="71"/>
      <c r="H746" s="72"/>
      <c r="I746" s="11"/>
      <c r="J746" s="11"/>
      <c r="K746" s="11"/>
    </row>
    <row r="747" ht="13.5" customHeight="1">
      <c r="A747" s="11"/>
      <c r="B747" s="11"/>
      <c r="C747" s="11"/>
      <c r="D747" s="11"/>
      <c r="E747" s="11"/>
      <c r="F747" s="11"/>
      <c r="G747" s="71"/>
      <c r="H747" s="72"/>
      <c r="I747" s="11"/>
      <c r="J747" s="11"/>
      <c r="K747" s="11"/>
    </row>
    <row r="748" ht="13.5" customHeight="1">
      <c r="A748" s="11"/>
      <c r="B748" s="11"/>
      <c r="C748" s="11"/>
      <c r="D748" s="11"/>
      <c r="E748" s="11"/>
      <c r="F748" s="11"/>
      <c r="G748" s="71"/>
      <c r="H748" s="72"/>
      <c r="I748" s="11"/>
      <c r="J748" s="11"/>
      <c r="K748" s="11"/>
    </row>
  </sheetData>
  <mergeCells count="3">
    <mergeCell ref="A2:H2"/>
    <mergeCell ref="A6:H6"/>
    <mergeCell ref="A14:H14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 outlineLevelCol="1" outlineLevelRow="1"/>
  <cols>
    <col customWidth="1" min="1" max="1" width="6.29"/>
    <col customWidth="1" min="2" max="2" width="20.29"/>
    <col customWidth="1" min="3" max="3" width="13.43"/>
    <col customWidth="1" min="4" max="4" width="12.0"/>
    <col customWidth="1" min="5" max="5" width="14.43"/>
    <col customWidth="1" min="6" max="6" width="10.29" outlineLevel="1"/>
    <col customWidth="1" min="7" max="7" width="9.71" outlineLevel="1"/>
    <col customWidth="1" min="8" max="8" width="13.29" outlineLevel="1"/>
    <col customWidth="1" min="9" max="9" width="8.71"/>
    <col customWidth="1" min="10" max="10" width="8.0"/>
    <col customWidth="1" min="11" max="11" width="7.71"/>
    <col customWidth="1" min="12" max="12" width="12.86"/>
    <col customWidth="1" min="13" max="13" width="12.57"/>
    <col customWidth="1" min="14" max="14" width="9.86"/>
    <col customWidth="1" min="15" max="15" width="11.43"/>
    <col customWidth="1" hidden="1" min="16" max="16" width="11.57" outlineLevel="1"/>
    <col collapsed="1" customWidth="1" min="17" max="17" width="12.71"/>
    <col customWidth="1" min="18" max="18" width="14.57"/>
    <col customWidth="1" hidden="1" min="19" max="19" width="13.0" outlineLevel="1"/>
    <col customWidth="1" hidden="1" min="20" max="20" width="13.14" outlineLevel="1"/>
    <col collapsed="1" customWidth="1" min="21" max="21" width="9.71"/>
    <col customWidth="1" min="22" max="22" width="8.71"/>
    <col customWidth="1" min="23" max="25" width="10.71"/>
    <col customWidth="1" min="26" max="27" width="8.71"/>
  </cols>
  <sheetData>
    <row r="1" ht="13.5" customHeight="1">
      <c r="A1" s="134" t="s">
        <v>34</v>
      </c>
      <c r="B1" s="135" t="s">
        <v>22</v>
      </c>
      <c r="C1" s="136" t="s">
        <v>35</v>
      </c>
      <c r="D1" s="77" t="s">
        <v>24</v>
      </c>
      <c r="E1" s="77" t="s">
        <v>25</v>
      </c>
      <c r="F1" s="77" t="s">
        <v>36</v>
      </c>
      <c r="G1" s="137" t="s">
        <v>37</v>
      </c>
      <c r="H1" s="77" t="s">
        <v>38</v>
      </c>
      <c r="I1" s="138" t="s">
        <v>26</v>
      </c>
      <c r="J1" s="139" t="s">
        <v>27</v>
      </c>
      <c r="K1" s="77" t="s">
        <v>39</v>
      </c>
      <c r="L1" s="77" t="s">
        <v>40</v>
      </c>
      <c r="M1" s="77" t="s">
        <v>41</v>
      </c>
      <c r="N1" s="136" t="s">
        <v>42</v>
      </c>
      <c r="O1" s="103" t="s">
        <v>43</v>
      </c>
      <c r="P1" s="77" t="s">
        <v>44</v>
      </c>
      <c r="Q1" s="79" t="s">
        <v>45</v>
      </c>
      <c r="R1" s="140" t="s">
        <v>46</v>
      </c>
      <c r="S1" s="77" t="s">
        <v>47</v>
      </c>
      <c r="T1" s="136" t="s">
        <v>48</v>
      </c>
      <c r="U1" s="141" t="s">
        <v>49</v>
      </c>
      <c r="V1" s="74"/>
      <c r="W1" s="75"/>
      <c r="X1" s="75"/>
      <c r="Y1" s="75"/>
      <c r="Z1" s="4"/>
      <c r="AA1" s="4"/>
    </row>
    <row r="2" ht="13.5" customHeight="1">
      <c r="A2" s="142" t="s">
        <v>50</v>
      </c>
      <c r="B2" s="143" t="s">
        <v>51</v>
      </c>
      <c r="C2" s="143"/>
      <c r="D2" s="143"/>
      <c r="E2" s="143"/>
      <c r="F2" s="143"/>
      <c r="G2" s="143"/>
      <c r="H2" s="143"/>
      <c r="I2" s="144"/>
      <c r="J2" s="145"/>
      <c r="K2" s="143"/>
      <c r="L2" s="143"/>
      <c r="M2" s="143"/>
      <c r="N2" s="146"/>
      <c r="O2" s="147"/>
      <c r="P2" s="143"/>
      <c r="Q2" s="148"/>
      <c r="R2" s="149"/>
      <c r="S2" s="143"/>
      <c r="T2" s="143"/>
      <c r="U2" s="150"/>
      <c r="V2" s="33"/>
      <c r="W2" s="33"/>
      <c r="X2" s="33"/>
      <c r="Y2" s="33"/>
      <c r="Z2" s="33"/>
      <c r="AA2" s="33"/>
    </row>
    <row r="3" ht="14.25" customHeight="1" outlineLevel="1">
      <c r="A3" s="151"/>
      <c r="B3" s="152"/>
      <c r="C3" s="153">
        <v>0.027</v>
      </c>
      <c r="D3" s="154">
        <v>0.14</v>
      </c>
      <c r="E3" s="155">
        <v>4.2</v>
      </c>
      <c r="F3" s="156">
        <f t="shared" ref="F3:F28" si="1">C3*D3*E3</f>
        <v>0.015876</v>
      </c>
      <c r="G3" s="156">
        <f t="shared" ref="G3:G28" si="2">D3*E3</f>
        <v>0.588</v>
      </c>
      <c r="H3" s="157">
        <v>401.52</v>
      </c>
      <c r="I3" s="158">
        <f t="shared" ref="I3:I4" si="3">ROUND(H3*1.1667,0)</f>
        <v>468</v>
      </c>
      <c r="J3" s="159">
        <f t="shared" ref="J3:J10" si="4">ROUND((I3*0.992)*1.21,0)*(C3*D3*E3)</f>
        <v>8.922312</v>
      </c>
      <c r="K3" s="160">
        <f t="shared" ref="K3:K28" si="5">J3/(D3*E3)</f>
        <v>15.174</v>
      </c>
      <c r="L3" s="161">
        <f t="shared" ref="L3:L18" si="6">T3+R3-O3</f>
        <v>181</v>
      </c>
      <c r="M3" s="162">
        <f t="shared" ref="M3:M28" si="7">L3*F3</f>
        <v>2.873556</v>
      </c>
      <c r="N3" s="163">
        <f t="shared" ref="N3:N28" si="8">L3*G3</f>
        <v>106.428</v>
      </c>
      <c r="O3" s="164"/>
      <c r="P3" s="165" t="str">
        <f t="shared" ref="P3:P28" si="9">IF(O3="","",(O3*F3))</f>
        <v/>
      </c>
      <c r="Q3" s="166"/>
      <c r="R3" s="167"/>
      <c r="S3" s="155">
        <f t="shared" ref="S3:S28" si="10">R3*F3</f>
        <v>0</v>
      </c>
      <c r="T3" s="168">
        <v>181.0</v>
      </c>
      <c r="U3" s="169">
        <f t="shared" ref="U3:U28" si="11">J3*L3</f>
        <v>1614.938472</v>
      </c>
      <c r="V3" s="38" t="str">
        <f t="shared" ref="V3:V126" si="12">IF(O3="","",Q3-(O3*(H3*F3)))</f>
        <v/>
      </c>
      <c r="W3" s="38" t="str">
        <f t="shared" ref="W3:W197" si="13">IF(O3="","",(P3*H3))</f>
        <v/>
      </c>
      <c r="X3" s="11"/>
      <c r="Y3" s="11"/>
      <c r="Z3" s="11"/>
      <c r="AA3" s="11"/>
    </row>
    <row r="4" ht="14.25" customHeight="1" outlineLevel="1">
      <c r="A4" s="151"/>
      <c r="B4" s="152"/>
      <c r="C4" s="153">
        <v>0.027</v>
      </c>
      <c r="D4" s="170">
        <v>0.14</v>
      </c>
      <c r="E4" s="155">
        <v>4.8</v>
      </c>
      <c r="F4" s="156">
        <f t="shared" si="1"/>
        <v>0.018144</v>
      </c>
      <c r="G4" s="156">
        <f t="shared" si="2"/>
        <v>0.672</v>
      </c>
      <c r="H4" s="157">
        <v>401.52</v>
      </c>
      <c r="I4" s="158">
        <f t="shared" si="3"/>
        <v>468</v>
      </c>
      <c r="J4" s="159">
        <f t="shared" si="4"/>
        <v>10.196928</v>
      </c>
      <c r="K4" s="160">
        <f t="shared" si="5"/>
        <v>15.174</v>
      </c>
      <c r="L4" s="161">
        <f t="shared" si="6"/>
        <v>226</v>
      </c>
      <c r="M4" s="162">
        <f t="shared" si="7"/>
        <v>4.100544</v>
      </c>
      <c r="N4" s="163">
        <f t="shared" si="8"/>
        <v>151.872</v>
      </c>
      <c r="O4" s="171"/>
      <c r="P4" s="165" t="str">
        <f t="shared" si="9"/>
        <v/>
      </c>
      <c r="Q4" s="172"/>
      <c r="R4" s="167"/>
      <c r="S4" s="155">
        <f t="shared" si="10"/>
        <v>0</v>
      </c>
      <c r="T4" s="168">
        <v>226.0</v>
      </c>
      <c r="U4" s="169">
        <f t="shared" si="11"/>
        <v>2304.505728</v>
      </c>
      <c r="V4" s="38" t="str">
        <f t="shared" si="12"/>
        <v/>
      </c>
      <c r="W4" s="38" t="str">
        <f t="shared" si="13"/>
        <v/>
      </c>
      <c r="X4" s="11"/>
      <c r="Y4" s="11"/>
      <c r="Z4" s="11"/>
      <c r="AA4" s="11"/>
    </row>
    <row r="5" ht="14.25" customHeight="1" outlineLevel="1">
      <c r="A5" s="151"/>
      <c r="B5" s="152"/>
      <c r="C5" s="153">
        <v>0.028</v>
      </c>
      <c r="D5" s="170">
        <v>0.095</v>
      </c>
      <c r="E5" s="155">
        <v>3.0</v>
      </c>
      <c r="F5" s="173">
        <f t="shared" si="1"/>
        <v>0.00798</v>
      </c>
      <c r="G5" s="173">
        <f t="shared" si="2"/>
        <v>0.285</v>
      </c>
      <c r="H5" s="157">
        <v>404.93</v>
      </c>
      <c r="I5" s="158">
        <f>ROUND(H5*1.12,0)</f>
        <v>454</v>
      </c>
      <c r="J5" s="159">
        <f t="shared" si="4"/>
        <v>4.3491</v>
      </c>
      <c r="K5" s="174">
        <f t="shared" si="5"/>
        <v>15.26</v>
      </c>
      <c r="L5" s="161">
        <f t="shared" si="6"/>
        <v>599</v>
      </c>
      <c r="M5" s="162">
        <f t="shared" si="7"/>
        <v>4.78002</v>
      </c>
      <c r="N5" s="175">
        <f t="shared" si="8"/>
        <v>170.715</v>
      </c>
      <c r="O5" s="171"/>
      <c r="P5" s="165" t="str">
        <f t="shared" si="9"/>
        <v/>
      </c>
      <c r="Q5" s="176"/>
      <c r="R5" s="167"/>
      <c r="S5" s="155">
        <f t="shared" si="10"/>
        <v>0</v>
      </c>
      <c r="T5" s="168">
        <v>599.0</v>
      </c>
      <c r="U5" s="169">
        <f t="shared" si="11"/>
        <v>2605.1109</v>
      </c>
      <c r="V5" s="38" t="str">
        <f t="shared" si="12"/>
        <v/>
      </c>
      <c r="W5" s="38" t="str">
        <f t="shared" si="13"/>
        <v/>
      </c>
      <c r="X5" s="11"/>
      <c r="Y5" s="11"/>
      <c r="Z5" s="11"/>
      <c r="AA5" s="11"/>
    </row>
    <row r="6" ht="14.25" customHeight="1" outlineLevel="1">
      <c r="A6" s="151"/>
      <c r="B6" s="152"/>
      <c r="C6" s="153">
        <v>0.028</v>
      </c>
      <c r="D6" s="170">
        <v>0.115</v>
      </c>
      <c r="E6" s="155">
        <v>3.0</v>
      </c>
      <c r="F6" s="156">
        <f t="shared" si="1"/>
        <v>0.00966</v>
      </c>
      <c r="G6" s="156">
        <f t="shared" si="2"/>
        <v>0.345</v>
      </c>
      <c r="H6" s="157">
        <v>402.09</v>
      </c>
      <c r="I6" s="158">
        <f>ROUND(H6*1.13,0)</f>
        <v>454</v>
      </c>
      <c r="J6" s="159">
        <f t="shared" si="4"/>
        <v>5.2647</v>
      </c>
      <c r="K6" s="160">
        <f t="shared" si="5"/>
        <v>15.26</v>
      </c>
      <c r="L6" s="161">
        <f t="shared" si="6"/>
        <v>52</v>
      </c>
      <c r="M6" s="162">
        <f t="shared" si="7"/>
        <v>0.50232</v>
      </c>
      <c r="N6" s="163">
        <f t="shared" si="8"/>
        <v>17.94</v>
      </c>
      <c r="O6" s="177"/>
      <c r="P6" s="165" t="str">
        <f t="shared" si="9"/>
        <v/>
      </c>
      <c r="Q6" s="166"/>
      <c r="R6" s="167"/>
      <c r="S6" s="155">
        <f t="shared" si="10"/>
        <v>0</v>
      </c>
      <c r="T6" s="168">
        <v>52.0</v>
      </c>
      <c r="U6" s="169">
        <f t="shared" si="11"/>
        <v>273.7644</v>
      </c>
      <c r="V6" s="38" t="str">
        <f t="shared" si="12"/>
        <v/>
      </c>
      <c r="W6" s="38" t="str">
        <f t="shared" si="13"/>
        <v/>
      </c>
      <c r="X6" s="11"/>
      <c r="Y6" s="11"/>
      <c r="Z6" s="11"/>
      <c r="AA6" s="11"/>
    </row>
    <row r="7" ht="14.25" customHeight="1" outlineLevel="1">
      <c r="A7" s="151"/>
      <c r="B7" s="178" t="s">
        <v>52</v>
      </c>
      <c r="C7" s="153">
        <v>0.028</v>
      </c>
      <c r="D7" s="170">
        <v>0.12</v>
      </c>
      <c r="E7" s="155">
        <v>4.5</v>
      </c>
      <c r="F7" s="173">
        <f t="shared" si="1"/>
        <v>0.01512</v>
      </c>
      <c r="G7" s="173">
        <f t="shared" si="2"/>
        <v>0.54</v>
      </c>
      <c r="H7" s="157">
        <f>395+(50/1.709)</f>
        <v>424.2568754</v>
      </c>
      <c r="I7" s="158">
        <f>ROUND(H7*1.067,0)</f>
        <v>453</v>
      </c>
      <c r="J7" s="159">
        <f t="shared" si="4"/>
        <v>8.22528</v>
      </c>
      <c r="K7" s="174">
        <f t="shared" si="5"/>
        <v>15.232</v>
      </c>
      <c r="L7" s="161">
        <f t="shared" si="6"/>
        <v>329</v>
      </c>
      <c r="M7" s="162">
        <f t="shared" si="7"/>
        <v>4.97448</v>
      </c>
      <c r="N7" s="175">
        <f t="shared" si="8"/>
        <v>177.66</v>
      </c>
      <c r="O7" s="171"/>
      <c r="P7" s="165" t="str">
        <f t="shared" si="9"/>
        <v/>
      </c>
      <c r="Q7" s="176"/>
      <c r="R7" s="179"/>
      <c r="S7" s="155">
        <f t="shared" si="10"/>
        <v>0</v>
      </c>
      <c r="T7" s="168">
        <v>329.0</v>
      </c>
      <c r="U7" s="169">
        <f t="shared" si="11"/>
        <v>2706.11712</v>
      </c>
      <c r="V7" s="38" t="str">
        <f t="shared" si="12"/>
        <v/>
      </c>
      <c r="W7" s="38" t="str">
        <f t="shared" si="13"/>
        <v/>
      </c>
      <c r="X7" s="11"/>
      <c r="Y7" s="11"/>
      <c r="Z7" s="11"/>
      <c r="AA7" s="11"/>
    </row>
    <row r="8" ht="13.5" customHeight="1" outlineLevel="1">
      <c r="A8" s="151"/>
      <c r="B8" s="180"/>
      <c r="C8" s="181">
        <v>0.028</v>
      </c>
      <c r="D8" s="182">
        <v>0.12</v>
      </c>
      <c r="E8" s="183">
        <v>4.8</v>
      </c>
      <c r="F8" s="184">
        <f t="shared" si="1"/>
        <v>0.016128</v>
      </c>
      <c r="G8" s="184">
        <f t="shared" si="2"/>
        <v>0.576</v>
      </c>
      <c r="H8" s="185">
        <v>400.0</v>
      </c>
      <c r="I8" s="158">
        <f>ROUND(H8*1.1667,0)</f>
        <v>467</v>
      </c>
      <c r="J8" s="159">
        <f t="shared" si="4"/>
        <v>9.047808</v>
      </c>
      <c r="K8" s="186">
        <f t="shared" si="5"/>
        <v>15.708</v>
      </c>
      <c r="L8" s="161">
        <f t="shared" si="6"/>
        <v>54</v>
      </c>
      <c r="M8" s="187">
        <f t="shared" si="7"/>
        <v>0.870912</v>
      </c>
      <c r="N8" s="188">
        <f t="shared" si="8"/>
        <v>31.104</v>
      </c>
      <c r="O8" s="189"/>
      <c r="P8" s="165" t="str">
        <f t="shared" si="9"/>
        <v/>
      </c>
      <c r="Q8" s="190"/>
      <c r="R8" s="191"/>
      <c r="S8" s="192">
        <f t="shared" si="10"/>
        <v>0</v>
      </c>
      <c r="T8" s="193">
        <v>54.0</v>
      </c>
      <c r="U8" s="169">
        <f t="shared" si="11"/>
        <v>488.581632</v>
      </c>
      <c r="V8" s="38" t="str">
        <f t="shared" si="12"/>
        <v/>
      </c>
      <c r="W8" s="38" t="str">
        <f t="shared" si="13"/>
        <v/>
      </c>
      <c r="X8" s="11"/>
      <c r="Y8" s="11"/>
      <c r="Z8" s="11"/>
      <c r="AA8" s="11"/>
    </row>
    <row r="9" ht="13.5" customHeight="1" outlineLevel="1">
      <c r="A9" s="151"/>
      <c r="B9" s="194" t="s">
        <v>53</v>
      </c>
      <c r="C9" s="195">
        <v>0.028</v>
      </c>
      <c r="D9" s="87">
        <v>0.145</v>
      </c>
      <c r="E9" s="88">
        <v>2.4</v>
      </c>
      <c r="F9" s="156">
        <f t="shared" si="1"/>
        <v>0.009744</v>
      </c>
      <c r="G9" s="156">
        <f t="shared" si="2"/>
        <v>0.348</v>
      </c>
      <c r="H9" s="157">
        <v>745.69</v>
      </c>
      <c r="I9" s="158">
        <f t="shared" ref="I9:I10" si="14">ROUND(H9*1.058,0)</f>
        <v>789</v>
      </c>
      <c r="J9" s="159">
        <f t="shared" si="4"/>
        <v>9.227568</v>
      </c>
      <c r="K9" s="160">
        <f t="shared" si="5"/>
        <v>26.516</v>
      </c>
      <c r="L9" s="161">
        <f t="shared" si="6"/>
        <v>1057</v>
      </c>
      <c r="M9" s="162">
        <f t="shared" si="7"/>
        <v>10.299408</v>
      </c>
      <c r="N9" s="163">
        <f t="shared" si="8"/>
        <v>367.836</v>
      </c>
      <c r="O9" s="177"/>
      <c r="P9" s="165" t="str">
        <f t="shared" si="9"/>
        <v/>
      </c>
      <c r="Q9" s="166"/>
      <c r="R9" s="167"/>
      <c r="S9" s="155">
        <f t="shared" si="10"/>
        <v>0</v>
      </c>
      <c r="T9" s="168">
        <v>1057.0</v>
      </c>
      <c r="U9" s="169">
        <f t="shared" si="11"/>
        <v>9753.539376</v>
      </c>
      <c r="V9" s="38" t="str">
        <f t="shared" si="12"/>
        <v/>
      </c>
      <c r="W9" s="38" t="str">
        <f t="shared" si="13"/>
        <v/>
      </c>
      <c r="X9" s="11"/>
      <c r="Y9" s="11"/>
      <c r="Z9" s="11"/>
      <c r="AA9" s="11"/>
    </row>
    <row r="10" ht="13.5" customHeight="1" outlineLevel="1">
      <c r="A10" s="151"/>
      <c r="B10" s="194" t="s">
        <v>53</v>
      </c>
      <c r="C10" s="153">
        <v>0.028</v>
      </c>
      <c r="D10" s="196">
        <v>0.145</v>
      </c>
      <c r="E10" s="197">
        <v>3.0</v>
      </c>
      <c r="F10" s="156">
        <f t="shared" si="1"/>
        <v>0.01218</v>
      </c>
      <c r="G10" s="156">
        <f t="shared" si="2"/>
        <v>0.435</v>
      </c>
      <c r="H10" s="157">
        <v>745.69</v>
      </c>
      <c r="I10" s="158">
        <f t="shared" si="14"/>
        <v>789</v>
      </c>
      <c r="J10" s="159">
        <f t="shared" si="4"/>
        <v>11.53446</v>
      </c>
      <c r="K10" s="160">
        <f t="shared" si="5"/>
        <v>26.516</v>
      </c>
      <c r="L10" s="161">
        <f t="shared" si="6"/>
        <v>766</v>
      </c>
      <c r="M10" s="162">
        <f t="shared" si="7"/>
        <v>9.32988</v>
      </c>
      <c r="N10" s="163">
        <f t="shared" si="8"/>
        <v>333.21</v>
      </c>
      <c r="O10" s="198"/>
      <c r="P10" s="165" t="str">
        <f t="shared" si="9"/>
        <v/>
      </c>
      <c r="Q10" s="172"/>
      <c r="R10" s="199"/>
      <c r="S10" s="155">
        <f t="shared" si="10"/>
        <v>0</v>
      </c>
      <c r="T10" s="168">
        <v>766.0</v>
      </c>
      <c r="U10" s="169">
        <f t="shared" si="11"/>
        <v>8835.39636</v>
      </c>
      <c r="V10" s="38" t="str">
        <f t="shared" si="12"/>
        <v/>
      </c>
      <c r="W10" s="38" t="str">
        <f t="shared" si="13"/>
        <v/>
      </c>
      <c r="X10" s="11"/>
      <c r="Y10" s="11"/>
      <c r="Z10" s="11"/>
      <c r="AA10" s="11"/>
    </row>
    <row r="11" ht="13.5" customHeight="1" outlineLevel="1">
      <c r="A11" s="151"/>
      <c r="B11" s="200" t="s">
        <v>54</v>
      </c>
      <c r="C11" s="195">
        <v>0.028</v>
      </c>
      <c r="D11" s="87">
        <v>0.145</v>
      </c>
      <c r="E11" s="88">
        <v>3.0</v>
      </c>
      <c r="F11" s="156">
        <f t="shared" si="1"/>
        <v>0.01218</v>
      </c>
      <c r="G11" s="156">
        <f t="shared" si="2"/>
        <v>0.435</v>
      </c>
      <c r="H11" s="157">
        <v>399.29</v>
      </c>
      <c r="I11" s="158">
        <f t="shared" ref="I11:I12" si="15">ROUND(H11*1.025,0)</f>
        <v>409</v>
      </c>
      <c r="J11" s="159">
        <f>ROUND((I11*0.74)*1.21,0)*(C11*D11*E11)</f>
        <v>4.45788</v>
      </c>
      <c r="K11" s="160">
        <f t="shared" si="5"/>
        <v>10.248</v>
      </c>
      <c r="L11" s="161">
        <f t="shared" si="6"/>
        <v>52</v>
      </c>
      <c r="M11" s="162">
        <f t="shared" si="7"/>
        <v>0.63336</v>
      </c>
      <c r="N11" s="163">
        <f t="shared" si="8"/>
        <v>22.62</v>
      </c>
      <c r="O11" s="164"/>
      <c r="P11" s="165" t="str">
        <f t="shared" si="9"/>
        <v/>
      </c>
      <c r="Q11" s="166"/>
      <c r="R11" s="167"/>
      <c r="S11" s="155">
        <f t="shared" si="10"/>
        <v>0</v>
      </c>
      <c r="T11" s="168">
        <v>52.0</v>
      </c>
      <c r="U11" s="169">
        <f t="shared" si="11"/>
        <v>231.80976</v>
      </c>
      <c r="V11" s="38" t="str">
        <f t="shared" si="12"/>
        <v/>
      </c>
      <c r="W11" s="38" t="str">
        <f t="shared" si="13"/>
        <v/>
      </c>
      <c r="X11" s="11"/>
      <c r="Y11" s="11"/>
      <c r="Z11" s="11"/>
      <c r="AA11" s="11"/>
    </row>
    <row r="12" ht="13.5" customHeight="1" outlineLevel="1">
      <c r="A12" s="151"/>
      <c r="B12" s="200" t="s">
        <v>54</v>
      </c>
      <c r="C12" s="195">
        <v>0.028</v>
      </c>
      <c r="D12" s="87">
        <v>0.145</v>
      </c>
      <c r="E12" s="88">
        <v>3.6</v>
      </c>
      <c r="F12" s="156">
        <f t="shared" si="1"/>
        <v>0.014616</v>
      </c>
      <c r="G12" s="156">
        <f t="shared" si="2"/>
        <v>0.522</v>
      </c>
      <c r="H12" s="157">
        <v>399.29</v>
      </c>
      <c r="I12" s="158">
        <f t="shared" si="15"/>
        <v>409</v>
      </c>
      <c r="J12" s="159">
        <f>ROUND((I12*0.83)*1.21,0)*(C12*D12*E12)</f>
        <v>6.007176</v>
      </c>
      <c r="K12" s="160">
        <f t="shared" si="5"/>
        <v>11.508</v>
      </c>
      <c r="L12" s="161">
        <f t="shared" si="6"/>
        <v>40</v>
      </c>
      <c r="M12" s="162">
        <f t="shared" si="7"/>
        <v>0.58464</v>
      </c>
      <c r="N12" s="163">
        <f t="shared" si="8"/>
        <v>20.88</v>
      </c>
      <c r="O12" s="201"/>
      <c r="P12" s="165" t="str">
        <f t="shared" si="9"/>
        <v/>
      </c>
      <c r="Q12" s="172"/>
      <c r="R12" s="167"/>
      <c r="S12" s="155">
        <f t="shared" si="10"/>
        <v>0</v>
      </c>
      <c r="T12" s="168">
        <v>40.0</v>
      </c>
      <c r="U12" s="169">
        <f t="shared" si="11"/>
        <v>240.28704</v>
      </c>
      <c r="V12" s="38" t="str">
        <f t="shared" si="12"/>
        <v/>
      </c>
      <c r="W12" s="38" t="str">
        <f t="shared" si="13"/>
        <v/>
      </c>
      <c r="X12" s="11"/>
      <c r="Y12" s="11"/>
      <c r="Z12" s="11"/>
      <c r="AA12" s="11"/>
    </row>
    <row r="13" ht="13.5" customHeight="1" outlineLevel="1">
      <c r="A13" s="151"/>
      <c r="B13" s="152"/>
      <c r="C13" s="153">
        <v>0.028</v>
      </c>
      <c r="D13" s="170">
        <v>0.145</v>
      </c>
      <c r="E13" s="155">
        <v>6.0</v>
      </c>
      <c r="F13" s="173">
        <f t="shared" si="1"/>
        <v>0.02436</v>
      </c>
      <c r="G13" s="173">
        <f t="shared" si="2"/>
        <v>0.87</v>
      </c>
      <c r="H13" s="157">
        <v>399.29</v>
      </c>
      <c r="I13" s="158">
        <f>ROUND(H13*1.1357,0)</f>
        <v>453</v>
      </c>
      <c r="J13" s="159">
        <f>ROUND((I13*0.992)*1.21,0)*(C13*D13*E13)</f>
        <v>13.25184</v>
      </c>
      <c r="K13" s="174">
        <f t="shared" si="5"/>
        <v>15.232</v>
      </c>
      <c r="L13" s="161">
        <f t="shared" si="6"/>
        <v>43</v>
      </c>
      <c r="M13" s="162">
        <f t="shared" si="7"/>
        <v>1.04748</v>
      </c>
      <c r="N13" s="175">
        <f t="shared" si="8"/>
        <v>37.41</v>
      </c>
      <c r="O13" s="202"/>
      <c r="P13" s="165" t="str">
        <f t="shared" si="9"/>
        <v/>
      </c>
      <c r="Q13" s="176"/>
      <c r="R13" s="167"/>
      <c r="S13" s="155">
        <f t="shared" si="10"/>
        <v>0</v>
      </c>
      <c r="T13" s="168">
        <v>43.0</v>
      </c>
      <c r="U13" s="169">
        <f t="shared" si="11"/>
        <v>569.82912</v>
      </c>
      <c r="V13" s="38" t="str">
        <f t="shared" si="12"/>
        <v/>
      </c>
      <c r="W13" s="38" t="str">
        <f t="shared" si="13"/>
        <v/>
      </c>
      <c r="X13" s="11"/>
      <c r="Y13" s="11"/>
      <c r="Z13" s="11"/>
      <c r="AA13" s="11"/>
    </row>
    <row r="14" ht="13.5" customHeight="1" outlineLevel="1">
      <c r="A14" s="151"/>
      <c r="B14" s="200" t="s">
        <v>54</v>
      </c>
      <c r="C14" s="195">
        <v>0.028</v>
      </c>
      <c r="D14" s="87">
        <v>0.145</v>
      </c>
      <c r="E14" s="88">
        <v>6.0</v>
      </c>
      <c r="F14" s="156">
        <f t="shared" si="1"/>
        <v>0.02436</v>
      </c>
      <c r="G14" s="156">
        <f t="shared" si="2"/>
        <v>0.87</v>
      </c>
      <c r="H14" s="157">
        <v>399.29</v>
      </c>
      <c r="I14" s="158">
        <f>ROUND(H14*1.025,0)</f>
        <v>409</v>
      </c>
      <c r="J14" s="159">
        <f>ROUND((I14*0.83)*1.21,0)*(C14*D14*E14)</f>
        <v>10.01196</v>
      </c>
      <c r="K14" s="160">
        <f t="shared" si="5"/>
        <v>11.508</v>
      </c>
      <c r="L14" s="161">
        <f t="shared" si="6"/>
        <v>72</v>
      </c>
      <c r="M14" s="162">
        <f t="shared" si="7"/>
        <v>1.75392</v>
      </c>
      <c r="N14" s="163">
        <f t="shared" si="8"/>
        <v>62.64</v>
      </c>
      <c r="O14" s="203"/>
      <c r="P14" s="165" t="str">
        <f t="shared" si="9"/>
        <v/>
      </c>
      <c r="Q14" s="172"/>
      <c r="R14" s="167"/>
      <c r="S14" s="155">
        <f t="shared" si="10"/>
        <v>0</v>
      </c>
      <c r="T14" s="168">
        <v>72.0</v>
      </c>
      <c r="U14" s="169">
        <f t="shared" si="11"/>
        <v>720.86112</v>
      </c>
      <c r="V14" s="38" t="str">
        <f t="shared" si="12"/>
        <v/>
      </c>
      <c r="W14" s="38" t="str">
        <f t="shared" si="13"/>
        <v/>
      </c>
      <c r="X14" s="11"/>
      <c r="Y14" s="11"/>
      <c r="Z14" s="11"/>
      <c r="AA14" s="11"/>
    </row>
    <row r="15" ht="13.5" customHeight="1" outlineLevel="1">
      <c r="A15" s="151"/>
      <c r="B15" s="200" t="s">
        <v>55</v>
      </c>
      <c r="C15" s="195">
        <v>0.03</v>
      </c>
      <c r="D15" s="87">
        <v>0.1</v>
      </c>
      <c r="E15" s="88">
        <v>3.0</v>
      </c>
      <c r="F15" s="156">
        <f t="shared" si="1"/>
        <v>0.009</v>
      </c>
      <c r="G15" s="156">
        <f t="shared" si="2"/>
        <v>0.3</v>
      </c>
      <c r="H15" s="157">
        <v>400.75</v>
      </c>
      <c r="I15" s="158">
        <f>ROUND(H15*1.09,0)</f>
        <v>437</v>
      </c>
      <c r="J15" s="159">
        <f>ROUND((I15*0.91)*1.21,0)*(C15*D15*E15)</f>
        <v>4.329</v>
      </c>
      <c r="K15" s="160">
        <f t="shared" si="5"/>
        <v>14.43</v>
      </c>
      <c r="L15" s="161">
        <f t="shared" si="6"/>
        <v>184</v>
      </c>
      <c r="M15" s="162">
        <f t="shared" si="7"/>
        <v>1.656</v>
      </c>
      <c r="N15" s="163">
        <f t="shared" si="8"/>
        <v>55.2</v>
      </c>
      <c r="O15" s="203"/>
      <c r="P15" s="165" t="str">
        <f t="shared" si="9"/>
        <v/>
      </c>
      <c r="Q15" s="172"/>
      <c r="R15" s="167"/>
      <c r="S15" s="155">
        <f t="shared" si="10"/>
        <v>0</v>
      </c>
      <c r="T15" s="168">
        <v>184.0</v>
      </c>
      <c r="U15" s="169">
        <f t="shared" si="11"/>
        <v>796.536</v>
      </c>
      <c r="V15" s="38" t="str">
        <f t="shared" si="12"/>
        <v/>
      </c>
      <c r="W15" s="38" t="str">
        <f t="shared" si="13"/>
        <v/>
      </c>
      <c r="X15" s="11"/>
      <c r="Y15" s="11"/>
      <c r="Z15" s="11"/>
      <c r="AA15" s="11"/>
    </row>
    <row r="16" ht="13.5" customHeight="1" outlineLevel="1">
      <c r="A16" s="151"/>
      <c r="B16" s="200" t="s">
        <v>54</v>
      </c>
      <c r="C16" s="195">
        <v>0.03</v>
      </c>
      <c r="D16" s="87">
        <v>0.1</v>
      </c>
      <c r="E16" s="88">
        <v>6.0</v>
      </c>
      <c r="F16" s="156">
        <f t="shared" si="1"/>
        <v>0.018</v>
      </c>
      <c r="G16" s="156">
        <f t="shared" si="2"/>
        <v>0.6</v>
      </c>
      <c r="H16" s="157">
        <v>400.75</v>
      </c>
      <c r="I16" s="158">
        <f t="shared" ref="I16:I19" si="16">ROUND(H16*1.025,0)</f>
        <v>411</v>
      </c>
      <c r="J16" s="159">
        <f t="shared" ref="J16:J19" si="17">ROUND((I16*0.83)*1.21,0)*(C16*D16*E16)</f>
        <v>7.434</v>
      </c>
      <c r="K16" s="160">
        <f t="shared" si="5"/>
        <v>12.39</v>
      </c>
      <c r="L16" s="161">
        <f t="shared" si="6"/>
        <v>45</v>
      </c>
      <c r="M16" s="162">
        <f t="shared" si="7"/>
        <v>0.81</v>
      </c>
      <c r="N16" s="163">
        <f t="shared" si="8"/>
        <v>27</v>
      </c>
      <c r="O16" s="203"/>
      <c r="P16" s="165" t="str">
        <f t="shared" si="9"/>
        <v/>
      </c>
      <c r="Q16" s="172"/>
      <c r="R16" s="167"/>
      <c r="S16" s="155">
        <f t="shared" si="10"/>
        <v>0</v>
      </c>
      <c r="T16" s="168">
        <v>45.0</v>
      </c>
      <c r="U16" s="169">
        <f t="shared" si="11"/>
        <v>334.53</v>
      </c>
      <c r="V16" s="38" t="str">
        <f t="shared" si="12"/>
        <v/>
      </c>
      <c r="W16" s="38" t="str">
        <f t="shared" si="13"/>
        <v/>
      </c>
      <c r="X16" s="11"/>
      <c r="Y16" s="11"/>
      <c r="Z16" s="11"/>
      <c r="AA16" s="11"/>
    </row>
    <row r="17" ht="13.5" customHeight="1" outlineLevel="1">
      <c r="A17" s="151"/>
      <c r="B17" s="200" t="s">
        <v>54</v>
      </c>
      <c r="C17" s="195">
        <v>0.03</v>
      </c>
      <c r="D17" s="87">
        <v>0.12</v>
      </c>
      <c r="E17" s="88">
        <v>3.6</v>
      </c>
      <c r="F17" s="156">
        <f t="shared" si="1"/>
        <v>0.01296</v>
      </c>
      <c r="G17" s="156">
        <f t="shared" si="2"/>
        <v>0.432</v>
      </c>
      <c r="H17" s="157">
        <v>398.18</v>
      </c>
      <c r="I17" s="158">
        <f t="shared" si="16"/>
        <v>408</v>
      </c>
      <c r="J17" s="159">
        <f t="shared" si="17"/>
        <v>5.3136</v>
      </c>
      <c r="K17" s="160">
        <f t="shared" si="5"/>
        <v>12.3</v>
      </c>
      <c r="L17" s="161">
        <f t="shared" si="6"/>
        <v>102</v>
      </c>
      <c r="M17" s="162">
        <f t="shared" si="7"/>
        <v>1.32192</v>
      </c>
      <c r="N17" s="163">
        <f t="shared" si="8"/>
        <v>44.064</v>
      </c>
      <c r="O17" s="204"/>
      <c r="P17" s="165" t="str">
        <f t="shared" si="9"/>
        <v/>
      </c>
      <c r="Q17" s="166"/>
      <c r="R17" s="167"/>
      <c r="S17" s="155">
        <f t="shared" si="10"/>
        <v>0</v>
      </c>
      <c r="T17" s="168">
        <v>102.0</v>
      </c>
      <c r="U17" s="169">
        <f t="shared" si="11"/>
        <v>541.9872</v>
      </c>
      <c r="V17" s="38" t="str">
        <f t="shared" si="12"/>
        <v/>
      </c>
      <c r="W17" s="38" t="str">
        <f t="shared" si="13"/>
        <v/>
      </c>
      <c r="X17" s="11"/>
      <c r="Y17" s="11"/>
      <c r="Z17" s="11"/>
      <c r="AA17" s="11"/>
    </row>
    <row r="18" ht="13.5" customHeight="1" outlineLevel="1">
      <c r="A18" s="151"/>
      <c r="B18" s="200" t="s">
        <v>54</v>
      </c>
      <c r="C18" s="195">
        <v>0.03</v>
      </c>
      <c r="D18" s="87">
        <v>0.12</v>
      </c>
      <c r="E18" s="88">
        <v>4.8</v>
      </c>
      <c r="F18" s="156">
        <f t="shared" si="1"/>
        <v>0.01728</v>
      </c>
      <c r="G18" s="156">
        <f t="shared" si="2"/>
        <v>0.576</v>
      </c>
      <c r="H18" s="157">
        <v>396.34</v>
      </c>
      <c r="I18" s="158">
        <f t="shared" si="16"/>
        <v>406</v>
      </c>
      <c r="J18" s="159">
        <f t="shared" si="17"/>
        <v>7.05024</v>
      </c>
      <c r="K18" s="160">
        <f t="shared" si="5"/>
        <v>12.24</v>
      </c>
      <c r="L18" s="161">
        <f t="shared" si="6"/>
        <v>62</v>
      </c>
      <c r="M18" s="162">
        <f t="shared" si="7"/>
        <v>1.07136</v>
      </c>
      <c r="N18" s="163">
        <f t="shared" si="8"/>
        <v>35.712</v>
      </c>
      <c r="O18" s="203"/>
      <c r="P18" s="165" t="str">
        <f t="shared" si="9"/>
        <v/>
      </c>
      <c r="Q18" s="172"/>
      <c r="R18" s="167"/>
      <c r="S18" s="155">
        <f t="shared" si="10"/>
        <v>0</v>
      </c>
      <c r="T18" s="168">
        <v>62.0</v>
      </c>
      <c r="U18" s="169">
        <f t="shared" si="11"/>
        <v>437.11488</v>
      </c>
      <c r="V18" s="38" t="str">
        <f t="shared" si="12"/>
        <v/>
      </c>
      <c r="W18" s="38" t="str">
        <f t="shared" si="13"/>
        <v/>
      </c>
      <c r="X18" s="11"/>
      <c r="Y18" s="11"/>
      <c r="Z18" s="11"/>
      <c r="AA18" s="11"/>
    </row>
    <row r="19" ht="13.5" customHeight="1" outlineLevel="1">
      <c r="A19" s="151"/>
      <c r="B19" s="200" t="s">
        <v>54</v>
      </c>
      <c r="C19" s="195">
        <v>0.03</v>
      </c>
      <c r="D19" s="87">
        <v>0.14</v>
      </c>
      <c r="E19" s="88">
        <v>3.6</v>
      </c>
      <c r="F19" s="156">
        <f t="shared" si="1"/>
        <v>0.01512</v>
      </c>
      <c r="G19" s="156">
        <f t="shared" si="2"/>
        <v>0.504</v>
      </c>
      <c r="H19" s="157">
        <v>396.34</v>
      </c>
      <c r="I19" s="158">
        <f t="shared" si="16"/>
        <v>406</v>
      </c>
      <c r="J19" s="159">
        <f t="shared" si="17"/>
        <v>6.16896</v>
      </c>
      <c r="K19" s="160">
        <f t="shared" si="5"/>
        <v>12.24</v>
      </c>
      <c r="L19" s="205">
        <v>110.0</v>
      </c>
      <c r="M19" s="162">
        <f t="shared" si="7"/>
        <v>1.6632</v>
      </c>
      <c r="N19" s="163">
        <f t="shared" si="8"/>
        <v>55.44</v>
      </c>
      <c r="O19" s="202"/>
      <c r="P19" s="165" t="str">
        <f t="shared" si="9"/>
        <v/>
      </c>
      <c r="Q19" s="166"/>
      <c r="R19" s="167"/>
      <c r="S19" s="155">
        <f t="shared" si="10"/>
        <v>0</v>
      </c>
      <c r="T19" s="168">
        <v>146.0</v>
      </c>
      <c r="U19" s="169">
        <f t="shared" si="11"/>
        <v>678.5856</v>
      </c>
      <c r="V19" s="38" t="str">
        <f t="shared" si="12"/>
        <v/>
      </c>
      <c r="W19" s="38" t="str">
        <f t="shared" si="13"/>
        <v/>
      </c>
      <c r="X19" s="11"/>
      <c r="Y19" s="11"/>
      <c r="Z19" s="11"/>
      <c r="AA19" s="11"/>
    </row>
    <row r="20" ht="13.5" customHeight="1" outlineLevel="1">
      <c r="A20" s="151"/>
      <c r="B20" s="152"/>
      <c r="C20" s="153">
        <v>0.03</v>
      </c>
      <c r="D20" s="170">
        <v>0.145</v>
      </c>
      <c r="E20" s="155">
        <v>3.6</v>
      </c>
      <c r="F20" s="156">
        <f t="shared" si="1"/>
        <v>0.01566</v>
      </c>
      <c r="G20" s="156">
        <f t="shared" si="2"/>
        <v>0.522</v>
      </c>
      <c r="H20" s="157">
        <v>395.96</v>
      </c>
      <c r="I20" s="158">
        <f>ROUND(H20*1.1667,0)</f>
        <v>462</v>
      </c>
      <c r="J20" s="159">
        <f>ROUND((I20*0.992)*1.21,0)*(C20*D20*E20)</f>
        <v>8.6913</v>
      </c>
      <c r="K20" s="160">
        <f t="shared" si="5"/>
        <v>16.65</v>
      </c>
      <c r="L20" s="161">
        <f t="shared" ref="L20:L28" si="18">T20+R20-O20</f>
        <v>10</v>
      </c>
      <c r="M20" s="162">
        <f t="shared" si="7"/>
        <v>0.1566</v>
      </c>
      <c r="N20" s="206">
        <f t="shared" si="8"/>
        <v>5.22</v>
      </c>
      <c r="O20" s="171"/>
      <c r="P20" s="165" t="str">
        <f t="shared" si="9"/>
        <v/>
      </c>
      <c r="Q20" s="166"/>
      <c r="R20" s="167"/>
      <c r="S20" s="155">
        <f t="shared" si="10"/>
        <v>0</v>
      </c>
      <c r="T20" s="168">
        <v>10.0</v>
      </c>
      <c r="U20" s="169">
        <f t="shared" si="11"/>
        <v>86.913</v>
      </c>
      <c r="V20" s="38" t="str">
        <f t="shared" si="12"/>
        <v/>
      </c>
      <c r="W20" s="38" t="str">
        <f t="shared" si="13"/>
        <v/>
      </c>
      <c r="X20" s="11"/>
      <c r="Y20" s="11"/>
      <c r="Z20" s="11"/>
      <c r="AA20" s="11"/>
    </row>
    <row r="21" ht="13.5" customHeight="1" outlineLevel="1">
      <c r="A21" s="151"/>
      <c r="B21" s="200" t="s">
        <v>54</v>
      </c>
      <c r="C21" s="195">
        <v>0.03</v>
      </c>
      <c r="D21" s="87">
        <v>0.145</v>
      </c>
      <c r="E21" s="88">
        <v>3.6</v>
      </c>
      <c r="F21" s="156">
        <f t="shared" si="1"/>
        <v>0.01566</v>
      </c>
      <c r="G21" s="156">
        <f t="shared" si="2"/>
        <v>0.522</v>
      </c>
      <c r="H21" s="157">
        <v>395.96</v>
      </c>
      <c r="I21" s="158">
        <f>ROUND(H21*1.025,0)</f>
        <v>406</v>
      </c>
      <c r="J21" s="159">
        <f>ROUND((I21*0.83)*1.21,0)*(C21*D21*E21)</f>
        <v>6.38928</v>
      </c>
      <c r="K21" s="160">
        <f t="shared" si="5"/>
        <v>12.24</v>
      </c>
      <c r="L21" s="161">
        <f t="shared" si="18"/>
        <v>97</v>
      </c>
      <c r="M21" s="162">
        <f t="shared" si="7"/>
        <v>1.51902</v>
      </c>
      <c r="N21" s="163">
        <f t="shared" si="8"/>
        <v>50.634</v>
      </c>
      <c r="O21" s="207"/>
      <c r="P21" s="165" t="str">
        <f t="shared" si="9"/>
        <v/>
      </c>
      <c r="Q21" s="172"/>
      <c r="R21" s="167"/>
      <c r="S21" s="155">
        <f t="shared" si="10"/>
        <v>0</v>
      </c>
      <c r="T21" s="168">
        <v>97.0</v>
      </c>
      <c r="U21" s="169">
        <f t="shared" si="11"/>
        <v>619.76016</v>
      </c>
      <c r="V21" s="38" t="str">
        <f t="shared" si="12"/>
        <v/>
      </c>
      <c r="W21" s="38" t="str">
        <f t="shared" si="13"/>
        <v/>
      </c>
      <c r="X21" s="11"/>
      <c r="Y21" s="11"/>
      <c r="Z21" s="11"/>
      <c r="AA21" s="11"/>
    </row>
    <row r="22" ht="13.5" customHeight="1" outlineLevel="1">
      <c r="A22" s="151"/>
      <c r="B22" s="152"/>
      <c r="C22" s="153">
        <v>0.03</v>
      </c>
      <c r="D22" s="170">
        <v>0.145</v>
      </c>
      <c r="E22" s="155">
        <v>4.8</v>
      </c>
      <c r="F22" s="156">
        <f t="shared" si="1"/>
        <v>0.02088</v>
      </c>
      <c r="G22" s="156">
        <f t="shared" si="2"/>
        <v>0.696</v>
      </c>
      <c r="H22" s="157">
        <v>395.96</v>
      </c>
      <c r="I22" s="158">
        <f>ROUND(H22*1.1667,0)</f>
        <v>462</v>
      </c>
      <c r="J22" s="159">
        <f>ROUND((I22*0.992)*1.21,0)*(C22*D22*E22)</f>
        <v>11.5884</v>
      </c>
      <c r="K22" s="160">
        <f t="shared" si="5"/>
        <v>16.65</v>
      </c>
      <c r="L22" s="161">
        <f t="shared" si="18"/>
        <v>44</v>
      </c>
      <c r="M22" s="162">
        <f t="shared" si="7"/>
        <v>0.91872</v>
      </c>
      <c r="N22" s="163">
        <f t="shared" si="8"/>
        <v>30.624</v>
      </c>
      <c r="O22" s="202"/>
      <c r="P22" s="165" t="str">
        <f t="shared" si="9"/>
        <v/>
      </c>
      <c r="Q22" s="166"/>
      <c r="R22" s="167"/>
      <c r="S22" s="155">
        <f t="shared" si="10"/>
        <v>0</v>
      </c>
      <c r="T22" s="168">
        <v>44.0</v>
      </c>
      <c r="U22" s="169">
        <f t="shared" si="11"/>
        <v>509.8896</v>
      </c>
      <c r="V22" s="38" t="str">
        <f t="shared" si="12"/>
        <v/>
      </c>
      <c r="W22" s="38" t="str">
        <f t="shared" si="13"/>
        <v/>
      </c>
      <c r="X22" s="11"/>
      <c r="Y22" s="11"/>
      <c r="Z22" s="11"/>
      <c r="AA22" s="11"/>
    </row>
    <row r="23" ht="13.5" customHeight="1" outlineLevel="1">
      <c r="A23" s="151"/>
      <c r="B23" s="200" t="s">
        <v>54</v>
      </c>
      <c r="C23" s="195">
        <v>0.03</v>
      </c>
      <c r="D23" s="87">
        <v>0.145</v>
      </c>
      <c r="E23" s="88">
        <v>4.8</v>
      </c>
      <c r="F23" s="156">
        <f t="shared" si="1"/>
        <v>0.02088</v>
      </c>
      <c r="G23" s="156">
        <f t="shared" si="2"/>
        <v>0.696</v>
      </c>
      <c r="H23" s="157">
        <v>395.96</v>
      </c>
      <c r="I23" s="158">
        <f>ROUND(H23*1.025,0)</f>
        <v>406</v>
      </c>
      <c r="J23" s="159">
        <f>ROUND((I23*0.83)*1.21,0)*(C23*D23*E23)</f>
        <v>8.51904</v>
      </c>
      <c r="K23" s="160">
        <f t="shared" si="5"/>
        <v>12.24</v>
      </c>
      <c r="L23" s="161">
        <f t="shared" si="18"/>
        <v>221</v>
      </c>
      <c r="M23" s="162">
        <f t="shared" si="7"/>
        <v>4.61448</v>
      </c>
      <c r="N23" s="163">
        <f t="shared" si="8"/>
        <v>153.816</v>
      </c>
      <c r="O23" s="202"/>
      <c r="P23" s="165" t="str">
        <f t="shared" si="9"/>
        <v/>
      </c>
      <c r="Q23" s="172"/>
      <c r="R23" s="167"/>
      <c r="S23" s="155">
        <f t="shared" si="10"/>
        <v>0</v>
      </c>
      <c r="T23" s="168">
        <v>221.0</v>
      </c>
      <c r="U23" s="169">
        <f t="shared" si="11"/>
        <v>1882.70784</v>
      </c>
      <c r="V23" s="38" t="str">
        <f t="shared" si="12"/>
        <v/>
      </c>
      <c r="W23" s="38" t="str">
        <f t="shared" si="13"/>
        <v/>
      </c>
      <c r="X23" s="11"/>
      <c r="Y23" s="11"/>
      <c r="Z23" s="11"/>
      <c r="AA23" s="11"/>
    </row>
    <row r="24" ht="13.5" customHeight="1" outlineLevel="1">
      <c r="A24" s="151"/>
      <c r="B24" s="152"/>
      <c r="C24" s="153">
        <v>0.03</v>
      </c>
      <c r="D24" s="170">
        <v>0.145</v>
      </c>
      <c r="E24" s="155">
        <v>5.1</v>
      </c>
      <c r="F24" s="156">
        <f t="shared" si="1"/>
        <v>0.022185</v>
      </c>
      <c r="G24" s="156">
        <f t="shared" si="2"/>
        <v>0.7395</v>
      </c>
      <c r="H24" s="157">
        <v>395.96</v>
      </c>
      <c r="I24" s="158">
        <f>ROUND(H24*1.1667,0)</f>
        <v>462</v>
      </c>
      <c r="J24" s="159">
        <f>ROUND((I24*0.992)*1.21,0)*(C24*D24*E24)</f>
        <v>12.312675</v>
      </c>
      <c r="K24" s="160">
        <f t="shared" si="5"/>
        <v>16.65</v>
      </c>
      <c r="L24" s="161">
        <f t="shared" si="18"/>
        <v>224</v>
      </c>
      <c r="M24" s="162">
        <f t="shared" si="7"/>
        <v>4.96944</v>
      </c>
      <c r="N24" s="163">
        <f t="shared" si="8"/>
        <v>165.648</v>
      </c>
      <c r="O24" s="171"/>
      <c r="P24" s="165" t="str">
        <f t="shared" si="9"/>
        <v/>
      </c>
      <c r="Q24" s="166"/>
      <c r="R24" s="167"/>
      <c r="S24" s="155">
        <f t="shared" si="10"/>
        <v>0</v>
      </c>
      <c r="T24" s="168">
        <v>224.0</v>
      </c>
      <c r="U24" s="169">
        <f t="shared" si="11"/>
        <v>2758.0392</v>
      </c>
      <c r="V24" s="38" t="str">
        <f t="shared" si="12"/>
        <v/>
      </c>
      <c r="W24" s="38" t="str">
        <f t="shared" si="13"/>
        <v/>
      </c>
      <c r="X24" s="11"/>
      <c r="Y24" s="11"/>
      <c r="Z24" s="11"/>
      <c r="AA24" s="11"/>
    </row>
    <row r="25" ht="13.5" customHeight="1" outlineLevel="1">
      <c r="A25" s="151"/>
      <c r="B25" s="208" t="s">
        <v>55</v>
      </c>
      <c r="C25" s="153">
        <v>0.045</v>
      </c>
      <c r="D25" s="196">
        <v>0.12</v>
      </c>
      <c r="E25" s="197">
        <v>3.0</v>
      </c>
      <c r="F25" s="156">
        <f t="shared" si="1"/>
        <v>0.0162</v>
      </c>
      <c r="G25" s="156">
        <f t="shared" si="2"/>
        <v>0.36</v>
      </c>
      <c r="H25" s="157">
        <v>382.56</v>
      </c>
      <c r="I25" s="158">
        <f>ROUND(H25*1.09,0)</f>
        <v>417</v>
      </c>
      <c r="J25" s="159">
        <f>ROUND((I25*0.91)*1.21,0)*(C25*D25*E25)</f>
        <v>7.4358</v>
      </c>
      <c r="K25" s="160">
        <f t="shared" si="5"/>
        <v>20.655</v>
      </c>
      <c r="L25" s="161">
        <f t="shared" si="18"/>
        <v>805</v>
      </c>
      <c r="M25" s="162">
        <f t="shared" si="7"/>
        <v>13.041</v>
      </c>
      <c r="N25" s="163">
        <f t="shared" si="8"/>
        <v>289.8</v>
      </c>
      <c r="O25" s="209"/>
      <c r="P25" s="165" t="str">
        <f t="shared" si="9"/>
        <v/>
      </c>
      <c r="Q25" s="172"/>
      <c r="R25" s="199"/>
      <c r="S25" s="155">
        <f t="shared" si="10"/>
        <v>0</v>
      </c>
      <c r="T25" s="168">
        <v>805.0</v>
      </c>
      <c r="U25" s="169">
        <f t="shared" si="11"/>
        <v>5985.819</v>
      </c>
      <c r="V25" s="38" t="str">
        <f t="shared" si="12"/>
        <v/>
      </c>
      <c r="W25" s="38" t="str">
        <f t="shared" si="13"/>
        <v/>
      </c>
      <c r="X25" s="11"/>
      <c r="Y25" s="11"/>
      <c r="Z25" s="11"/>
      <c r="AA25" s="11"/>
    </row>
    <row r="26" ht="13.5" customHeight="1" outlineLevel="1">
      <c r="A26" s="151"/>
      <c r="B26" s="152"/>
      <c r="C26" s="153">
        <v>0.045</v>
      </c>
      <c r="D26" s="170">
        <v>0.145</v>
      </c>
      <c r="E26" s="155">
        <v>6.0</v>
      </c>
      <c r="F26" s="156">
        <f t="shared" si="1"/>
        <v>0.03915</v>
      </c>
      <c r="G26" s="156">
        <f t="shared" si="2"/>
        <v>0.87</v>
      </c>
      <c r="H26" s="157">
        <v>380.44</v>
      </c>
      <c r="I26" s="158">
        <f>ROUND(H26*1.1667,0)</f>
        <v>444</v>
      </c>
      <c r="J26" s="159">
        <f>ROUND((I26*0.992)*1.21,0)*(C26*D26*E26)</f>
        <v>20.86695</v>
      </c>
      <c r="K26" s="160">
        <f t="shared" si="5"/>
        <v>23.985</v>
      </c>
      <c r="L26" s="161">
        <f t="shared" si="18"/>
        <v>23</v>
      </c>
      <c r="M26" s="162">
        <f t="shared" si="7"/>
        <v>0.90045</v>
      </c>
      <c r="N26" s="163">
        <f t="shared" si="8"/>
        <v>20.01</v>
      </c>
      <c r="O26" s="171"/>
      <c r="P26" s="165" t="str">
        <f t="shared" si="9"/>
        <v/>
      </c>
      <c r="Q26" s="166"/>
      <c r="R26" s="167"/>
      <c r="S26" s="155">
        <f t="shared" si="10"/>
        <v>0</v>
      </c>
      <c r="T26" s="168">
        <v>23.0</v>
      </c>
      <c r="U26" s="169">
        <f t="shared" si="11"/>
        <v>479.93985</v>
      </c>
      <c r="V26" s="38" t="str">
        <f t="shared" si="12"/>
        <v/>
      </c>
      <c r="W26" s="38" t="str">
        <f t="shared" si="13"/>
        <v/>
      </c>
      <c r="X26" s="11"/>
      <c r="Y26" s="11"/>
      <c r="Z26" s="11"/>
      <c r="AA26" s="11"/>
    </row>
    <row r="27" ht="13.5" customHeight="1" outlineLevel="1">
      <c r="A27" s="151"/>
      <c r="B27" s="200" t="s">
        <v>54</v>
      </c>
      <c r="C27" s="195">
        <v>0.045</v>
      </c>
      <c r="D27" s="87">
        <v>0.145</v>
      </c>
      <c r="E27" s="88">
        <v>6.0</v>
      </c>
      <c r="F27" s="156">
        <f t="shared" si="1"/>
        <v>0.03915</v>
      </c>
      <c r="G27" s="156">
        <f t="shared" si="2"/>
        <v>0.87</v>
      </c>
      <c r="H27" s="157">
        <v>380.44</v>
      </c>
      <c r="I27" s="158">
        <f t="shared" ref="I27:I28" si="19">ROUND(H27*1.025,0)</f>
        <v>390</v>
      </c>
      <c r="J27" s="159">
        <f t="shared" ref="J27:J28" si="20">ROUND((I27*0.83)*1.21,0)*(C27*D27*E27)</f>
        <v>15.3468</v>
      </c>
      <c r="K27" s="160">
        <f t="shared" si="5"/>
        <v>17.64</v>
      </c>
      <c r="L27" s="161">
        <f t="shared" si="18"/>
        <v>138</v>
      </c>
      <c r="M27" s="162">
        <f t="shared" si="7"/>
        <v>5.4027</v>
      </c>
      <c r="N27" s="163">
        <f t="shared" si="8"/>
        <v>120.06</v>
      </c>
      <c r="O27" s="207"/>
      <c r="P27" s="165" t="str">
        <f t="shared" si="9"/>
        <v/>
      </c>
      <c r="Q27" s="172"/>
      <c r="R27" s="167"/>
      <c r="S27" s="155">
        <f t="shared" si="10"/>
        <v>0</v>
      </c>
      <c r="T27" s="168">
        <v>138.0</v>
      </c>
      <c r="U27" s="169">
        <f t="shared" si="11"/>
        <v>2117.8584</v>
      </c>
      <c r="V27" s="38" t="str">
        <f t="shared" si="12"/>
        <v/>
      </c>
      <c r="W27" s="38" t="str">
        <f t="shared" si="13"/>
        <v/>
      </c>
      <c r="X27" s="11"/>
      <c r="Y27" s="11"/>
      <c r="Z27" s="11"/>
      <c r="AA27" s="11"/>
    </row>
    <row r="28" ht="13.5" customHeight="1" outlineLevel="1">
      <c r="A28" s="151"/>
      <c r="B28" s="200" t="s">
        <v>54</v>
      </c>
      <c r="C28" s="195">
        <v>0.045</v>
      </c>
      <c r="D28" s="87">
        <v>0.195</v>
      </c>
      <c r="E28" s="88">
        <v>6.0</v>
      </c>
      <c r="F28" s="156">
        <f t="shared" si="1"/>
        <v>0.05265</v>
      </c>
      <c r="G28" s="156">
        <f t="shared" si="2"/>
        <v>1.17</v>
      </c>
      <c r="H28" s="157">
        <v>377.82</v>
      </c>
      <c r="I28" s="158">
        <f t="shared" si="19"/>
        <v>387</v>
      </c>
      <c r="J28" s="159">
        <f t="shared" si="20"/>
        <v>20.48085</v>
      </c>
      <c r="K28" s="160">
        <f t="shared" si="5"/>
        <v>17.505</v>
      </c>
      <c r="L28" s="161">
        <f t="shared" si="18"/>
        <v>11</v>
      </c>
      <c r="M28" s="162">
        <f t="shared" si="7"/>
        <v>0.57915</v>
      </c>
      <c r="N28" s="163">
        <f t="shared" si="8"/>
        <v>12.87</v>
      </c>
      <c r="O28" s="207"/>
      <c r="P28" s="165" t="str">
        <f t="shared" si="9"/>
        <v/>
      </c>
      <c r="Q28" s="172"/>
      <c r="R28" s="167"/>
      <c r="S28" s="155">
        <f t="shared" si="10"/>
        <v>0</v>
      </c>
      <c r="T28" s="168">
        <v>11.0</v>
      </c>
      <c r="U28" s="169">
        <f t="shared" si="11"/>
        <v>225.28935</v>
      </c>
      <c r="V28" s="38" t="str">
        <f t="shared" si="12"/>
        <v/>
      </c>
      <c r="W28" s="38" t="str">
        <f t="shared" si="13"/>
        <v/>
      </c>
      <c r="X28" s="11"/>
      <c r="Y28" s="11"/>
      <c r="Z28" s="11"/>
      <c r="AA28" s="11"/>
    </row>
    <row r="29" ht="13.5" customHeight="1">
      <c r="A29" s="151"/>
      <c r="B29" s="210" t="s">
        <v>56</v>
      </c>
      <c r="C29" s="211"/>
      <c r="D29" s="212"/>
      <c r="E29" s="211"/>
      <c r="F29" s="213"/>
      <c r="G29" s="213"/>
      <c r="H29" s="214">
        <f t="shared" ref="H29:I29" si="21">AVERAGE(H3:H28)</f>
        <v>423.7029567</v>
      </c>
      <c r="I29" s="215">
        <f t="shared" si="21"/>
        <v>458.6923077</v>
      </c>
      <c r="J29" s="216"/>
      <c r="K29" s="214">
        <f>AVERAGE(K3:K28)</f>
        <v>15.8135</v>
      </c>
      <c r="L29" s="217"/>
      <c r="M29" s="218">
        <f>SUM(M3:M28)</f>
        <v>80.37456</v>
      </c>
      <c r="N29" s="214"/>
      <c r="O29" s="219"/>
      <c r="P29" s="220">
        <f t="shared" ref="P29:Q29" si="22">SUM(P3:P28)</f>
        <v>0</v>
      </c>
      <c r="Q29" s="221">
        <f t="shared" si="22"/>
        <v>0</v>
      </c>
      <c r="R29" s="222"/>
      <c r="S29" s="223">
        <f>SUM(S3:S28)</f>
        <v>0</v>
      </c>
      <c r="T29" s="224"/>
      <c r="U29" s="225">
        <f>SUM(U3:U28)</f>
        <v>47799.71111</v>
      </c>
      <c r="V29" s="38" t="str">
        <f t="shared" si="12"/>
        <v/>
      </c>
      <c r="W29" s="38" t="str">
        <f t="shared" si="13"/>
        <v/>
      </c>
      <c r="X29" s="11"/>
      <c r="Y29" s="11"/>
      <c r="Z29" s="11"/>
      <c r="AA29" s="11"/>
    </row>
    <row r="30" ht="13.5" customHeight="1">
      <c r="A30" s="151"/>
      <c r="B30" s="226" t="s">
        <v>57</v>
      </c>
      <c r="C30" s="227"/>
      <c r="D30" s="227"/>
      <c r="E30" s="226"/>
      <c r="F30" s="228"/>
      <c r="G30" s="228"/>
      <c r="H30" s="229"/>
      <c r="I30" s="230"/>
      <c r="J30" s="231"/>
      <c r="K30" s="226"/>
      <c r="L30" s="226"/>
      <c r="M30" s="226"/>
      <c r="N30" s="232"/>
      <c r="O30" s="233"/>
      <c r="P30" s="234"/>
      <c r="Q30" s="235"/>
      <c r="R30" s="236"/>
      <c r="S30" s="226"/>
      <c r="T30" s="226"/>
      <c r="U30" s="237"/>
      <c r="V30" s="38" t="str">
        <f t="shared" si="12"/>
        <v/>
      </c>
      <c r="W30" s="38" t="str">
        <f t="shared" si="13"/>
        <v/>
      </c>
      <c r="X30" s="11"/>
      <c r="Y30" s="11"/>
      <c r="Z30" s="11"/>
      <c r="AA30" s="11"/>
    </row>
    <row r="31" ht="13.5" customHeight="1" outlineLevel="1">
      <c r="A31" s="151"/>
      <c r="B31" s="85"/>
      <c r="C31" s="238">
        <v>0.01</v>
      </c>
      <c r="D31" s="239">
        <v>0.15</v>
      </c>
      <c r="E31" s="165">
        <v>4.8</v>
      </c>
      <c r="F31" s="156">
        <f t="shared" ref="F31:F57" si="23">C31*D31*E31</f>
        <v>0.0072</v>
      </c>
      <c r="G31" s="156">
        <f t="shared" ref="G31:G57" si="24">D31*E31</f>
        <v>0.72</v>
      </c>
      <c r="H31" s="240">
        <v>488.69</v>
      </c>
      <c r="I31" s="158">
        <f>ROUND(H31*1.104,0)</f>
        <v>540</v>
      </c>
      <c r="J31" s="159">
        <f t="shared" ref="J31:J57" si="25">ROUND((I31*0.992)*1.21,0)*(C31*D31*E31)</f>
        <v>4.6656</v>
      </c>
      <c r="K31" s="160">
        <f t="shared" ref="K31:K57" si="26">J31/(D31*E31)</f>
        <v>6.48</v>
      </c>
      <c r="L31" s="161">
        <f t="shared" ref="L31:L57" si="27">T31+R31-O31</f>
        <v>151</v>
      </c>
      <c r="M31" s="241">
        <f t="shared" ref="M31:M57" si="28">L31*F31</f>
        <v>1.0872</v>
      </c>
      <c r="N31" s="163">
        <f t="shared" ref="N31:N57" si="29">L31*G31</f>
        <v>108.72</v>
      </c>
      <c r="O31" s="242">
        <v>15.0</v>
      </c>
      <c r="P31" s="165">
        <f t="shared" ref="P31:P35" si="30">IF(O31="","",(O31*F31))</f>
        <v>0.108</v>
      </c>
      <c r="Q31" s="166">
        <v>84.76</v>
      </c>
      <c r="R31" s="243"/>
      <c r="S31" s="165">
        <f t="shared" ref="S31:S57" si="31">R31*F31</f>
        <v>0</v>
      </c>
      <c r="T31" s="244">
        <v>166.0</v>
      </c>
      <c r="U31" s="169">
        <f t="shared" ref="U31:U57" si="32">J31*L31</f>
        <v>704.5056</v>
      </c>
      <c r="V31" s="38">
        <f t="shared" si="12"/>
        <v>31.98148</v>
      </c>
      <c r="W31" s="38">
        <f t="shared" si="13"/>
        <v>52.77852</v>
      </c>
      <c r="X31" s="11"/>
      <c r="Y31" s="11"/>
      <c r="Z31" s="11"/>
      <c r="AA31" s="11"/>
    </row>
    <row r="32" ht="13.5" customHeight="1" outlineLevel="1">
      <c r="A32" s="151"/>
      <c r="B32" s="85"/>
      <c r="C32" s="238">
        <v>0.01</v>
      </c>
      <c r="D32" s="239">
        <v>0.15</v>
      </c>
      <c r="E32" s="245">
        <v>5.1</v>
      </c>
      <c r="F32" s="156">
        <f t="shared" si="23"/>
        <v>0.00765</v>
      </c>
      <c r="G32" s="156">
        <f t="shared" si="24"/>
        <v>0.765</v>
      </c>
      <c r="H32" s="240">
        <v>488.69</v>
      </c>
      <c r="I32" s="158">
        <f>ROUND(H32*1.089,0)</f>
        <v>532</v>
      </c>
      <c r="J32" s="159">
        <f t="shared" si="25"/>
        <v>4.88835</v>
      </c>
      <c r="K32" s="160">
        <f t="shared" si="26"/>
        <v>6.39</v>
      </c>
      <c r="L32" s="161">
        <f t="shared" si="27"/>
        <v>22</v>
      </c>
      <c r="M32" s="241">
        <f t="shared" si="28"/>
        <v>0.1683</v>
      </c>
      <c r="N32" s="163">
        <f t="shared" si="29"/>
        <v>16.83</v>
      </c>
      <c r="O32" s="246">
        <v>2.0</v>
      </c>
      <c r="P32" s="165">
        <f t="shared" si="30"/>
        <v>0.0153</v>
      </c>
      <c r="Q32" s="166">
        <v>10.0</v>
      </c>
      <c r="R32" s="247"/>
      <c r="S32" s="165">
        <f t="shared" si="31"/>
        <v>0</v>
      </c>
      <c r="T32" s="244">
        <v>24.0</v>
      </c>
      <c r="U32" s="169">
        <f t="shared" si="32"/>
        <v>107.5437</v>
      </c>
      <c r="V32" s="38">
        <f t="shared" si="12"/>
        <v>2.523043</v>
      </c>
      <c r="W32" s="38">
        <f t="shared" si="13"/>
        <v>7.476957</v>
      </c>
      <c r="X32" s="11"/>
      <c r="Y32" s="11"/>
      <c r="Z32" s="11"/>
      <c r="AA32" s="11"/>
    </row>
    <row r="33" ht="13.5" customHeight="1" outlineLevel="1">
      <c r="A33" s="151"/>
      <c r="B33" s="248"/>
      <c r="C33" s="249">
        <v>0.012</v>
      </c>
      <c r="D33" s="170">
        <v>0.12</v>
      </c>
      <c r="E33" s="250">
        <v>4.5</v>
      </c>
      <c r="F33" s="156">
        <f t="shared" si="23"/>
        <v>0.00648</v>
      </c>
      <c r="G33" s="156">
        <f t="shared" si="24"/>
        <v>0.54</v>
      </c>
      <c r="H33" s="240">
        <v>615.0</v>
      </c>
      <c r="I33" s="158">
        <f t="shared" ref="I33:I39" si="33">ROUND(H33*1.1667,0)</f>
        <v>718</v>
      </c>
      <c r="J33" s="159">
        <f t="shared" si="25"/>
        <v>5.58576</v>
      </c>
      <c r="K33" s="160">
        <f t="shared" si="26"/>
        <v>10.344</v>
      </c>
      <c r="L33" s="161">
        <f t="shared" si="27"/>
        <v>616</v>
      </c>
      <c r="M33" s="241">
        <f t="shared" si="28"/>
        <v>3.99168</v>
      </c>
      <c r="N33" s="163">
        <f t="shared" si="29"/>
        <v>332.64</v>
      </c>
      <c r="O33" s="242"/>
      <c r="P33" s="165" t="str">
        <f t="shared" si="30"/>
        <v/>
      </c>
      <c r="Q33" s="166"/>
      <c r="R33" s="243"/>
      <c r="S33" s="165">
        <f t="shared" si="31"/>
        <v>0</v>
      </c>
      <c r="T33" s="244">
        <v>616.0</v>
      </c>
      <c r="U33" s="169">
        <f t="shared" si="32"/>
        <v>3440.82816</v>
      </c>
      <c r="V33" s="38" t="str">
        <f t="shared" si="12"/>
        <v/>
      </c>
      <c r="W33" s="38" t="str">
        <f t="shared" si="13"/>
        <v/>
      </c>
      <c r="X33" s="11"/>
      <c r="Y33" s="11"/>
      <c r="Z33" s="11"/>
      <c r="AA33" s="11"/>
    </row>
    <row r="34" ht="13.5" customHeight="1" outlineLevel="1">
      <c r="A34" s="151"/>
      <c r="B34" s="248"/>
      <c r="C34" s="249">
        <v>0.014</v>
      </c>
      <c r="D34" s="170">
        <v>0.09</v>
      </c>
      <c r="E34" s="250">
        <v>2.4</v>
      </c>
      <c r="F34" s="156">
        <f t="shared" si="23"/>
        <v>0.003024</v>
      </c>
      <c r="G34" s="156">
        <f t="shared" si="24"/>
        <v>0.216</v>
      </c>
      <c r="H34" s="240">
        <v>456.57</v>
      </c>
      <c r="I34" s="158">
        <f t="shared" si="33"/>
        <v>533</v>
      </c>
      <c r="J34" s="159">
        <f t="shared" si="25"/>
        <v>1.93536</v>
      </c>
      <c r="K34" s="160">
        <f t="shared" si="26"/>
        <v>8.96</v>
      </c>
      <c r="L34" s="161">
        <f t="shared" si="27"/>
        <v>99</v>
      </c>
      <c r="M34" s="241">
        <f t="shared" si="28"/>
        <v>0.299376</v>
      </c>
      <c r="N34" s="163">
        <f t="shared" si="29"/>
        <v>21.384</v>
      </c>
      <c r="O34" s="242"/>
      <c r="P34" s="165" t="str">
        <f t="shared" si="30"/>
        <v/>
      </c>
      <c r="Q34" s="166"/>
      <c r="R34" s="243"/>
      <c r="S34" s="165">
        <f t="shared" si="31"/>
        <v>0</v>
      </c>
      <c r="T34" s="244">
        <v>99.0</v>
      </c>
      <c r="U34" s="169">
        <f t="shared" si="32"/>
        <v>191.60064</v>
      </c>
      <c r="V34" s="38" t="str">
        <f t="shared" si="12"/>
        <v/>
      </c>
      <c r="W34" s="38" t="str">
        <f t="shared" si="13"/>
        <v/>
      </c>
      <c r="X34" s="11"/>
      <c r="Y34" s="11"/>
      <c r="Z34" s="11"/>
      <c r="AA34" s="11"/>
    </row>
    <row r="35" ht="13.5" customHeight="1" outlineLevel="1">
      <c r="A35" s="151"/>
      <c r="B35" s="248" t="s">
        <v>58</v>
      </c>
      <c r="C35" s="249">
        <v>0.014</v>
      </c>
      <c r="D35" s="170">
        <v>0.121</v>
      </c>
      <c r="E35" s="250">
        <v>4.8</v>
      </c>
      <c r="F35" s="156">
        <f t="shared" si="23"/>
        <v>0.0081312</v>
      </c>
      <c r="G35" s="156">
        <f t="shared" si="24"/>
        <v>0.5808</v>
      </c>
      <c r="H35" s="240">
        <v>445.0</v>
      </c>
      <c r="I35" s="158">
        <f t="shared" si="33"/>
        <v>519</v>
      </c>
      <c r="J35" s="159">
        <f t="shared" si="25"/>
        <v>5.0657376</v>
      </c>
      <c r="K35" s="160">
        <f t="shared" si="26"/>
        <v>8.722</v>
      </c>
      <c r="L35" s="161">
        <f t="shared" si="27"/>
        <v>58</v>
      </c>
      <c r="M35" s="241">
        <f t="shared" si="28"/>
        <v>0.4716096</v>
      </c>
      <c r="N35" s="163">
        <f t="shared" si="29"/>
        <v>33.6864</v>
      </c>
      <c r="O35" s="242">
        <v>110.0</v>
      </c>
      <c r="P35" s="165">
        <f t="shared" si="30"/>
        <v>0.894432</v>
      </c>
      <c r="Q35" s="166">
        <v>557.0</v>
      </c>
      <c r="R35" s="243"/>
      <c r="S35" s="165">
        <f t="shared" si="31"/>
        <v>0</v>
      </c>
      <c r="T35" s="244">
        <v>168.0</v>
      </c>
      <c r="U35" s="169">
        <f t="shared" si="32"/>
        <v>293.8127808</v>
      </c>
      <c r="V35" s="38">
        <f t="shared" si="12"/>
        <v>158.97776</v>
      </c>
      <c r="W35" s="38">
        <f t="shared" si="13"/>
        <v>398.02224</v>
      </c>
      <c r="X35" s="11"/>
      <c r="Y35" s="11"/>
      <c r="Z35" s="11"/>
      <c r="AA35" s="11"/>
    </row>
    <row r="36" ht="13.5" customHeight="1" outlineLevel="1">
      <c r="A36" s="151"/>
      <c r="B36" s="248" t="s">
        <v>59</v>
      </c>
      <c r="C36" s="249">
        <v>0.014</v>
      </c>
      <c r="D36" s="170">
        <v>0.121</v>
      </c>
      <c r="E36" s="250">
        <v>4.8</v>
      </c>
      <c r="F36" s="156">
        <f t="shared" si="23"/>
        <v>0.0081312</v>
      </c>
      <c r="G36" s="156">
        <f t="shared" si="24"/>
        <v>0.5808</v>
      </c>
      <c r="H36" s="240">
        <v>445.0</v>
      </c>
      <c r="I36" s="158">
        <f t="shared" si="33"/>
        <v>519</v>
      </c>
      <c r="J36" s="159">
        <f t="shared" si="25"/>
        <v>5.0657376</v>
      </c>
      <c r="K36" s="160">
        <f t="shared" si="26"/>
        <v>8.722</v>
      </c>
      <c r="L36" s="161">
        <f t="shared" si="27"/>
        <v>257</v>
      </c>
      <c r="M36" s="241">
        <f t="shared" si="28"/>
        <v>2.0897184</v>
      </c>
      <c r="N36" s="163">
        <f t="shared" si="29"/>
        <v>149.2656</v>
      </c>
      <c r="O36" s="242"/>
      <c r="P36" s="165"/>
      <c r="Q36" s="166"/>
      <c r="R36" s="243"/>
      <c r="S36" s="165">
        <f t="shared" si="31"/>
        <v>0</v>
      </c>
      <c r="T36" s="244">
        <v>257.0</v>
      </c>
      <c r="U36" s="169">
        <f t="shared" si="32"/>
        <v>1301.894563</v>
      </c>
      <c r="V36" s="38" t="str">
        <f t="shared" si="12"/>
        <v/>
      </c>
      <c r="W36" s="38" t="str">
        <f t="shared" si="13"/>
        <v/>
      </c>
      <c r="X36" s="11"/>
      <c r="Y36" s="11"/>
      <c r="Z36" s="11"/>
      <c r="AA36" s="11"/>
    </row>
    <row r="37" ht="13.5" customHeight="1" outlineLevel="1">
      <c r="A37" s="151"/>
      <c r="B37" s="248"/>
      <c r="C37" s="251">
        <v>0.018</v>
      </c>
      <c r="D37" s="170">
        <v>0.12</v>
      </c>
      <c r="E37" s="88">
        <v>4.5</v>
      </c>
      <c r="F37" s="156">
        <f t="shared" si="23"/>
        <v>0.00972</v>
      </c>
      <c r="G37" s="156">
        <f t="shared" si="24"/>
        <v>0.54</v>
      </c>
      <c r="H37" s="240">
        <v>450.0</v>
      </c>
      <c r="I37" s="158">
        <f t="shared" si="33"/>
        <v>525</v>
      </c>
      <c r="J37" s="159">
        <f t="shared" si="25"/>
        <v>6.1236</v>
      </c>
      <c r="K37" s="160">
        <f t="shared" si="26"/>
        <v>11.34</v>
      </c>
      <c r="L37" s="161">
        <f t="shared" si="27"/>
        <v>59</v>
      </c>
      <c r="M37" s="241">
        <f t="shared" si="28"/>
        <v>0.57348</v>
      </c>
      <c r="N37" s="163">
        <f t="shared" si="29"/>
        <v>31.86</v>
      </c>
      <c r="O37" s="242"/>
      <c r="P37" s="165" t="str">
        <f t="shared" ref="P37:P57" si="34">IF(O37="","",(O37*F37))</f>
        <v/>
      </c>
      <c r="Q37" s="166"/>
      <c r="R37" s="243"/>
      <c r="S37" s="165">
        <f t="shared" si="31"/>
        <v>0</v>
      </c>
      <c r="T37" s="244">
        <v>59.0</v>
      </c>
      <c r="U37" s="169">
        <f t="shared" si="32"/>
        <v>361.2924</v>
      </c>
      <c r="V37" s="38" t="str">
        <f t="shared" si="12"/>
        <v/>
      </c>
      <c r="W37" s="38" t="str">
        <f t="shared" si="13"/>
        <v/>
      </c>
      <c r="X37" s="11"/>
      <c r="Y37" s="11"/>
      <c r="Z37" s="11"/>
      <c r="AA37" s="11"/>
    </row>
    <row r="38" ht="13.5" customHeight="1" outlineLevel="1">
      <c r="A38" s="151"/>
      <c r="B38" s="248"/>
      <c r="C38" s="249">
        <v>0.018</v>
      </c>
      <c r="D38" s="170">
        <v>0.121</v>
      </c>
      <c r="E38" s="155">
        <v>3.9</v>
      </c>
      <c r="F38" s="156">
        <f t="shared" si="23"/>
        <v>0.0084942</v>
      </c>
      <c r="G38" s="156">
        <f t="shared" si="24"/>
        <v>0.4719</v>
      </c>
      <c r="H38" s="240">
        <v>477.5</v>
      </c>
      <c r="I38" s="158">
        <f t="shared" si="33"/>
        <v>557</v>
      </c>
      <c r="J38" s="159">
        <f t="shared" si="25"/>
        <v>5.6826198</v>
      </c>
      <c r="K38" s="160">
        <f t="shared" si="26"/>
        <v>12.042</v>
      </c>
      <c r="L38" s="161">
        <f t="shared" si="27"/>
        <v>148</v>
      </c>
      <c r="M38" s="241">
        <f t="shared" si="28"/>
        <v>1.2571416</v>
      </c>
      <c r="N38" s="163">
        <f t="shared" si="29"/>
        <v>69.8412</v>
      </c>
      <c r="O38" s="252"/>
      <c r="P38" s="165" t="str">
        <f t="shared" si="34"/>
        <v/>
      </c>
      <c r="Q38" s="172"/>
      <c r="R38" s="243"/>
      <c r="S38" s="165">
        <f t="shared" si="31"/>
        <v>0</v>
      </c>
      <c r="T38" s="244">
        <v>148.0</v>
      </c>
      <c r="U38" s="169">
        <f t="shared" si="32"/>
        <v>841.0277304</v>
      </c>
      <c r="V38" s="38" t="str">
        <f t="shared" si="12"/>
        <v/>
      </c>
      <c r="W38" s="38" t="str">
        <f t="shared" si="13"/>
        <v/>
      </c>
      <c r="X38" s="11"/>
      <c r="Y38" s="11"/>
      <c r="Z38" s="11"/>
      <c r="AA38" s="11"/>
    </row>
    <row r="39" ht="13.5" customHeight="1" outlineLevel="1">
      <c r="A39" s="151"/>
      <c r="B39" s="85"/>
      <c r="C39" s="238">
        <v>0.018</v>
      </c>
      <c r="D39" s="239">
        <v>0.145</v>
      </c>
      <c r="E39" s="245">
        <v>3.0</v>
      </c>
      <c r="F39" s="156">
        <f t="shared" si="23"/>
        <v>0.00783</v>
      </c>
      <c r="G39" s="156">
        <f t="shared" si="24"/>
        <v>0.435</v>
      </c>
      <c r="H39" s="240">
        <v>340.0</v>
      </c>
      <c r="I39" s="158">
        <f t="shared" si="33"/>
        <v>397</v>
      </c>
      <c r="J39" s="159">
        <f t="shared" si="25"/>
        <v>3.73491</v>
      </c>
      <c r="K39" s="160">
        <f t="shared" si="26"/>
        <v>8.586</v>
      </c>
      <c r="L39" s="161">
        <f t="shared" si="27"/>
        <v>0</v>
      </c>
      <c r="M39" s="241">
        <f t="shared" si="28"/>
        <v>0</v>
      </c>
      <c r="N39" s="206">
        <f t="shared" si="29"/>
        <v>0</v>
      </c>
      <c r="O39" s="242"/>
      <c r="P39" s="165" t="str">
        <f t="shared" si="34"/>
        <v/>
      </c>
      <c r="Q39" s="166"/>
      <c r="R39" s="243"/>
      <c r="S39" s="165">
        <f t="shared" si="31"/>
        <v>0</v>
      </c>
      <c r="T39" s="244">
        <v>0.0</v>
      </c>
      <c r="U39" s="169">
        <f t="shared" si="32"/>
        <v>0</v>
      </c>
      <c r="V39" s="38" t="str">
        <f t="shared" si="12"/>
        <v/>
      </c>
      <c r="W39" s="38" t="str">
        <f t="shared" si="13"/>
        <v/>
      </c>
      <c r="X39" s="253"/>
      <c r="Y39" s="11"/>
      <c r="Z39" s="11"/>
      <c r="AA39" s="11"/>
    </row>
    <row r="40" ht="13.5" customHeight="1" outlineLevel="1">
      <c r="A40" s="151"/>
      <c r="B40" s="85" t="s">
        <v>60</v>
      </c>
      <c r="C40" s="86">
        <v>0.018</v>
      </c>
      <c r="D40" s="170">
        <v>0.145</v>
      </c>
      <c r="E40" s="155">
        <v>6.0</v>
      </c>
      <c r="F40" s="156">
        <f t="shared" si="23"/>
        <v>0.01566</v>
      </c>
      <c r="G40" s="156">
        <f t="shared" si="24"/>
        <v>0.87</v>
      </c>
      <c r="H40" s="240">
        <v>427.02</v>
      </c>
      <c r="I40" s="158">
        <f t="shared" ref="I40:I41" si="35">ROUND(H40*1.063,0)</f>
        <v>454</v>
      </c>
      <c r="J40" s="159">
        <f t="shared" si="25"/>
        <v>8.5347</v>
      </c>
      <c r="K40" s="160">
        <f t="shared" si="26"/>
        <v>9.81</v>
      </c>
      <c r="L40" s="161">
        <f t="shared" si="27"/>
        <v>618</v>
      </c>
      <c r="M40" s="241">
        <f t="shared" si="28"/>
        <v>9.67788</v>
      </c>
      <c r="N40" s="163">
        <f t="shared" si="29"/>
        <v>537.66</v>
      </c>
      <c r="O40" s="246"/>
      <c r="P40" s="165" t="str">
        <f t="shared" si="34"/>
        <v/>
      </c>
      <c r="Q40" s="166"/>
      <c r="R40" s="243"/>
      <c r="S40" s="165">
        <f t="shared" si="31"/>
        <v>0</v>
      </c>
      <c r="T40" s="244">
        <v>618.0</v>
      </c>
      <c r="U40" s="169">
        <f t="shared" si="32"/>
        <v>5274.4446</v>
      </c>
      <c r="V40" s="38" t="str">
        <f t="shared" si="12"/>
        <v/>
      </c>
      <c r="W40" s="38" t="str">
        <f t="shared" si="13"/>
        <v/>
      </c>
      <c r="X40" s="11"/>
      <c r="Y40" s="11"/>
      <c r="Z40" s="11"/>
      <c r="AA40" s="11"/>
    </row>
    <row r="41" ht="13.5" customHeight="1" outlineLevel="1">
      <c r="A41" s="151"/>
      <c r="B41" s="85" t="s">
        <v>30</v>
      </c>
      <c r="C41" s="86">
        <v>0.018</v>
      </c>
      <c r="D41" s="87">
        <v>0.145</v>
      </c>
      <c r="E41" s="88">
        <v>6.0</v>
      </c>
      <c r="F41" s="156">
        <f t="shared" si="23"/>
        <v>0.01566</v>
      </c>
      <c r="G41" s="156">
        <f t="shared" si="24"/>
        <v>0.87</v>
      </c>
      <c r="H41" s="240">
        <v>427.02</v>
      </c>
      <c r="I41" s="158">
        <f t="shared" si="35"/>
        <v>454</v>
      </c>
      <c r="J41" s="159">
        <f t="shared" si="25"/>
        <v>8.5347</v>
      </c>
      <c r="K41" s="160">
        <f t="shared" si="26"/>
        <v>9.81</v>
      </c>
      <c r="L41" s="161">
        <f t="shared" si="27"/>
        <v>36</v>
      </c>
      <c r="M41" s="241">
        <f t="shared" si="28"/>
        <v>0.56376</v>
      </c>
      <c r="N41" s="163">
        <f t="shared" si="29"/>
        <v>31.32</v>
      </c>
      <c r="O41" s="246">
        <v>24.0</v>
      </c>
      <c r="P41" s="165">
        <f t="shared" si="34"/>
        <v>0.37584</v>
      </c>
      <c r="Q41" s="166">
        <v>170.63</v>
      </c>
      <c r="R41" s="243"/>
      <c r="S41" s="165">
        <f t="shared" si="31"/>
        <v>0</v>
      </c>
      <c r="T41" s="244">
        <v>60.0</v>
      </c>
      <c r="U41" s="169">
        <f t="shared" si="32"/>
        <v>307.2492</v>
      </c>
      <c r="V41" s="38">
        <f t="shared" si="12"/>
        <v>10.1388032</v>
      </c>
      <c r="W41" s="38">
        <f t="shared" si="13"/>
        <v>160.4911968</v>
      </c>
      <c r="X41" s="11"/>
      <c r="Y41" s="11"/>
      <c r="Z41" s="11"/>
      <c r="AA41" s="11"/>
    </row>
    <row r="42" ht="13.5" customHeight="1" outlineLevel="1">
      <c r="A42" s="151"/>
      <c r="B42" s="248"/>
      <c r="C42" s="254">
        <v>0.019</v>
      </c>
      <c r="D42" s="255">
        <v>0.146</v>
      </c>
      <c r="E42" s="165">
        <v>4.8</v>
      </c>
      <c r="F42" s="156">
        <f t="shared" si="23"/>
        <v>0.0133152</v>
      </c>
      <c r="G42" s="156">
        <f t="shared" si="24"/>
        <v>0.7008</v>
      </c>
      <c r="H42" s="240">
        <v>415.0</v>
      </c>
      <c r="I42" s="158">
        <f>ROUND(H42*1.1667,0)</f>
        <v>484</v>
      </c>
      <c r="J42" s="159">
        <f t="shared" si="25"/>
        <v>7.7361312</v>
      </c>
      <c r="K42" s="160">
        <f t="shared" si="26"/>
        <v>11.039</v>
      </c>
      <c r="L42" s="161">
        <f t="shared" si="27"/>
        <v>210</v>
      </c>
      <c r="M42" s="241">
        <f t="shared" si="28"/>
        <v>2.796192</v>
      </c>
      <c r="N42" s="163">
        <f t="shared" si="29"/>
        <v>147.168</v>
      </c>
      <c r="O42" s="242"/>
      <c r="P42" s="165" t="str">
        <f t="shared" si="34"/>
        <v/>
      </c>
      <c r="Q42" s="166"/>
      <c r="R42" s="243"/>
      <c r="S42" s="165">
        <f t="shared" si="31"/>
        <v>0</v>
      </c>
      <c r="T42" s="244">
        <v>210.0</v>
      </c>
      <c r="U42" s="169">
        <f t="shared" si="32"/>
        <v>1624.587552</v>
      </c>
      <c r="V42" s="38" t="str">
        <f t="shared" si="12"/>
        <v/>
      </c>
      <c r="W42" s="38" t="str">
        <f t="shared" si="13"/>
        <v/>
      </c>
      <c r="X42" s="11"/>
      <c r="Y42" s="11"/>
      <c r="Z42" s="11"/>
      <c r="AA42" s="11"/>
    </row>
    <row r="43" ht="13.5" customHeight="1" outlineLevel="1">
      <c r="A43" s="151"/>
      <c r="B43" s="248"/>
      <c r="C43" s="249">
        <v>0.02</v>
      </c>
      <c r="D43" s="170">
        <v>0.095</v>
      </c>
      <c r="E43" s="155">
        <v>4.8</v>
      </c>
      <c r="F43" s="156">
        <f t="shared" si="23"/>
        <v>0.00912</v>
      </c>
      <c r="G43" s="156">
        <f t="shared" si="24"/>
        <v>0.456</v>
      </c>
      <c r="H43" s="240">
        <v>425.18</v>
      </c>
      <c r="I43" s="158">
        <f>ROUND(H43*1.05,0)</f>
        <v>446</v>
      </c>
      <c r="J43" s="159">
        <f t="shared" si="25"/>
        <v>4.8792</v>
      </c>
      <c r="K43" s="160">
        <f t="shared" si="26"/>
        <v>10.7</v>
      </c>
      <c r="L43" s="161">
        <f t="shared" si="27"/>
        <v>120</v>
      </c>
      <c r="M43" s="241">
        <f t="shared" si="28"/>
        <v>1.0944</v>
      </c>
      <c r="N43" s="163">
        <f t="shared" si="29"/>
        <v>54.72</v>
      </c>
      <c r="O43" s="252"/>
      <c r="P43" s="165" t="str">
        <f t="shared" si="34"/>
        <v/>
      </c>
      <c r="Q43" s="172"/>
      <c r="R43" s="243"/>
      <c r="S43" s="165">
        <f t="shared" si="31"/>
        <v>0</v>
      </c>
      <c r="T43" s="244">
        <v>120.0</v>
      </c>
      <c r="U43" s="169">
        <f t="shared" si="32"/>
        <v>585.504</v>
      </c>
      <c r="V43" s="38" t="str">
        <f t="shared" si="12"/>
        <v/>
      </c>
      <c r="W43" s="38" t="str">
        <f t="shared" si="13"/>
        <v/>
      </c>
      <c r="X43" s="11"/>
      <c r="Y43" s="11"/>
      <c r="Z43" s="11"/>
      <c r="AA43" s="11"/>
    </row>
    <row r="44" ht="13.5" customHeight="1" outlineLevel="1">
      <c r="A44" s="151"/>
      <c r="B44" s="248"/>
      <c r="C44" s="249">
        <v>0.02</v>
      </c>
      <c r="D44" s="170">
        <v>0.095</v>
      </c>
      <c r="E44" s="155">
        <v>6.0</v>
      </c>
      <c r="F44" s="156">
        <f t="shared" si="23"/>
        <v>0.0114</v>
      </c>
      <c r="G44" s="156">
        <f t="shared" si="24"/>
        <v>0.57</v>
      </c>
      <c r="H44" s="240">
        <v>425.18</v>
      </c>
      <c r="I44" s="158">
        <f>ROUND(H44*1.07,0)</f>
        <v>455</v>
      </c>
      <c r="J44" s="159">
        <f t="shared" si="25"/>
        <v>6.2244</v>
      </c>
      <c r="K44" s="160">
        <f t="shared" si="26"/>
        <v>10.92</v>
      </c>
      <c r="L44" s="161">
        <f t="shared" si="27"/>
        <v>26</v>
      </c>
      <c r="M44" s="241">
        <f t="shared" si="28"/>
        <v>0.2964</v>
      </c>
      <c r="N44" s="206">
        <f t="shared" si="29"/>
        <v>14.82</v>
      </c>
      <c r="O44" s="242"/>
      <c r="P44" s="165" t="str">
        <f t="shared" si="34"/>
        <v/>
      </c>
      <c r="Q44" s="166"/>
      <c r="R44" s="243"/>
      <c r="S44" s="165">
        <f t="shared" si="31"/>
        <v>0</v>
      </c>
      <c r="T44" s="244">
        <v>26.0</v>
      </c>
      <c r="U44" s="169">
        <f t="shared" si="32"/>
        <v>161.8344</v>
      </c>
      <c r="V44" s="38" t="str">
        <f t="shared" si="12"/>
        <v/>
      </c>
      <c r="W44" s="38" t="str">
        <f t="shared" si="13"/>
        <v/>
      </c>
      <c r="X44" s="11"/>
      <c r="Y44" s="11"/>
      <c r="Z44" s="11"/>
      <c r="AA44" s="11"/>
    </row>
    <row r="45" ht="13.5" customHeight="1" outlineLevel="1">
      <c r="A45" s="151"/>
      <c r="B45" s="248"/>
      <c r="C45" s="249">
        <v>0.02</v>
      </c>
      <c r="D45" s="170">
        <v>0.1</v>
      </c>
      <c r="E45" s="155">
        <v>4.0</v>
      </c>
      <c r="F45" s="156">
        <f t="shared" si="23"/>
        <v>0.008</v>
      </c>
      <c r="G45" s="156">
        <f t="shared" si="24"/>
        <v>0.4</v>
      </c>
      <c r="H45" s="240">
        <v>424.32</v>
      </c>
      <c r="I45" s="158">
        <f>ROUND(H45*1.1667,0)</f>
        <v>495</v>
      </c>
      <c r="J45" s="159">
        <f t="shared" si="25"/>
        <v>4.752</v>
      </c>
      <c r="K45" s="160">
        <f t="shared" si="26"/>
        <v>11.88</v>
      </c>
      <c r="L45" s="161">
        <f t="shared" si="27"/>
        <v>162</v>
      </c>
      <c r="M45" s="241">
        <f t="shared" si="28"/>
        <v>1.296</v>
      </c>
      <c r="N45" s="163">
        <f t="shared" si="29"/>
        <v>64.8</v>
      </c>
      <c r="O45" s="252"/>
      <c r="P45" s="165" t="str">
        <f t="shared" si="34"/>
        <v/>
      </c>
      <c r="Q45" s="172"/>
      <c r="R45" s="243"/>
      <c r="S45" s="165">
        <f t="shared" si="31"/>
        <v>0</v>
      </c>
      <c r="T45" s="244">
        <v>162.0</v>
      </c>
      <c r="U45" s="169">
        <f t="shared" si="32"/>
        <v>769.824</v>
      </c>
      <c r="V45" s="38" t="str">
        <f t="shared" si="12"/>
        <v/>
      </c>
      <c r="W45" s="38" t="str">
        <f t="shared" si="13"/>
        <v/>
      </c>
      <c r="X45" s="11"/>
      <c r="Y45" s="11"/>
      <c r="Z45" s="11"/>
      <c r="AA45" s="11"/>
    </row>
    <row r="46" ht="13.5" customHeight="1" outlineLevel="1">
      <c r="A46" s="151"/>
      <c r="B46" s="248"/>
      <c r="C46" s="249">
        <v>0.02</v>
      </c>
      <c r="D46" s="170">
        <v>0.115</v>
      </c>
      <c r="E46" s="155">
        <v>3.0</v>
      </c>
      <c r="F46" s="156">
        <f t="shared" si="23"/>
        <v>0.0069</v>
      </c>
      <c r="G46" s="156">
        <f t="shared" si="24"/>
        <v>0.345</v>
      </c>
      <c r="H46" s="240">
        <v>422.19</v>
      </c>
      <c r="I46" s="158">
        <f>ROUND(H46*1.1,0)</f>
        <v>464</v>
      </c>
      <c r="J46" s="159">
        <f t="shared" si="25"/>
        <v>3.8433</v>
      </c>
      <c r="K46" s="160">
        <f t="shared" si="26"/>
        <v>11.14</v>
      </c>
      <c r="L46" s="161">
        <f t="shared" si="27"/>
        <v>249</v>
      </c>
      <c r="M46" s="241">
        <f t="shared" si="28"/>
        <v>1.7181</v>
      </c>
      <c r="N46" s="163">
        <f t="shared" si="29"/>
        <v>85.905</v>
      </c>
      <c r="O46" s="252"/>
      <c r="P46" s="165" t="str">
        <f t="shared" si="34"/>
        <v/>
      </c>
      <c r="Q46" s="172"/>
      <c r="R46" s="243"/>
      <c r="S46" s="165">
        <f t="shared" si="31"/>
        <v>0</v>
      </c>
      <c r="T46" s="244">
        <v>249.0</v>
      </c>
      <c r="U46" s="169">
        <f t="shared" si="32"/>
        <v>956.9817</v>
      </c>
      <c r="V46" s="38" t="str">
        <f t="shared" si="12"/>
        <v/>
      </c>
      <c r="W46" s="38" t="str">
        <f t="shared" si="13"/>
        <v/>
      </c>
      <c r="X46" s="11"/>
      <c r="Y46" s="11"/>
      <c r="Z46" s="11"/>
      <c r="AA46" s="11"/>
    </row>
    <row r="47" ht="13.5" customHeight="1" outlineLevel="1">
      <c r="A47" s="151"/>
      <c r="B47" s="85"/>
      <c r="C47" s="238">
        <v>0.02</v>
      </c>
      <c r="D47" s="239">
        <v>0.145</v>
      </c>
      <c r="E47" s="245">
        <v>4.8</v>
      </c>
      <c r="F47" s="156">
        <f t="shared" si="23"/>
        <v>0.01392</v>
      </c>
      <c r="G47" s="156">
        <f t="shared" si="24"/>
        <v>0.696</v>
      </c>
      <c r="H47" s="240">
        <v>419.26</v>
      </c>
      <c r="I47" s="158">
        <f>ROUND(H47*1.08,0)</f>
        <v>453</v>
      </c>
      <c r="J47" s="159">
        <f t="shared" si="25"/>
        <v>7.57248</v>
      </c>
      <c r="K47" s="160">
        <f t="shared" si="26"/>
        <v>10.88</v>
      </c>
      <c r="L47" s="161">
        <f t="shared" si="27"/>
        <v>15</v>
      </c>
      <c r="M47" s="241">
        <f t="shared" si="28"/>
        <v>0.2088</v>
      </c>
      <c r="N47" s="206">
        <f t="shared" si="29"/>
        <v>10.44</v>
      </c>
      <c r="O47" s="256"/>
      <c r="P47" s="165" t="str">
        <f t="shared" si="34"/>
        <v/>
      </c>
      <c r="Q47" s="172"/>
      <c r="R47" s="243"/>
      <c r="S47" s="165">
        <f t="shared" si="31"/>
        <v>0</v>
      </c>
      <c r="T47" s="244">
        <v>15.0</v>
      </c>
      <c r="U47" s="169">
        <f t="shared" si="32"/>
        <v>113.5872</v>
      </c>
      <c r="V47" s="38" t="str">
        <f t="shared" si="12"/>
        <v/>
      </c>
      <c r="W47" s="38" t="str">
        <f t="shared" si="13"/>
        <v/>
      </c>
      <c r="X47" s="11"/>
      <c r="Y47" s="11"/>
      <c r="Z47" s="11"/>
      <c r="AA47" s="11"/>
    </row>
    <row r="48" ht="13.5" customHeight="1" outlineLevel="1">
      <c r="A48" s="151"/>
      <c r="B48" s="248"/>
      <c r="C48" s="249">
        <v>0.02</v>
      </c>
      <c r="D48" s="87">
        <v>0.175</v>
      </c>
      <c r="E48" s="155">
        <v>3.0</v>
      </c>
      <c r="F48" s="156">
        <f t="shared" si="23"/>
        <v>0.0105</v>
      </c>
      <c r="G48" s="156">
        <f t="shared" si="24"/>
        <v>0.525</v>
      </c>
      <c r="H48" s="240">
        <v>417.33</v>
      </c>
      <c r="I48" s="158">
        <f>ROUND(H48*1.07,0)</f>
        <v>447</v>
      </c>
      <c r="J48" s="159">
        <f t="shared" si="25"/>
        <v>5.6385</v>
      </c>
      <c r="K48" s="160">
        <f t="shared" si="26"/>
        <v>10.74</v>
      </c>
      <c r="L48" s="161">
        <f t="shared" si="27"/>
        <v>198</v>
      </c>
      <c r="M48" s="241">
        <f t="shared" si="28"/>
        <v>2.079</v>
      </c>
      <c r="N48" s="163">
        <f t="shared" si="29"/>
        <v>103.95</v>
      </c>
      <c r="O48" s="252"/>
      <c r="P48" s="165" t="str">
        <f t="shared" si="34"/>
        <v/>
      </c>
      <c r="Q48" s="172"/>
      <c r="R48" s="243"/>
      <c r="S48" s="165">
        <f t="shared" si="31"/>
        <v>0</v>
      </c>
      <c r="T48" s="244">
        <v>198.0</v>
      </c>
      <c r="U48" s="169">
        <f t="shared" si="32"/>
        <v>1116.423</v>
      </c>
      <c r="V48" s="38" t="str">
        <f t="shared" si="12"/>
        <v/>
      </c>
      <c r="W48" s="38" t="str">
        <f t="shared" si="13"/>
        <v/>
      </c>
      <c r="X48" s="11"/>
      <c r="Y48" s="11"/>
      <c r="Z48" s="11"/>
      <c r="AA48" s="11"/>
    </row>
    <row r="49" ht="13.5" customHeight="1" outlineLevel="1">
      <c r="A49" s="151"/>
      <c r="B49" s="85" t="s">
        <v>61</v>
      </c>
      <c r="C49" s="249">
        <v>0.021</v>
      </c>
      <c r="D49" s="170">
        <v>0.12</v>
      </c>
      <c r="E49" s="155">
        <v>4.2</v>
      </c>
      <c r="F49" s="156">
        <f t="shared" si="23"/>
        <v>0.010584</v>
      </c>
      <c r="G49" s="156">
        <f t="shared" si="24"/>
        <v>0.504</v>
      </c>
      <c r="H49" s="240">
        <v>385.0</v>
      </c>
      <c r="I49" s="158">
        <f t="shared" ref="I49:I51" si="36">ROUND(H49*1.1667,0)</f>
        <v>449</v>
      </c>
      <c r="J49" s="159">
        <f t="shared" si="25"/>
        <v>5.704776</v>
      </c>
      <c r="K49" s="160">
        <f t="shared" si="26"/>
        <v>11.319</v>
      </c>
      <c r="L49" s="161">
        <f t="shared" si="27"/>
        <v>296</v>
      </c>
      <c r="M49" s="241">
        <f t="shared" si="28"/>
        <v>3.132864</v>
      </c>
      <c r="N49" s="163">
        <f t="shared" si="29"/>
        <v>149.184</v>
      </c>
      <c r="O49" s="242"/>
      <c r="P49" s="165" t="str">
        <f t="shared" si="34"/>
        <v/>
      </c>
      <c r="Q49" s="172"/>
      <c r="R49" s="243"/>
      <c r="S49" s="165">
        <f t="shared" si="31"/>
        <v>0</v>
      </c>
      <c r="T49" s="244">
        <v>296.0</v>
      </c>
      <c r="U49" s="169">
        <f t="shared" si="32"/>
        <v>1688.613696</v>
      </c>
      <c r="V49" s="38" t="str">
        <f t="shared" si="12"/>
        <v/>
      </c>
      <c r="W49" s="38" t="str">
        <f t="shared" si="13"/>
        <v/>
      </c>
      <c r="X49" s="11"/>
      <c r="Y49" s="11"/>
      <c r="Z49" s="11"/>
      <c r="AA49" s="11"/>
    </row>
    <row r="50" ht="13.5" customHeight="1" outlineLevel="1">
      <c r="A50" s="151"/>
      <c r="B50" s="85" t="s">
        <v>62</v>
      </c>
      <c r="C50" s="257">
        <v>0.021</v>
      </c>
      <c r="D50" s="170">
        <v>0.12</v>
      </c>
      <c r="E50" s="155">
        <v>4.2</v>
      </c>
      <c r="F50" s="156">
        <f t="shared" si="23"/>
        <v>0.010584</v>
      </c>
      <c r="G50" s="156">
        <f t="shared" si="24"/>
        <v>0.504</v>
      </c>
      <c r="H50" s="240">
        <v>385.0</v>
      </c>
      <c r="I50" s="158">
        <f t="shared" si="36"/>
        <v>449</v>
      </c>
      <c r="J50" s="159">
        <f t="shared" si="25"/>
        <v>5.704776</v>
      </c>
      <c r="K50" s="160">
        <f t="shared" si="26"/>
        <v>11.319</v>
      </c>
      <c r="L50" s="161">
        <f t="shared" si="27"/>
        <v>376</v>
      </c>
      <c r="M50" s="241">
        <f t="shared" si="28"/>
        <v>3.979584</v>
      </c>
      <c r="N50" s="163">
        <f t="shared" si="29"/>
        <v>189.504</v>
      </c>
      <c r="O50" s="256"/>
      <c r="P50" s="165" t="str">
        <f t="shared" si="34"/>
        <v/>
      </c>
      <c r="Q50" s="172"/>
      <c r="R50" s="243"/>
      <c r="S50" s="165">
        <f t="shared" si="31"/>
        <v>0</v>
      </c>
      <c r="T50" s="244">
        <v>376.0</v>
      </c>
      <c r="U50" s="169">
        <f t="shared" si="32"/>
        <v>2144.995776</v>
      </c>
      <c r="V50" s="38" t="str">
        <f t="shared" si="12"/>
        <v/>
      </c>
      <c r="W50" s="38" t="str">
        <f t="shared" si="13"/>
        <v/>
      </c>
      <c r="X50" s="11"/>
      <c r="Y50" s="11"/>
      <c r="Z50" s="11"/>
      <c r="AA50" s="11"/>
    </row>
    <row r="51" ht="13.5" customHeight="1" outlineLevel="1">
      <c r="A51" s="151"/>
      <c r="B51" s="248"/>
      <c r="C51" s="249">
        <v>0.021</v>
      </c>
      <c r="D51" s="170">
        <v>0.12</v>
      </c>
      <c r="E51" s="155">
        <v>4.8</v>
      </c>
      <c r="F51" s="156">
        <f t="shared" si="23"/>
        <v>0.012096</v>
      </c>
      <c r="G51" s="156">
        <f t="shared" si="24"/>
        <v>0.576</v>
      </c>
      <c r="H51" s="240">
        <v>385.0</v>
      </c>
      <c r="I51" s="158">
        <f t="shared" si="36"/>
        <v>449</v>
      </c>
      <c r="J51" s="159">
        <f t="shared" si="25"/>
        <v>6.519744</v>
      </c>
      <c r="K51" s="160">
        <f t="shared" si="26"/>
        <v>11.319</v>
      </c>
      <c r="L51" s="161">
        <f t="shared" si="27"/>
        <v>17</v>
      </c>
      <c r="M51" s="241">
        <f t="shared" si="28"/>
        <v>0.205632</v>
      </c>
      <c r="N51" s="206">
        <f t="shared" si="29"/>
        <v>9.792</v>
      </c>
      <c r="O51" s="242"/>
      <c r="P51" s="165" t="str">
        <f t="shared" si="34"/>
        <v/>
      </c>
      <c r="Q51" s="166"/>
      <c r="R51" s="243"/>
      <c r="S51" s="165">
        <f t="shared" si="31"/>
        <v>0</v>
      </c>
      <c r="T51" s="244">
        <v>17.0</v>
      </c>
      <c r="U51" s="169">
        <f t="shared" si="32"/>
        <v>110.835648</v>
      </c>
      <c r="V51" s="38" t="str">
        <f t="shared" si="12"/>
        <v/>
      </c>
      <c r="W51" s="38" t="str">
        <f t="shared" si="13"/>
        <v/>
      </c>
      <c r="X51" s="11"/>
      <c r="Y51" s="11"/>
      <c r="Z51" s="11"/>
      <c r="AA51" s="11"/>
    </row>
    <row r="52" ht="13.5" customHeight="1" outlineLevel="1">
      <c r="A52" s="151"/>
      <c r="B52" s="248"/>
      <c r="C52" s="249">
        <v>0.021</v>
      </c>
      <c r="D52" s="170">
        <v>0.12</v>
      </c>
      <c r="E52" s="155">
        <v>5.4</v>
      </c>
      <c r="F52" s="156">
        <f t="shared" si="23"/>
        <v>0.013608</v>
      </c>
      <c r="G52" s="156">
        <f t="shared" si="24"/>
        <v>0.648</v>
      </c>
      <c r="H52" s="240">
        <v>418.25</v>
      </c>
      <c r="I52" s="158">
        <f>ROUND(H52*1.1,0)</f>
        <v>460</v>
      </c>
      <c r="J52" s="159">
        <f t="shared" si="25"/>
        <v>7.511616</v>
      </c>
      <c r="K52" s="160">
        <f t="shared" si="26"/>
        <v>11.592</v>
      </c>
      <c r="L52" s="161">
        <f t="shared" si="27"/>
        <v>68</v>
      </c>
      <c r="M52" s="241">
        <f t="shared" si="28"/>
        <v>0.925344</v>
      </c>
      <c r="N52" s="163">
        <f t="shared" si="29"/>
        <v>44.064</v>
      </c>
      <c r="O52" s="252"/>
      <c r="P52" s="165" t="str">
        <f t="shared" si="34"/>
        <v/>
      </c>
      <c r="Q52" s="172"/>
      <c r="R52" s="243"/>
      <c r="S52" s="165">
        <f t="shared" si="31"/>
        <v>0</v>
      </c>
      <c r="T52" s="244">
        <v>68.0</v>
      </c>
      <c r="U52" s="169">
        <f t="shared" si="32"/>
        <v>510.789888</v>
      </c>
      <c r="V52" s="38" t="str">
        <f t="shared" si="12"/>
        <v/>
      </c>
      <c r="W52" s="38" t="str">
        <f t="shared" si="13"/>
        <v/>
      </c>
      <c r="X52" s="11"/>
      <c r="Y52" s="11"/>
      <c r="Z52" s="11"/>
      <c r="AA52" s="11"/>
    </row>
    <row r="53" ht="13.5" customHeight="1" outlineLevel="1">
      <c r="A53" s="151"/>
      <c r="B53" s="258"/>
      <c r="C53" s="249">
        <v>0.021</v>
      </c>
      <c r="D53" s="170">
        <v>0.145</v>
      </c>
      <c r="E53" s="155">
        <v>5.1</v>
      </c>
      <c r="F53" s="156">
        <f t="shared" si="23"/>
        <v>0.0155295</v>
      </c>
      <c r="G53" s="156">
        <f t="shared" si="24"/>
        <v>0.7395</v>
      </c>
      <c r="H53" s="240">
        <v>380.0</v>
      </c>
      <c r="I53" s="158">
        <f>ROUND(H53*1.1667,0)</f>
        <v>443</v>
      </c>
      <c r="J53" s="159">
        <f t="shared" si="25"/>
        <v>8.261694</v>
      </c>
      <c r="K53" s="160">
        <f t="shared" si="26"/>
        <v>11.172</v>
      </c>
      <c r="L53" s="161">
        <f t="shared" si="27"/>
        <v>52</v>
      </c>
      <c r="M53" s="241">
        <f t="shared" si="28"/>
        <v>0.807534</v>
      </c>
      <c r="N53" s="163">
        <f t="shared" si="29"/>
        <v>38.454</v>
      </c>
      <c r="O53" s="246">
        <v>36.0</v>
      </c>
      <c r="P53" s="165">
        <f t="shared" si="34"/>
        <v>0.559062</v>
      </c>
      <c r="Q53" s="166">
        <v>248.0</v>
      </c>
      <c r="R53" s="243"/>
      <c r="S53" s="165">
        <f t="shared" si="31"/>
        <v>0</v>
      </c>
      <c r="T53" s="244">
        <v>88.0</v>
      </c>
      <c r="U53" s="169">
        <f t="shared" si="32"/>
        <v>429.608088</v>
      </c>
      <c r="V53" s="38">
        <f t="shared" si="12"/>
        <v>35.55644</v>
      </c>
      <c r="W53" s="38">
        <f t="shared" si="13"/>
        <v>212.44356</v>
      </c>
      <c r="X53" s="11"/>
      <c r="Y53" s="11"/>
      <c r="Z53" s="11"/>
      <c r="AA53" s="11"/>
    </row>
    <row r="54" ht="13.5" customHeight="1" outlineLevel="1">
      <c r="A54" s="151"/>
      <c r="B54" s="248"/>
      <c r="C54" s="249">
        <v>0.021</v>
      </c>
      <c r="D54" s="170">
        <v>0.146</v>
      </c>
      <c r="E54" s="155">
        <v>4.5</v>
      </c>
      <c r="F54" s="156">
        <f t="shared" si="23"/>
        <v>0.013797</v>
      </c>
      <c r="G54" s="156">
        <f t="shared" si="24"/>
        <v>0.657</v>
      </c>
      <c r="H54" s="259">
        <v>415.85</v>
      </c>
      <c r="I54" s="158">
        <f>ROUND(H54*1.1,0)</f>
        <v>457</v>
      </c>
      <c r="J54" s="159">
        <f t="shared" si="25"/>
        <v>7.574553</v>
      </c>
      <c r="K54" s="160">
        <f t="shared" si="26"/>
        <v>11.529</v>
      </c>
      <c r="L54" s="161">
        <f t="shared" si="27"/>
        <v>31</v>
      </c>
      <c r="M54" s="241">
        <f t="shared" si="28"/>
        <v>0.427707</v>
      </c>
      <c r="N54" s="163">
        <f t="shared" si="29"/>
        <v>20.367</v>
      </c>
      <c r="O54" s="246"/>
      <c r="P54" s="165" t="str">
        <f t="shared" si="34"/>
        <v/>
      </c>
      <c r="Q54" s="166"/>
      <c r="R54" s="243"/>
      <c r="S54" s="165">
        <f t="shared" si="31"/>
        <v>0</v>
      </c>
      <c r="T54" s="244">
        <v>31.0</v>
      </c>
      <c r="U54" s="169">
        <f t="shared" si="32"/>
        <v>234.811143</v>
      </c>
      <c r="V54" s="38" t="str">
        <f t="shared" si="12"/>
        <v/>
      </c>
      <c r="W54" s="38" t="str">
        <f t="shared" si="13"/>
        <v/>
      </c>
      <c r="X54" s="11"/>
      <c r="Y54" s="11"/>
      <c r="Z54" s="11"/>
      <c r="AA54" s="11"/>
    </row>
    <row r="55" ht="13.5" customHeight="1" outlineLevel="1">
      <c r="A55" s="151"/>
      <c r="B55" s="85"/>
      <c r="C55" s="238">
        <v>0.021</v>
      </c>
      <c r="D55" s="239">
        <v>0.17</v>
      </c>
      <c r="E55" s="245">
        <v>6.0</v>
      </c>
      <c r="F55" s="156">
        <f t="shared" si="23"/>
        <v>0.02142</v>
      </c>
      <c r="G55" s="156">
        <f t="shared" si="24"/>
        <v>1.02</v>
      </c>
      <c r="H55" s="157">
        <v>380.0</v>
      </c>
      <c r="I55" s="158">
        <f>ROUND(H55*1.1667,0)</f>
        <v>443</v>
      </c>
      <c r="J55" s="159">
        <f t="shared" si="25"/>
        <v>11.39544</v>
      </c>
      <c r="K55" s="160">
        <f t="shared" si="26"/>
        <v>11.172</v>
      </c>
      <c r="L55" s="161">
        <f t="shared" si="27"/>
        <v>144</v>
      </c>
      <c r="M55" s="241">
        <f t="shared" si="28"/>
        <v>3.08448</v>
      </c>
      <c r="N55" s="163">
        <f t="shared" si="29"/>
        <v>146.88</v>
      </c>
      <c r="O55" s="256"/>
      <c r="P55" s="165" t="str">
        <f t="shared" si="34"/>
        <v/>
      </c>
      <c r="Q55" s="172"/>
      <c r="R55" s="243"/>
      <c r="S55" s="165">
        <f t="shared" si="31"/>
        <v>0</v>
      </c>
      <c r="T55" s="244">
        <v>144.0</v>
      </c>
      <c r="U55" s="169">
        <f t="shared" si="32"/>
        <v>1640.94336</v>
      </c>
      <c r="V55" s="38" t="str">
        <f t="shared" si="12"/>
        <v/>
      </c>
      <c r="W55" s="38" t="str">
        <f t="shared" si="13"/>
        <v/>
      </c>
      <c r="X55" s="11"/>
      <c r="Y55" s="11"/>
      <c r="Z55" s="11"/>
      <c r="AA55" s="11"/>
    </row>
    <row r="56" ht="13.5" customHeight="1" outlineLevel="1">
      <c r="A56" s="151"/>
      <c r="B56" s="85"/>
      <c r="C56" s="238">
        <v>0.025</v>
      </c>
      <c r="D56" s="239">
        <v>0.095</v>
      </c>
      <c r="E56" s="245">
        <v>3.0</v>
      </c>
      <c r="F56" s="156">
        <f t="shared" si="23"/>
        <v>0.007125</v>
      </c>
      <c r="G56" s="156">
        <f t="shared" si="24"/>
        <v>0.285</v>
      </c>
      <c r="H56" s="240">
        <v>411.01</v>
      </c>
      <c r="I56" s="158">
        <f>ROUND(H56*1.08,0)</f>
        <v>444</v>
      </c>
      <c r="J56" s="159">
        <f t="shared" si="25"/>
        <v>3.797625</v>
      </c>
      <c r="K56" s="160">
        <f t="shared" si="26"/>
        <v>13.325</v>
      </c>
      <c r="L56" s="161">
        <f t="shared" si="27"/>
        <v>77</v>
      </c>
      <c r="M56" s="241">
        <f t="shared" si="28"/>
        <v>0.548625</v>
      </c>
      <c r="N56" s="163">
        <f t="shared" si="29"/>
        <v>21.945</v>
      </c>
      <c r="O56" s="256"/>
      <c r="P56" s="165" t="str">
        <f t="shared" si="34"/>
        <v/>
      </c>
      <c r="Q56" s="172"/>
      <c r="R56" s="243"/>
      <c r="S56" s="165">
        <f t="shared" si="31"/>
        <v>0</v>
      </c>
      <c r="T56" s="244">
        <v>77.0</v>
      </c>
      <c r="U56" s="169">
        <f t="shared" si="32"/>
        <v>292.417125</v>
      </c>
      <c r="V56" s="38" t="str">
        <f t="shared" si="12"/>
        <v/>
      </c>
      <c r="W56" s="38" t="str">
        <f t="shared" si="13"/>
        <v/>
      </c>
      <c r="X56" s="11"/>
      <c r="Y56" s="11"/>
      <c r="Z56" s="11"/>
      <c r="AA56" s="11"/>
    </row>
    <row r="57" ht="13.5" customHeight="1" outlineLevel="1">
      <c r="A57" s="151"/>
      <c r="B57" s="85" t="s">
        <v>63</v>
      </c>
      <c r="C57" s="249">
        <v>0.028</v>
      </c>
      <c r="D57" s="170">
        <v>0.145</v>
      </c>
      <c r="E57" s="250">
        <v>4.5</v>
      </c>
      <c r="F57" s="156">
        <f t="shared" si="23"/>
        <v>0.01827</v>
      </c>
      <c r="G57" s="156">
        <f t="shared" si="24"/>
        <v>0.6525</v>
      </c>
      <c r="H57" s="240">
        <v>428.56</v>
      </c>
      <c r="I57" s="158">
        <f>ROUND(H57*1.1667,0)</f>
        <v>500</v>
      </c>
      <c r="J57" s="159">
        <f t="shared" si="25"/>
        <v>10.962</v>
      </c>
      <c r="K57" s="160">
        <f t="shared" si="26"/>
        <v>16.8</v>
      </c>
      <c r="L57" s="161">
        <f t="shared" si="27"/>
        <v>141</v>
      </c>
      <c r="M57" s="241">
        <f t="shared" si="28"/>
        <v>2.57607</v>
      </c>
      <c r="N57" s="163">
        <f t="shared" si="29"/>
        <v>92.0025</v>
      </c>
      <c r="O57" s="246"/>
      <c r="P57" s="165" t="str">
        <f t="shared" si="34"/>
        <v/>
      </c>
      <c r="Q57" s="166"/>
      <c r="R57" s="243"/>
      <c r="S57" s="165">
        <f t="shared" si="31"/>
        <v>0</v>
      </c>
      <c r="T57" s="244">
        <v>141.0</v>
      </c>
      <c r="U57" s="169">
        <f t="shared" si="32"/>
        <v>1545.642</v>
      </c>
      <c r="V57" s="38" t="str">
        <f t="shared" si="12"/>
        <v/>
      </c>
      <c r="W57" s="38" t="str">
        <f t="shared" si="13"/>
        <v/>
      </c>
      <c r="X57" s="11"/>
      <c r="Y57" s="11"/>
      <c r="Z57" s="11"/>
      <c r="AA57" s="11"/>
    </row>
    <row r="58" ht="13.5" customHeight="1">
      <c r="A58" s="151"/>
      <c r="B58" s="210" t="s">
        <v>56</v>
      </c>
      <c r="C58" s="211"/>
      <c r="D58" s="212"/>
      <c r="E58" s="211"/>
      <c r="F58" s="213"/>
      <c r="G58" s="213"/>
      <c r="H58" s="214">
        <f t="shared" ref="H58:I58" si="37">AVERAGE(H31:H57)</f>
        <v>429.5414815</v>
      </c>
      <c r="I58" s="215">
        <f t="shared" si="37"/>
        <v>484.6666667</v>
      </c>
      <c r="J58" s="216"/>
      <c r="K58" s="214">
        <f>AVERAGE(K31:K57)</f>
        <v>10.66859259</v>
      </c>
      <c r="L58" s="217"/>
      <c r="M58" s="218">
        <f>SUM(M31:M57)</f>
        <v>45.3568776</v>
      </c>
      <c r="N58" s="218"/>
      <c r="O58" s="219"/>
      <c r="P58" s="220">
        <f t="shared" ref="P58:Q58" si="38">SUM(P31:P57)</f>
        <v>1.952634</v>
      </c>
      <c r="Q58" s="221">
        <f t="shared" si="38"/>
        <v>1070.39</v>
      </c>
      <c r="R58" s="222"/>
      <c r="S58" s="223">
        <f>SUM(S31:S57)</f>
        <v>0</v>
      </c>
      <c r="T58" s="224"/>
      <c r="U58" s="225">
        <f>SUM(U31:U57)</f>
        <v>26751.59795</v>
      </c>
      <c r="V58" s="38" t="str">
        <f t="shared" si="12"/>
        <v/>
      </c>
      <c r="W58" s="38" t="str">
        <f t="shared" si="13"/>
        <v/>
      </c>
      <c r="X58" s="11"/>
      <c r="Y58" s="11"/>
      <c r="Z58" s="11"/>
      <c r="AA58" s="11"/>
    </row>
    <row r="59" ht="13.5" customHeight="1">
      <c r="A59" s="151"/>
      <c r="B59" s="226" t="s">
        <v>64</v>
      </c>
      <c r="C59" s="226"/>
      <c r="D59" s="226"/>
      <c r="E59" s="226"/>
      <c r="F59" s="226"/>
      <c r="G59" s="226"/>
      <c r="H59" s="226"/>
      <c r="I59" s="230"/>
      <c r="J59" s="231"/>
      <c r="K59" s="226"/>
      <c r="L59" s="226"/>
      <c r="M59" s="226"/>
      <c r="N59" s="232"/>
      <c r="O59" s="260"/>
      <c r="P59" s="226"/>
      <c r="Q59" s="261"/>
      <c r="R59" s="236"/>
      <c r="S59" s="226"/>
      <c r="T59" s="226"/>
      <c r="U59" s="237"/>
      <c r="V59" s="38" t="str">
        <f t="shared" si="12"/>
        <v/>
      </c>
      <c r="W59" s="38" t="str">
        <f t="shared" si="13"/>
        <v/>
      </c>
      <c r="X59" s="11"/>
      <c r="Y59" s="11"/>
      <c r="Z59" s="11"/>
      <c r="AA59" s="11"/>
    </row>
    <row r="60" ht="13.5" customHeight="1" outlineLevel="1">
      <c r="A60" s="151"/>
      <c r="B60" s="248"/>
      <c r="C60" s="249">
        <v>0.02</v>
      </c>
      <c r="D60" s="170">
        <v>0.09</v>
      </c>
      <c r="E60" s="155">
        <v>3.0</v>
      </c>
      <c r="F60" s="156">
        <f t="shared" ref="F60:F63" si="39">C60*D60*E60</f>
        <v>0.0054</v>
      </c>
      <c r="G60" s="156">
        <f t="shared" ref="G60:G63" si="40">D60*E60</f>
        <v>0.27</v>
      </c>
      <c r="H60" s="240">
        <v>426.13</v>
      </c>
      <c r="I60" s="158">
        <f t="shared" ref="I60:I62" si="41">ROUND(H60*1.08,0)</f>
        <v>460</v>
      </c>
      <c r="J60" s="159">
        <f t="shared" ref="J60:J63" si="42">ROUND((I60*0.992)*1.21,0)*(C60*D60*E60)</f>
        <v>2.9808</v>
      </c>
      <c r="K60" s="160">
        <f t="shared" ref="K60:K63" si="43">J60/(D60*E60)</f>
        <v>11.04</v>
      </c>
      <c r="L60" s="161">
        <f t="shared" ref="L60:L63" si="44">T60+R60-O60</f>
        <v>58</v>
      </c>
      <c r="M60" s="241">
        <f t="shared" ref="M60:M63" si="45">L60*F60</f>
        <v>0.3132</v>
      </c>
      <c r="N60" s="163">
        <f t="shared" ref="N60:N63" si="46">L60*G60</f>
        <v>15.66</v>
      </c>
      <c r="O60" s="242"/>
      <c r="P60" s="165" t="str">
        <f t="shared" ref="P60:P63" si="47">IF(O60="","",(O60*F60))</f>
        <v/>
      </c>
      <c r="Q60" s="166"/>
      <c r="R60" s="243"/>
      <c r="S60" s="165">
        <f t="shared" ref="S60:S63" si="48">R60*F60</f>
        <v>0</v>
      </c>
      <c r="T60" s="244">
        <v>58.0</v>
      </c>
      <c r="U60" s="169">
        <f t="shared" ref="U60:U63" si="49">J60*L60</f>
        <v>172.8864</v>
      </c>
      <c r="V60" s="38" t="str">
        <f t="shared" si="12"/>
        <v/>
      </c>
      <c r="W60" s="38" t="str">
        <f t="shared" si="13"/>
        <v/>
      </c>
      <c r="X60" s="11"/>
      <c r="Y60" s="11"/>
      <c r="Z60" s="11"/>
      <c r="AA60" s="11"/>
    </row>
    <row r="61" ht="13.5" customHeight="1" outlineLevel="1">
      <c r="A61" s="151"/>
      <c r="B61" s="248"/>
      <c r="C61" s="249">
        <v>0.02</v>
      </c>
      <c r="D61" s="170">
        <v>0.09</v>
      </c>
      <c r="E61" s="155">
        <v>4.0</v>
      </c>
      <c r="F61" s="156">
        <f t="shared" si="39"/>
        <v>0.0072</v>
      </c>
      <c r="G61" s="156">
        <f t="shared" si="40"/>
        <v>0.36</v>
      </c>
      <c r="H61" s="240">
        <v>426.13</v>
      </c>
      <c r="I61" s="158">
        <f t="shared" si="41"/>
        <v>460</v>
      </c>
      <c r="J61" s="159">
        <f t="shared" si="42"/>
        <v>3.9744</v>
      </c>
      <c r="K61" s="160">
        <f t="shared" si="43"/>
        <v>11.04</v>
      </c>
      <c r="L61" s="161">
        <f t="shared" si="44"/>
        <v>15</v>
      </c>
      <c r="M61" s="241">
        <f t="shared" si="45"/>
        <v>0.108</v>
      </c>
      <c r="N61" s="163">
        <f t="shared" si="46"/>
        <v>5.4</v>
      </c>
      <c r="O61" s="242"/>
      <c r="P61" s="165" t="str">
        <f t="shared" si="47"/>
        <v/>
      </c>
      <c r="Q61" s="166"/>
      <c r="R61" s="243"/>
      <c r="S61" s="165">
        <f t="shared" si="48"/>
        <v>0</v>
      </c>
      <c r="T61" s="244">
        <v>15.0</v>
      </c>
      <c r="U61" s="169">
        <f t="shared" si="49"/>
        <v>59.616</v>
      </c>
      <c r="V61" s="38" t="str">
        <f t="shared" si="12"/>
        <v/>
      </c>
      <c r="W61" s="38" t="str">
        <f t="shared" si="13"/>
        <v/>
      </c>
      <c r="X61" s="11"/>
      <c r="Y61" s="11"/>
      <c r="Z61" s="11"/>
      <c r="AA61" s="11"/>
    </row>
    <row r="62" ht="13.5" customHeight="1" outlineLevel="1">
      <c r="A62" s="151"/>
      <c r="B62" s="248"/>
      <c r="C62" s="249">
        <v>0.02</v>
      </c>
      <c r="D62" s="87">
        <v>0.095</v>
      </c>
      <c r="E62" s="88">
        <v>2.4</v>
      </c>
      <c r="F62" s="156">
        <f t="shared" si="39"/>
        <v>0.00456</v>
      </c>
      <c r="G62" s="156">
        <f t="shared" si="40"/>
        <v>0.228</v>
      </c>
      <c r="H62" s="240">
        <v>426.13</v>
      </c>
      <c r="I62" s="158">
        <f t="shared" si="41"/>
        <v>460</v>
      </c>
      <c r="J62" s="159">
        <f t="shared" si="42"/>
        <v>2.51712</v>
      </c>
      <c r="K62" s="160">
        <f t="shared" si="43"/>
        <v>11.04</v>
      </c>
      <c r="L62" s="161">
        <f t="shared" si="44"/>
        <v>48</v>
      </c>
      <c r="M62" s="241">
        <f t="shared" si="45"/>
        <v>0.21888</v>
      </c>
      <c r="N62" s="163">
        <f t="shared" si="46"/>
        <v>10.944</v>
      </c>
      <c r="O62" s="242"/>
      <c r="P62" s="165" t="str">
        <f t="shared" si="47"/>
        <v/>
      </c>
      <c r="Q62" s="166"/>
      <c r="R62" s="247"/>
      <c r="S62" s="165">
        <f t="shared" si="48"/>
        <v>0</v>
      </c>
      <c r="T62" s="244">
        <v>48.0</v>
      </c>
      <c r="U62" s="169">
        <f t="shared" si="49"/>
        <v>120.82176</v>
      </c>
      <c r="V62" s="38" t="str">
        <f t="shared" si="12"/>
        <v/>
      </c>
      <c r="W62" s="38" t="str">
        <f t="shared" si="13"/>
        <v/>
      </c>
      <c r="X62" s="11"/>
      <c r="Y62" s="11"/>
      <c r="Z62" s="11"/>
      <c r="AA62" s="11"/>
    </row>
    <row r="63" ht="13.5" customHeight="1" outlineLevel="1">
      <c r="A63" s="151"/>
      <c r="B63" s="85"/>
      <c r="C63" s="249">
        <v>0.021</v>
      </c>
      <c r="D63" s="170">
        <v>0.12</v>
      </c>
      <c r="E63" s="155">
        <v>4.2</v>
      </c>
      <c r="F63" s="156">
        <f t="shared" si="39"/>
        <v>0.010584</v>
      </c>
      <c r="G63" s="156">
        <f t="shared" si="40"/>
        <v>0.504</v>
      </c>
      <c r="H63" s="240">
        <v>385.0</v>
      </c>
      <c r="I63" s="158">
        <f>ROUND(H63*1.1,0)</f>
        <v>424</v>
      </c>
      <c r="J63" s="159">
        <f t="shared" si="42"/>
        <v>5.387256</v>
      </c>
      <c r="K63" s="160">
        <f t="shared" si="43"/>
        <v>10.689</v>
      </c>
      <c r="L63" s="161">
        <f t="shared" si="44"/>
        <v>241</v>
      </c>
      <c r="M63" s="241">
        <f t="shared" si="45"/>
        <v>2.550744</v>
      </c>
      <c r="N63" s="163">
        <f t="shared" si="46"/>
        <v>121.464</v>
      </c>
      <c r="O63" s="242"/>
      <c r="P63" s="165" t="str">
        <f t="shared" si="47"/>
        <v/>
      </c>
      <c r="Q63" s="166"/>
      <c r="R63" s="243"/>
      <c r="S63" s="165">
        <f t="shared" si="48"/>
        <v>0</v>
      </c>
      <c r="T63" s="244">
        <v>241.0</v>
      </c>
      <c r="U63" s="169">
        <f t="shared" si="49"/>
        <v>1298.328696</v>
      </c>
      <c r="V63" s="38" t="str">
        <f t="shared" si="12"/>
        <v/>
      </c>
      <c r="W63" s="38" t="str">
        <f t="shared" si="13"/>
        <v/>
      </c>
      <c r="X63" s="11"/>
      <c r="Y63" s="11"/>
      <c r="Z63" s="11"/>
      <c r="AA63" s="11"/>
    </row>
    <row r="64" ht="13.5" customHeight="1">
      <c r="A64" s="151"/>
      <c r="B64" s="210" t="s">
        <v>56</v>
      </c>
      <c r="C64" s="211"/>
      <c r="D64" s="212"/>
      <c r="E64" s="211"/>
      <c r="F64" s="213"/>
      <c r="G64" s="213"/>
      <c r="H64" s="214">
        <f t="shared" ref="H64:I64" si="50">AVERAGE(H60:H63)</f>
        <v>415.8475</v>
      </c>
      <c r="I64" s="215">
        <f t="shared" si="50"/>
        <v>451</v>
      </c>
      <c r="J64" s="216"/>
      <c r="K64" s="214">
        <f>AVERAGE(K60:K63)</f>
        <v>10.95225</v>
      </c>
      <c r="L64" s="217"/>
      <c r="M64" s="218">
        <f>SUM(M60:M63)</f>
        <v>3.190824</v>
      </c>
      <c r="N64" s="218"/>
      <c r="O64" s="219"/>
      <c r="P64" s="220">
        <f>SUM(P60:P62)</f>
        <v>0</v>
      </c>
      <c r="Q64" s="221">
        <f>SUM(Q60:Q63)</f>
        <v>0</v>
      </c>
      <c r="R64" s="262"/>
      <c r="S64" s="223">
        <f>SUM(S60:S63)</f>
        <v>0</v>
      </c>
      <c r="T64" s="224"/>
      <c r="U64" s="225">
        <f>SUM(U60:U63)</f>
        <v>1651.652856</v>
      </c>
      <c r="V64" s="38" t="str">
        <f t="shared" si="12"/>
        <v/>
      </c>
      <c r="W64" s="38" t="str">
        <f t="shared" si="13"/>
        <v/>
      </c>
      <c r="X64" s="11"/>
      <c r="Y64" s="11"/>
      <c r="Z64" s="11"/>
      <c r="AA64" s="11"/>
    </row>
    <row r="65" ht="13.5" customHeight="1">
      <c r="A65" s="151"/>
      <c r="B65" s="226" t="s">
        <v>65</v>
      </c>
      <c r="C65" s="226"/>
      <c r="D65" s="226"/>
      <c r="E65" s="226"/>
      <c r="F65" s="226"/>
      <c r="G65" s="226"/>
      <c r="H65" s="226"/>
      <c r="I65" s="230"/>
      <c r="J65" s="231"/>
      <c r="K65" s="226"/>
      <c r="L65" s="226"/>
      <c r="M65" s="226"/>
      <c r="N65" s="232"/>
      <c r="O65" s="260"/>
      <c r="P65" s="226"/>
      <c r="Q65" s="261"/>
      <c r="R65" s="236"/>
      <c r="S65" s="226"/>
      <c r="T65" s="226"/>
      <c r="U65" s="237"/>
      <c r="V65" s="38" t="str">
        <f t="shared" si="12"/>
        <v/>
      </c>
      <c r="W65" s="38" t="str">
        <f t="shared" si="13"/>
        <v/>
      </c>
      <c r="X65" s="11"/>
      <c r="Y65" s="11"/>
      <c r="Z65" s="11"/>
      <c r="AA65" s="11"/>
    </row>
    <row r="66" ht="13.5" customHeight="1" outlineLevel="1">
      <c r="A66" s="151"/>
      <c r="B66" s="85"/>
      <c r="C66" s="249">
        <v>0.028</v>
      </c>
      <c r="D66" s="170">
        <v>0.095</v>
      </c>
      <c r="E66" s="250">
        <v>3.0</v>
      </c>
      <c r="F66" s="156">
        <f t="shared" ref="F66:F67" si="51">C66*D66*E66</f>
        <v>0.00798</v>
      </c>
      <c r="G66" s="156">
        <f t="shared" ref="G66:G67" si="52">D66*E66</f>
        <v>0.285</v>
      </c>
      <c r="H66" s="240">
        <v>404.93</v>
      </c>
      <c r="I66" s="158">
        <f>ROUND(H66*1.08,0)</f>
        <v>437</v>
      </c>
      <c r="J66" s="159">
        <f t="shared" ref="J66:J67" si="53">ROUND((I66*0.992)*1.21,0)*(C66*D66*E66)</f>
        <v>4.1895</v>
      </c>
      <c r="K66" s="160">
        <f t="shared" ref="K66:K67" si="54">J66/(D66*E66)</f>
        <v>14.7</v>
      </c>
      <c r="L66" s="161">
        <f t="shared" ref="L66:L67" si="55">T66+R66-O66</f>
        <v>708</v>
      </c>
      <c r="M66" s="241">
        <f t="shared" ref="M66:M67" si="56">L66*F66</f>
        <v>5.64984</v>
      </c>
      <c r="N66" s="163">
        <f t="shared" ref="N66:N67" si="57">L66*G66</f>
        <v>201.78</v>
      </c>
      <c r="O66" s="246"/>
      <c r="P66" s="165" t="str">
        <f>IF(O66="","",(O66*F66))</f>
        <v/>
      </c>
      <c r="Q66" s="166"/>
      <c r="R66" s="243"/>
      <c r="S66" s="165">
        <f t="shared" ref="S66:S67" si="58">R66*F66</f>
        <v>0</v>
      </c>
      <c r="T66" s="244">
        <v>708.0</v>
      </c>
      <c r="U66" s="169">
        <f t="shared" ref="U66:U67" si="59">J66*L66</f>
        <v>2966.166</v>
      </c>
      <c r="V66" s="38" t="str">
        <f t="shared" si="12"/>
        <v/>
      </c>
      <c r="W66" s="38" t="str">
        <f t="shared" si="13"/>
        <v/>
      </c>
      <c r="X66" s="11"/>
      <c r="Y66" s="11"/>
      <c r="Z66" s="11"/>
      <c r="AA66" s="11"/>
    </row>
    <row r="67" ht="13.5" customHeight="1" outlineLevel="1">
      <c r="A67" s="151"/>
      <c r="B67" s="85"/>
      <c r="C67" s="249">
        <v>0.028</v>
      </c>
      <c r="D67" s="170">
        <v>0.12</v>
      </c>
      <c r="E67" s="250">
        <v>5.4</v>
      </c>
      <c r="F67" s="156">
        <f t="shared" si="51"/>
        <v>0.018144</v>
      </c>
      <c r="G67" s="156">
        <f t="shared" si="52"/>
        <v>0.648</v>
      </c>
      <c r="H67" s="240">
        <v>401.52</v>
      </c>
      <c r="I67" s="158">
        <f>ROUND(H67*1.1667,0)</f>
        <v>468</v>
      </c>
      <c r="J67" s="159">
        <f t="shared" si="53"/>
        <v>10.196928</v>
      </c>
      <c r="K67" s="160">
        <f t="shared" si="54"/>
        <v>15.736</v>
      </c>
      <c r="L67" s="161">
        <f t="shared" si="55"/>
        <v>200</v>
      </c>
      <c r="M67" s="241">
        <f t="shared" si="56"/>
        <v>3.6288</v>
      </c>
      <c r="N67" s="163">
        <f t="shared" si="57"/>
        <v>129.6</v>
      </c>
      <c r="O67" s="246"/>
      <c r="P67" s="165"/>
      <c r="Q67" s="166"/>
      <c r="R67" s="243"/>
      <c r="S67" s="165">
        <f t="shared" si="58"/>
        <v>0</v>
      </c>
      <c r="T67" s="263">
        <v>200.0</v>
      </c>
      <c r="U67" s="169">
        <f t="shared" si="59"/>
        <v>2039.3856</v>
      </c>
      <c r="V67" s="38" t="str">
        <f t="shared" si="12"/>
        <v/>
      </c>
      <c r="W67" s="38" t="str">
        <f t="shared" si="13"/>
        <v/>
      </c>
      <c r="X67" s="11"/>
      <c r="Y67" s="11"/>
      <c r="Z67" s="11"/>
      <c r="AA67" s="11"/>
    </row>
    <row r="68" ht="13.5" customHeight="1">
      <c r="A68" s="151"/>
      <c r="B68" s="210" t="s">
        <v>56</v>
      </c>
      <c r="C68" s="211"/>
      <c r="D68" s="212"/>
      <c r="E68" s="211"/>
      <c r="F68" s="213"/>
      <c r="G68" s="213"/>
      <c r="H68" s="214">
        <f t="shared" ref="H68:I68" si="60">AVERAGE(H66:H67)</f>
        <v>403.225</v>
      </c>
      <c r="I68" s="215">
        <f t="shared" si="60"/>
        <v>452.5</v>
      </c>
      <c r="J68" s="216"/>
      <c r="K68" s="214">
        <f>AVERAGE(K66:K67)</f>
        <v>15.218</v>
      </c>
      <c r="L68" s="217"/>
      <c r="M68" s="218">
        <f>SUM(M66:M67)</f>
        <v>9.27864</v>
      </c>
      <c r="N68" s="218"/>
      <c r="O68" s="219"/>
      <c r="P68" s="220">
        <f t="shared" ref="P68:Q68" si="61">SUM(P66:P67)</f>
        <v>0</v>
      </c>
      <c r="Q68" s="221">
        <f t="shared" si="61"/>
        <v>0</v>
      </c>
      <c r="R68" s="262"/>
      <c r="S68" s="223">
        <f>SUM(S66:S67)</f>
        <v>0</v>
      </c>
      <c r="T68" s="224"/>
      <c r="U68" s="225">
        <f>SUM(U66:U67)</f>
        <v>5005.5516</v>
      </c>
      <c r="V68" s="38" t="str">
        <f t="shared" si="12"/>
        <v/>
      </c>
      <c r="W68" s="38" t="str">
        <f t="shared" si="13"/>
        <v/>
      </c>
      <c r="X68" s="11"/>
      <c r="Y68" s="11"/>
      <c r="Z68" s="11"/>
      <c r="AA68" s="11"/>
    </row>
    <row r="69" ht="13.5" customHeight="1">
      <c r="A69" s="151"/>
      <c r="B69" s="264" t="s">
        <v>66</v>
      </c>
      <c r="C69" s="226"/>
      <c r="D69" s="226"/>
      <c r="E69" s="226"/>
      <c r="F69" s="226"/>
      <c r="G69" s="226"/>
      <c r="H69" s="226"/>
      <c r="I69" s="230"/>
      <c r="J69" s="231"/>
      <c r="K69" s="226"/>
      <c r="L69" s="226"/>
      <c r="M69" s="226"/>
      <c r="N69" s="232"/>
      <c r="O69" s="260"/>
      <c r="P69" s="226"/>
      <c r="Q69" s="261"/>
      <c r="R69" s="236"/>
      <c r="S69" s="226"/>
      <c r="T69" s="226"/>
      <c r="U69" s="237"/>
      <c r="V69" s="38" t="str">
        <f t="shared" si="12"/>
        <v/>
      </c>
      <c r="W69" s="38" t="str">
        <f t="shared" si="13"/>
        <v/>
      </c>
      <c r="X69" s="11"/>
      <c r="Y69" s="11"/>
      <c r="Z69" s="11"/>
      <c r="AA69" s="11"/>
    </row>
    <row r="70" ht="13.5" customHeight="1" outlineLevel="1">
      <c r="A70" s="151"/>
      <c r="B70" s="114" t="s">
        <v>67</v>
      </c>
      <c r="C70" s="265">
        <v>0.012</v>
      </c>
      <c r="D70" s="182">
        <v>1.525</v>
      </c>
      <c r="E70" s="182">
        <v>1.525</v>
      </c>
      <c r="F70" s="184">
        <f t="shared" ref="F70:F72" si="62">C70*D70*E70</f>
        <v>0.0279075</v>
      </c>
      <c r="G70" s="184">
        <f t="shared" ref="G70:G72" si="63">D70*E70</f>
        <v>2.325625</v>
      </c>
      <c r="H70" s="266">
        <v>550.0</v>
      </c>
      <c r="I70" s="158">
        <f t="shared" ref="I70:I71" si="64">ROUND(H70*1.1667,0)</f>
        <v>642</v>
      </c>
      <c r="J70" s="159">
        <f t="shared" ref="J70:J71" si="65">ROUND((I70*0.992)*1.21,0)*(C70*D70*E70)</f>
        <v>21.5166825</v>
      </c>
      <c r="K70" s="267">
        <f t="shared" ref="K70:K72" si="66">J70/(D70*E70)</f>
        <v>9.252</v>
      </c>
      <c r="L70" s="268">
        <v>3.0</v>
      </c>
      <c r="M70" s="269">
        <f t="shared" ref="M70:M72" si="67">L70*F70</f>
        <v>0.0837225</v>
      </c>
      <c r="N70" s="188">
        <f t="shared" ref="N70:N72" si="68">L70*G70</f>
        <v>6.976875</v>
      </c>
      <c r="O70" s="270"/>
      <c r="P70" s="165" t="str">
        <f t="shared" ref="P70:P72" si="69">IF(O70="","",(O70*F70))</f>
        <v/>
      </c>
      <c r="Q70" s="271"/>
      <c r="R70" s="272"/>
      <c r="S70" s="273">
        <f t="shared" ref="S70:S72" si="70">R70*F70</f>
        <v>0</v>
      </c>
      <c r="T70" s="274">
        <v>3.0</v>
      </c>
      <c r="U70" s="169">
        <f t="shared" ref="U70:U72" si="71">J70*L70</f>
        <v>64.5500475</v>
      </c>
      <c r="V70" s="38" t="str">
        <f t="shared" si="12"/>
        <v/>
      </c>
      <c r="W70" s="38" t="str">
        <f t="shared" si="13"/>
        <v/>
      </c>
      <c r="X70" s="11"/>
      <c r="Y70" s="11"/>
      <c r="Z70" s="11"/>
      <c r="AA70" s="11"/>
    </row>
    <row r="71" ht="13.5" customHeight="1" outlineLevel="1">
      <c r="A71" s="151"/>
      <c r="B71" s="85" t="s">
        <v>67</v>
      </c>
      <c r="C71" s="86">
        <v>0.018</v>
      </c>
      <c r="D71" s="87">
        <v>1.525</v>
      </c>
      <c r="E71" s="87">
        <v>1.525</v>
      </c>
      <c r="F71" s="156">
        <f t="shared" si="62"/>
        <v>0.04186125</v>
      </c>
      <c r="G71" s="156">
        <f t="shared" si="63"/>
        <v>2.325625</v>
      </c>
      <c r="H71" s="240">
        <v>550.0</v>
      </c>
      <c r="I71" s="158">
        <f t="shared" si="64"/>
        <v>642</v>
      </c>
      <c r="J71" s="159">
        <f t="shared" si="65"/>
        <v>32.27502375</v>
      </c>
      <c r="K71" s="160">
        <f t="shared" si="66"/>
        <v>13.878</v>
      </c>
      <c r="L71" s="161">
        <f t="shared" ref="L71:L72" si="72">T71+R71-O71</f>
        <v>0</v>
      </c>
      <c r="M71" s="241">
        <f t="shared" si="67"/>
        <v>0</v>
      </c>
      <c r="N71" s="163">
        <f t="shared" si="68"/>
        <v>0</v>
      </c>
      <c r="O71" s="242"/>
      <c r="P71" s="165" t="str">
        <f t="shared" si="69"/>
        <v/>
      </c>
      <c r="Q71" s="166"/>
      <c r="R71" s="247"/>
      <c r="S71" s="165">
        <f t="shared" si="70"/>
        <v>0</v>
      </c>
      <c r="T71" s="244">
        <v>0.0</v>
      </c>
      <c r="U71" s="169">
        <f t="shared" si="71"/>
        <v>0</v>
      </c>
      <c r="V71" s="38" t="str">
        <f t="shared" si="12"/>
        <v/>
      </c>
      <c r="W71" s="38" t="str">
        <f t="shared" si="13"/>
        <v/>
      </c>
      <c r="X71" s="11"/>
      <c r="Y71" s="11"/>
      <c r="Z71" s="11"/>
      <c r="AA71" s="11"/>
    </row>
    <row r="72" ht="13.5" customHeight="1" outlineLevel="1">
      <c r="A72" s="151"/>
      <c r="B72" s="248"/>
      <c r="C72" s="86">
        <v>0.045</v>
      </c>
      <c r="D72" s="87">
        <v>0.22</v>
      </c>
      <c r="E72" s="88">
        <v>4.8</v>
      </c>
      <c r="F72" s="156">
        <f t="shared" si="62"/>
        <v>0.04752</v>
      </c>
      <c r="G72" s="156">
        <f t="shared" si="63"/>
        <v>1.056</v>
      </c>
      <c r="H72" s="240">
        <v>376.95</v>
      </c>
      <c r="I72" s="158">
        <f>ROUND(H72*1.06,0)</f>
        <v>400</v>
      </c>
      <c r="J72" s="159">
        <f>ROUND((I72*0.88)*1.21,0)*(C72*D72*E72)</f>
        <v>20.24352</v>
      </c>
      <c r="K72" s="160">
        <f t="shared" si="66"/>
        <v>19.17</v>
      </c>
      <c r="L72" s="161">
        <f t="shared" si="72"/>
        <v>375</v>
      </c>
      <c r="M72" s="241">
        <f t="shared" si="67"/>
        <v>17.82</v>
      </c>
      <c r="N72" s="163">
        <f t="shared" si="68"/>
        <v>396</v>
      </c>
      <c r="O72" s="246"/>
      <c r="P72" s="165" t="str">
        <f t="shared" si="69"/>
        <v/>
      </c>
      <c r="Q72" s="166"/>
      <c r="R72" s="247"/>
      <c r="S72" s="165">
        <f t="shared" si="70"/>
        <v>0</v>
      </c>
      <c r="T72" s="244">
        <v>375.0</v>
      </c>
      <c r="U72" s="169">
        <f t="shared" si="71"/>
        <v>7591.32</v>
      </c>
      <c r="V72" s="38" t="str">
        <f t="shared" si="12"/>
        <v/>
      </c>
      <c r="W72" s="38" t="str">
        <f t="shared" si="13"/>
        <v/>
      </c>
      <c r="X72" s="11"/>
      <c r="Y72" s="11"/>
      <c r="Z72" s="11"/>
      <c r="AA72" s="11"/>
    </row>
    <row r="73" ht="13.5" customHeight="1">
      <c r="A73" s="151"/>
      <c r="B73" s="210" t="s">
        <v>56</v>
      </c>
      <c r="C73" s="211"/>
      <c r="D73" s="212"/>
      <c r="E73" s="211"/>
      <c r="F73" s="213"/>
      <c r="G73" s="213"/>
      <c r="H73" s="214">
        <f t="shared" ref="H73:I73" si="73">AVERAGE(H70:H72)</f>
        <v>492.3166667</v>
      </c>
      <c r="I73" s="215">
        <f t="shared" si="73"/>
        <v>561.3333333</v>
      </c>
      <c r="J73" s="216"/>
      <c r="K73" s="214">
        <f>AVERAGE(K70:K72)</f>
        <v>14.1</v>
      </c>
      <c r="L73" s="217"/>
      <c r="M73" s="218">
        <f>SUM(M70:M72)</f>
        <v>17.9037225</v>
      </c>
      <c r="N73" s="218"/>
      <c r="O73" s="219"/>
      <c r="P73" s="220">
        <f t="shared" ref="P73:Q73" si="74">SUM(P70:P72)</f>
        <v>0</v>
      </c>
      <c r="Q73" s="221">
        <f t="shared" si="74"/>
        <v>0</v>
      </c>
      <c r="R73" s="262"/>
      <c r="S73" s="223">
        <f>SUM(S70:S72)</f>
        <v>0</v>
      </c>
      <c r="T73" s="224"/>
      <c r="U73" s="225">
        <f>SUM(U70:U72)</f>
        <v>7655.870048</v>
      </c>
      <c r="V73" s="38" t="str">
        <f t="shared" si="12"/>
        <v/>
      </c>
      <c r="W73" s="38" t="str">
        <f t="shared" si="13"/>
        <v/>
      </c>
      <c r="X73" s="11"/>
      <c r="Y73" s="11"/>
      <c r="Z73" s="11"/>
      <c r="AA73" s="11"/>
    </row>
    <row r="74" ht="13.5" customHeight="1">
      <c r="A74" s="151"/>
      <c r="B74" s="226" t="s">
        <v>68</v>
      </c>
      <c r="C74" s="226"/>
      <c r="D74" s="226"/>
      <c r="E74" s="226"/>
      <c r="F74" s="226"/>
      <c r="G74" s="226"/>
      <c r="H74" s="226"/>
      <c r="I74" s="230"/>
      <c r="J74" s="231"/>
      <c r="K74" s="226"/>
      <c r="L74" s="226"/>
      <c r="M74" s="226"/>
      <c r="N74" s="232"/>
      <c r="O74" s="260"/>
      <c r="P74" s="226"/>
      <c r="Q74" s="261"/>
      <c r="R74" s="236"/>
      <c r="S74" s="226"/>
      <c r="T74" s="226"/>
      <c r="U74" s="237"/>
      <c r="V74" s="38" t="str">
        <f t="shared" si="12"/>
        <v/>
      </c>
      <c r="W74" s="38" t="str">
        <f t="shared" si="13"/>
        <v/>
      </c>
      <c r="X74" s="11"/>
      <c r="Y74" s="11"/>
      <c r="Z74" s="11"/>
      <c r="AA74" s="11"/>
    </row>
    <row r="75" ht="13.5" customHeight="1" outlineLevel="1">
      <c r="A75" s="151"/>
      <c r="B75" s="85" t="s">
        <v>69</v>
      </c>
      <c r="C75" s="249">
        <v>0.018</v>
      </c>
      <c r="D75" s="170">
        <v>0.093</v>
      </c>
      <c r="E75" s="88">
        <v>3.1</v>
      </c>
      <c r="F75" s="156">
        <f t="shared" ref="F75:F81" si="75">C75*D75*E75</f>
        <v>0.0051894</v>
      </c>
      <c r="G75" s="156">
        <f t="shared" ref="G75:G81" si="76">D75*E75</f>
        <v>0.2883</v>
      </c>
      <c r="H75" s="240">
        <v>800.0</v>
      </c>
      <c r="I75" s="158">
        <f t="shared" ref="I75:I81" si="77">ROUND(H75*1.1667,0)</f>
        <v>933</v>
      </c>
      <c r="J75" s="159">
        <f t="shared" ref="J75:J81" si="78">ROUND((I75*0.992)*1.21,0)*(C75*D75*E75)</f>
        <v>5.812128</v>
      </c>
      <c r="K75" s="160">
        <f t="shared" ref="K75:K81" si="79">J75/(D75*E75)</f>
        <v>20.16</v>
      </c>
      <c r="L75" s="161">
        <f t="shared" ref="L75:L81" si="80">T75+R75-O75</f>
        <v>297</v>
      </c>
      <c r="M75" s="241">
        <f t="shared" ref="M75:M81" si="81">L75*F75</f>
        <v>1.5412518</v>
      </c>
      <c r="N75" s="163">
        <f t="shared" ref="N75:N81" si="82">L75*G75</f>
        <v>85.6251</v>
      </c>
      <c r="O75" s="252"/>
      <c r="P75" s="165" t="str">
        <f t="shared" ref="P75:P81" si="83">IF(O75="","",(O75*F75))</f>
        <v/>
      </c>
      <c r="Q75" s="172"/>
      <c r="R75" s="243"/>
      <c r="S75" s="165">
        <f t="shared" ref="S75:S81" si="84">R75*F75</f>
        <v>0</v>
      </c>
      <c r="T75" s="244">
        <v>297.0</v>
      </c>
      <c r="U75" s="169">
        <f t="shared" ref="U75:U81" si="85">J75*L75</f>
        <v>1726.202016</v>
      </c>
      <c r="V75" s="38" t="str">
        <f t="shared" si="12"/>
        <v/>
      </c>
      <c r="W75" s="38" t="str">
        <f t="shared" si="13"/>
        <v/>
      </c>
      <c r="X75" s="11"/>
      <c r="Y75" s="11"/>
      <c r="Z75" s="11"/>
      <c r="AA75" s="11"/>
    </row>
    <row r="76" ht="13.5" customHeight="1" outlineLevel="1">
      <c r="A76" s="151"/>
      <c r="B76" s="85" t="s">
        <v>70</v>
      </c>
      <c r="C76" s="254">
        <v>0.02</v>
      </c>
      <c r="D76" s="255">
        <v>0.045</v>
      </c>
      <c r="E76" s="165">
        <v>3.0</v>
      </c>
      <c r="F76" s="156">
        <f t="shared" si="75"/>
        <v>0.0027</v>
      </c>
      <c r="G76" s="156">
        <f t="shared" si="76"/>
        <v>0.135</v>
      </c>
      <c r="H76" s="240">
        <v>800.0</v>
      </c>
      <c r="I76" s="158">
        <f t="shared" si="77"/>
        <v>933</v>
      </c>
      <c r="J76" s="159">
        <f t="shared" si="78"/>
        <v>3.024</v>
      </c>
      <c r="K76" s="160">
        <f t="shared" si="79"/>
        <v>22.4</v>
      </c>
      <c r="L76" s="161">
        <f t="shared" si="80"/>
        <v>18</v>
      </c>
      <c r="M76" s="241">
        <f t="shared" si="81"/>
        <v>0.0486</v>
      </c>
      <c r="N76" s="163">
        <f t="shared" si="82"/>
        <v>2.43</v>
      </c>
      <c r="O76" s="246"/>
      <c r="P76" s="165" t="str">
        <f t="shared" si="83"/>
        <v/>
      </c>
      <c r="Q76" s="166"/>
      <c r="R76" s="243"/>
      <c r="S76" s="165">
        <f t="shared" si="84"/>
        <v>0</v>
      </c>
      <c r="T76" s="244">
        <v>18.0</v>
      </c>
      <c r="U76" s="169">
        <f t="shared" si="85"/>
        <v>54.432</v>
      </c>
      <c r="V76" s="38" t="str">
        <f t="shared" si="12"/>
        <v/>
      </c>
      <c r="W76" s="38" t="str">
        <f t="shared" si="13"/>
        <v/>
      </c>
      <c r="X76" s="11"/>
      <c r="Y76" s="11"/>
      <c r="Z76" s="11"/>
      <c r="AA76" s="11"/>
    </row>
    <row r="77" ht="13.5" customHeight="1" outlineLevel="1">
      <c r="A77" s="151"/>
      <c r="B77" s="85" t="s">
        <v>69</v>
      </c>
      <c r="C77" s="249">
        <v>0.02</v>
      </c>
      <c r="D77" s="170">
        <v>0.045</v>
      </c>
      <c r="E77" s="155">
        <v>3.1</v>
      </c>
      <c r="F77" s="156">
        <f t="shared" si="75"/>
        <v>0.00279</v>
      </c>
      <c r="G77" s="156">
        <f t="shared" si="76"/>
        <v>0.1395</v>
      </c>
      <c r="H77" s="240">
        <v>800.0</v>
      </c>
      <c r="I77" s="158">
        <f t="shared" si="77"/>
        <v>933</v>
      </c>
      <c r="J77" s="159">
        <f t="shared" si="78"/>
        <v>3.1248</v>
      </c>
      <c r="K77" s="160">
        <f t="shared" si="79"/>
        <v>22.4</v>
      </c>
      <c r="L77" s="161">
        <f t="shared" si="80"/>
        <v>142</v>
      </c>
      <c r="M77" s="241">
        <f t="shared" si="81"/>
        <v>0.39618</v>
      </c>
      <c r="N77" s="163">
        <f t="shared" si="82"/>
        <v>19.809</v>
      </c>
      <c r="O77" s="246"/>
      <c r="P77" s="165" t="str">
        <f t="shared" si="83"/>
        <v/>
      </c>
      <c r="Q77" s="166"/>
      <c r="R77" s="243"/>
      <c r="S77" s="165">
        <f t="shared" si="84"/>
        <v>0</v>
      </c>
      <c r="T77" s="244">
        <v>142.0</v>
      </c>
      <c r="U77" s="169">
        <f t="shared" si="85"/>
        <v>443.7216</v>
      </c>
      <c r="V77" s="38" t="str">
        <f t="shared" si="12"/>
        <v/>
      </c>
      <c r="W77" s="38" t="str">
        <f t="shared" si="13"/>
        <v/>
      </c>
      <c r="X77" s="11"/>
      <c r="Y77" s="11"/>
      <c r="Z77" s="11"/>
      <c r="AA77" s="11"/>
    </row>
    <row r="78" ht="13.5" customHeight="1" outlineLevel="1">
      <c r="A78" s="151"/>
      <c r="B78" s="85" t="s">
        <v>70</v>
      </c>
      <c r="C78" s="249">
        <v>0.04</v>
      </c>
      <c r="D78" s="170">
        <v>0.095</v>
      </c>
      <c r="E78" s="155">
        <v>2.4</v>
      </c>
      <c r="F78" s="156">
        <f t="shared" si="75"/>
        <v>0.00912</v>
      </c>
      <c r="G78" s="156">
        <f t="shared" si="76"/>
        <v>0.228</v>
      </c>
      <c r="H78" s="240">
        <v>800.0</v>
      </c>
      <c r="I78" s="158">
        <f t="shared" si="77"/>
        <v>933</v>
      </c>
      <c r="J78" s="159">
        <f t="shared" si="78"/>
        <v>10.2144</v>
      </c>
      <c r="K78" s="160">
        <f t="shared" si="79"/>
        <v>44.8</v>
      </c>
      <c r="L78" s="161">
        <f t="shared" si="80"/>
        <v>100</v>
      </c>
      <c r="M78" s="241">
        <f t="shared" si="81"/>
        <v>0.912</v>
      </c>
      <c r="N78" s="163">
        <f t="shared" si="82"/>
        <v>22.8</v>
      </c>
      <c r="O78" s="275"/>
      <c r="P78" s="165" t="str">
        <f t="shared" si="83"/>
        <v/>
      </c>
      <c r="Q78" s="172"/>
      <c r="R78" s="243"/>
      <c r="S78" s="165">
        <f t="shared" si="84"/>
        <v>0</v>
      </c>
      <c r="T78" s="244">
        <v>100.0</v>
      </c>
      <c r="U78" s="169">
        <f t="shared" si="85"/>
        <v>1021.44</v>
      </c>
      <c r="V78" s="38" t="str">
        <f t="shared" si="12"/>
        <v/>
      </c>
      <c r="W78" s="38" t="str">
        <f t="shared" si="13"/>
        <v/>
      </c>
      <c r="X78" s="11"/>
      <c r="Y78" s="11"/>
      <c r="Z78" s="11"/>
      <c r="AA78" s="11"/>
    </row>
    <row r="79" ht="13.5" customHeight="1" outlineLevel="1">
      <c r="A79" s="151"/>
      <c r="B79" s="85" t="s">
        <v>69</v>
      </c>
      <c r="C79" s="249">
        <v>0.045</v>
      </c>
      <c r="D79" s="170">
        <v>0.045</v>
      </c>
      <c r="E79" s="88">
        <v>3.1</v>
      </c>
      <c r="F79" s="156">
        <f t="shared" si="75"/>
        <v>0.0062775</v>
      </c>
      <c r="G79" s="156">
        <f t="shared" si="76"/>
        <v>0.1395</v>
      </c>
      <c r="H79" s="240">
        <v>800.0</v>
      </c>
      <c r="I79" s="158">
        <f t="shared" si="77"/>
        <v>933</v>
      </c>
      <c r="J79" s="159">
        <f t="shared" si="78"/>
        <v>7.0308</v>
      </c>
      <c r="K79" s="160">
        <f t="shared" si="79"/>
        <v>50.4</v>
      </c>
      <c r="L79" s="161">
        <f t="shared" si="80"/>
        <v>42</v>
      </c>
      <c r="M79" s="241">
        <f t="shared" si="81"/>
        <v>0.263655</v>
      </c>
      <c r="N79" s="163">
        <f t="shared" si="82"/>
        <v>5.859</v>
      </c>
      <c r="O79" s="275"/>
      <c r="P79" s="165" t="str">
        <f t="shared" si="83"/>
        <v/>
      </c>
      <c r="Q79" s="172"/>
      <c r="R79" s="243"/>
      <c r="S79" s="165">
        <f t="shared" si="84"/>
        <v>0</v>
      </c>
      <c r="T79" s="244">
        <v>42.0</v>
      </c>
      <c r="U79" s="169">
        <f t="shared" si="85"/>
        <v>295.2936</v>
      </c>
      <c r="V79" s="38" t="str">
        <f t="shared" si="12"/>
        <v/>
      </c>
      <c r="W79" s="38" t="str">
        <f t="shared" si="13"/>
        <v/>
      </c>
      <c r="X79" s="11"/>
      <c r="Y79" s="11"/>
      <c r="Z79" s="11"/>
      <c r="AA79" s="11"/>
    </row>
    <row r="80" ht="13.5" customHeight="1" outlineLevel="1">
      <c r="A80" s="151"/>
      <c r="B80" s="85" t="s">
        <v>69</v>
      </c>
      <c r="C80" s="249">
        <v>0.045</v>
      </c>
      <c r="D80" s="170">
        <v>0.095</v>
      </c>
      <c r="E80" s="88">
        <v>3.1</v>
      </c>
      <c r="F80" s="156">
        <f t="shared" si="75"/>
        <v>0.0132525</v>
      </c>
      <c r="G80" s="156">
        <f t="shared" si="76"/>
        <v>0.2945</v>
      </c>
      <c r="H80" s="240">
        <v>800.0</v>
      </c>
      <c r="I80" s="158">
        <f t="shared" si="77"/>
        <v>933</v>
      </c>
      <c r="J80" s="159">
        <f t="shared" si="78"/>
        <v>14.8428</v>
      </c>
      <c r="K80" s="160">
        <f t="shared" si="79"/>
        <v>50.4</v>
      </c>
      <c r="L80" s="161">
        <f t="shared" si="80"/>
        <v>113</v>
      </c>
      <c r="M80" s="241">
        <f t="shared" si="81"/>
        <v>1.4975325</v>
      </c>
      <c r="N80" s="163">
        <f t="shared" si="82"/>
        <v>33.2785</v>
      </c>
      <c r="O80" s="275"/>
      <c r="P80" s="165" t="str">
        <f t="shared" si="83"/>
        <v/>
      </c>
      <c r="Q80" s="172"/>
      <c r="R80" s="243"/>
      <c r="S80" s="165">
        <f t="shared" si="84"/>
        <v>0</v>
      </c>
      <c r="T80" s="244">
        <v>113.0</v>
      </c>
      <c r="U80" s="169">
        <f t="shared" si="85"/>
        <v>1677.2364</v>
      </c>
      <c r="V80" s="38" t="str">
        <f t="shared" si="12"/>
        <v/>
      </c>
      <c r="W80" s="38" t="str">
        <f t="shared" si="13"/>
        <v/>
      </c>
      <c r="X80" s="11"/>
      <c r="Y80" s="11"/>
      <c r="Z80" s="11"/>
      <c r="AA80" s="11"/>
    </row>
    <row r="81" ht="13.5" customHeight="1" outlineLevel="1">
      <c r="A81" s="151"/>
      <c r="B81" s="85" t="s">
        <v>69</v>
      </c>
      <c r="C81" s="249">
        <v>0.045</v>
      </c>
      <c r="D81" s="87">
        <v>0.15</v>
      </c>
      <c r="E81" s="88">
        <v>3.1</v>
      </c>
      <c r="F81" s="156">
        <f t="shared" si="75"/>
        <v>0.020925</v>
      </c>
      <c r="G81" s="156">
        <f t="shared" si="76"/>
        <v>0.465</v>
      </c>
      <c r="H81" s="240">
        <v>800.0</v>
      </c>
      <c r="I81" s="158">
        <f t="shared" si="77"/>
        <v>933</v>
      </c>
      <c r="J81" s="159">
        <f t="shared" si="78"/>
        <v>23.436</v>
      </c>
      <c r="K81" s="160">
        <f t="shared" si="79"/>
        <v>50.4</v>
      </c>
      <c r="L81" s="161">
        <f t="shared" si="80"/>
        <v>33</v>
      </c>
      <c r="M81" s="241">
        <f t="shared" si="81"/>
        <v>0.690525</v>
      </c>
      <c r="N81" s="163">
        <f t="shared" si="82"/>
        <v>15.345</v>
      </c>
      <c r="O81" s="252"/>
      <c r="P81" s="165" t="str">
        <f t="shared" si="83"/>
        <v/>
      </c>
      <c r="Q81" s="172"/>
      <c r="R81" s="243"/>
      <c r="S81" s="165">
        <f t="shared" si="84"/>
        <v>0</v>
      </c>
      <c r="T81" s="244">
        <v>33.0</v>
      </c>
      <c r="U81" s="169">
        <f t="shared" si="85"/>
        <v>773.388</v>
      </c>
      <c r="V81" s="38" t="str">
        <f t="shared" si="12"/>
        <v/>
      </c>
      <c r="W81" s="38" t="str">
        <f t="shared" si="13"/>
        <v/>
      </c>
      <c r="X81" s="11"/>
      <c r="Y81" s="11"/>
      <c r="Z81" s="11"/>
      <c r="AA81" s="11"/>
    </row>
    <row r="82" ht="13.5" customHeight="1">
      <c r="A82" s="151"/>
      <c r="B82" s="210" t="s">
        <v>56</v>
      </c>
      <c r="C82" s="211"/>
      <c r="D82" s="212"/>
      <c r="E82" s="276" t="s">
        <v>34</v>
      </c>
      <c r="F82" s="213"/>
      <c r="G82" s="213"/>
      <c r="H82" s="214">
        <f t="shared" ref="H82:I82" si="86">AVERAGE(H75:H81)</f>
        <v>800</v>
      </c>
      <c r="I82" s="215">
        <f t="shared" si="86"/>
        <v>933</v>
      </c>
      <c r="J82" s="216"/>
      <c r="K82" s="214">
        <f>AVERAGE(K75:K81)</f>
        <v>37.28</v>
      </c>
      <c r="L82" s="217"/>
      <c r="M82" s="218">
        <f>SUM(M75:M81)</f>
        <v>5.3497443</v>
      </c>
      <c r="N82" s="218"/>
      <c r="O82" s="219"/>
      <c r="P82" s="220">
        <f t="shared" ref="P82:Q82" si="87">SUM(P75:P81)</f>
        <v>0</v>
      </c>
      <c r="Q82" s="221">
        <f t="shared" si="87"/>
        <v>0</v>
      </c>
      <c r="R82" s="262"/>
      <c r="S82" s="223">
        <f>SUM(S75:S81)</f>
        <v>0</v>
      </c>
      <c r="T82" s="224"/>
      <c r="U82" s="225">
        <f>SUM(U75:U81)</f>
        <v>5991.713616</v>
      </c>
      <c r="V82" s="38" t="str">
        <f t="shared" si="12"/>
        <v/>
      </c>
      <c r="W82" s="38" t="str">
        <f t="shared" si="13"/>
        <v/>
      </c>
      <c r="X82" s="11"/>
      <c r="Y82" s="11"/>
      <c r="Z82" s="11"/>
      <c r="AA82" s="11"/>
    </row>
    <row r="83" ht="13.5" customHeight="1">
      <c r="A83" s="151"/>
      <c r="B83" s="226" t="s">
        <v>71</v>
      </c>
      <c r="C83" s="226"/>
      <c r="D83" s="226"/>
      <c r="E83" s="226"/>
      <c r="F83" s="226"/>
      <c r="G83" s="226"/>
      <c r="H83" s="226"/>
      <c r="I83" s="230"/>
      <c r="J83" s="231"/>
      <c r="K83" s="226"/>
      <c r="L83" s="226"/>
      <c r="M83" s="226"/>
      <c r="N83" s="232"/>
      <c r="O83" s="260"/>
      <c r="P83" s="226"/>
      <c r="Q83" s="261"/>
      <c r="R83" s="236"/>
      <c r="S83" s="226"/>
      <c r="T83" s="226"/>
      <c r="U83" s="237"/>
      <c r="V83" s="38" t="str">
        <f t="shared" si="12"/>
        <v/>
      </c>
      <c r="W83" s="38" t="str">
        <f t="shared" si="13"/>
        <v/>
      </c>
      <c r="X83" s="11"/>
      <c r="Y83" s="11"/>
      <c r="Z83" s="11"/>
      <c r="AA83" s="11"/>
    </row>
    <row r="84" ht="13.5" customHeight="1" outlineLevel="1">
      <c r="A84" s="151"/>
      <c r="B84" s="248" t="s">
        <v>72</v>
      </c>
      <c r="C84" s="249">
        <v>0.045</v>
      </c>
      <c r="D84" s="170">
        <v>0.045</v>
      </c>
      <c r="E84" s="250">
        <v>6.0</v>
      </c>
      <c r="F84" s="156">
        <f t="shared" ref="F84:F85" si="88">C84*D84*E84</f>
        <v>0.01215</v>
      </c>
      <c r="G84" s="156">
        <f t="shared" ref="G84:G85" si="89">D84*E84</f>
        <v>0.27</v>
      </c>
      <c r="H84" s="240">
        <v>403.13</v>
      </c>
      <c r="I84" s="158">
        <f>ROUND(H84*1.125,0)</f>
        <v>454</v>
      </c>
      <c r="J84" s="159">
        <f t="shared" ref="J84:J85" si="90">ROUND((I84*0.992)*1.21,0)*(C84*D84*E84)</f>
        <v>6.62175</v>
      </c>
      <c r="K84" s="160">
        <f t="shared" ref="K84:K85" si="91">J84/(D84*E84)</f>
        <v>24.525</v>
      </c>
      <c r="L84" s="205">
        <v>312.0</v>
      </c>
      <c r="M84" s="241">
        <f t="shared" ref="M84:M85" si="92">L84*F84</f>
        <v>3.7908</v>
      </c>
      <c r="N84" s="163">
        <f t="shared" ref="N84:N85" si="93">L84*G84</f>
        <v>84.24</v>
      </c>
      <c r="O84" s="242"/>
      <c r="P84" s="165" t="str">
        <f t="shared" ref="P84:P85" si="94">IF(O84="","",(O84*F84))</f>
        <v/>
      </c>
      <c r="Q84" s="166"/>
      <c r="R84" s="243"/>
      <c r="S84" s="165">
        <f t="shared" ref="S84:S85" si="95">R84*F84</f>
        <v>0</v>
      </c>
      <c r="T84" s="263">
        <v>314.0</v>
      </c>
      <c r="U84" s="169">
        <f t="shared" ref="U84:U85" si="96">J84*L84</f>
        <v>2065.986</v>
      </c>
      <c r="V84" s="38" t="str">
        <f t="shared" si="12"/>
        <v/>
      </c>
      <c r="W84" s="38" t="str">
        <f t="shared" si="13"/>
        <v/>
      </c>
      <c r="X84" s="11"/>
      <c r="Y84" s="11"/>
      <c r="Z84" s="11"/>
      <c r="AA84" s="11"/>
    </row>
    <row r="85" ht="13.5" customHeight="1" outlineLevel="1">
      <c r="A85" s="151"/>
      <c r="B85" s="248" t="s">
        <v>72</v>
      </c>
      <c r="C85" s="86">
        <v>0.095</v>
      </c>
      <c r="D85" s="87">
        <v>0.095</v>
      </c>
      <c r="E85" s="277">
        <v>2.4</v>
      </c>
      <c r="F85" s="156">
        <f t="shared" si="88"/>
        <v>0.02166</v>
      </c>
      <c r="G85" s="156">
        <f t="shared" si="89"/>
        <v>0.228</v>
      </c>
      <c r="H85" s="240">
        <v>369.23</v>
      </c>
      <c r="I85" s="158">
        <f>ROUND(H85*0.9546,0)</f>
        <v>352</v>
      </c>
      <c r="J85" s="159">
        <f t="shared" si="90"/>
        <v>9.16218</v>
      </c>
      <c r="K85" s="160">
        <f t="shared" si="91"/>
        <v>40.185</v>
      </c>
      <c r="L85" s="161">
        <f>T85+R85-O85</f>
        <v>69</v>
      </c>
      <c r="M85" s="241">
        <f t="shared" si="92"/>
        <v>1.49454</v>
      </c>
      <c r="N85" s="163">
        <f t="shared" si="93"/>
        <v>15.732</v>
      </c>
      <c r="O85" s="246"/>
      <c r="P85" s="165" t="str">
        <f t="shared" si="94"/>
        <v/>
      </c>
      <c r="Q85" s="166"/>
      <c r="R85" s="243"/>
      <c r="S85" s="165">
        <f t="shared" si="95"/>
        <v>0</v>
      </c>
      <c r="T85" s="244">
        <v>69.0</v>
      </c>
      <c r="U85" s="169">
        <f t="shared" si="96"/>
        <v>632.19042</v>
      </c>
      <c r="V85" s="38" t="str">
        <f t="shared" si="12"/>
        <v/>
      </c>
      <c r="W85" s="38" t="str">
        <f t="shared" si="13"/>
        <v/>
      </c>
      <c r="X85" s="11"/>
      <c r="Y85" s="11"/>
      <c r="Z85" s="11"/>
      <c r="AA85" s="11"/>
    </row>
    <row r="86" ht="13.5" customHeight="1">
      <c r="A86" s="151"/>
      <c r="B86" s="210" t="s">
        <v>56</v>
      </c>
      <c r="C86" s="211"/>
      <c r="D86" s="212"/>
      <c r="E86" s="211"/>
      <c r="F86" s="213"/>
      <c r="G86" s="213"/>
      <c r="H86" s="214">
        <f t="shared" ref="H86:I86" si="97">AVERAGE(H84:H85)</f>
        <v>386.18</v>
      </c>
      <c r="I86" s="215">
        <f t="shared" si="97"/>
        <v>403</v>
      </c>
      <c r="J86" s="216"/>
      <c r="K86" s="214">
        <f>AVERAGE(K84:K85)</f>
        <v>32.355</v>
      </c>
      <c r="L86" s="217"/>
      <c r="M86" s="278">
        <f>SUM(M84+M85)</f>
        <v>5.28534</v>
      </c>
      <c r="N86" s="218"/>
      <c r="O86" s="219"/>
      <c r="P86" s="220">
        <f t="shared" ref="P86:Q86" si="98">SUM(P84+P85)</f>
        <v>0</v>
      </c>
      <c r="Q86" s="216">
        <f t="shared" si="98"/>
        <v>0</v>
      </c>
      <c r="R86" s="262"/>
      <c r="S86" s="223">
        <f>SUM(S84+S85)</f>
        <v>0</v>
      </c>
      <c r="T86" s="224"/>
      <c r="U86" s="225">
        <f>SUM(U84:U85)</f>
        <v>2698.17642</v>
      </c>
      <c r="V86" s="38" t="str">
        <f t="shared" si="12"/>
        <v/>
      </c>
      <c r="W86" s="38" t="str">
        <f t="shared" si="13"/>
        <v/>
      </c>
      <c r="X86" s="11"/>
      <c r="Y86" s="11"/>
      <c r="Z86" s="11"/>
      <c r="AA86" s="11"/>
    </row>
    <row r="87" ht="13.5" customHeight="1">
      <c r="A87" s="151"/>
      <c r="B87" s="264" t="s">
        <v>73</v>
      </c>
      <c r="C87" s="226"/>
      <c r="D87" s="226"/>
      <c r="E87" s="226"/>
      <c r="F87" s="226"/>
      <c r="G87" s="226"/>
      <c r="H87" s="226"/>
      <c r="I87" s="230"/>
      <c r="J87" s="231"/>
      <c r="K87" s="226"/>
      <c r="L87" s="226"/>
      <c r="M87" s="226"/>
      <c r="N87" s="232"/>
      <c r="O87" s="260"/>
      <c r="P87" s="226"/>
      <c r="Q87" s="261"/>
      <c r="R87" s="236"/>
      <c r="S87" s="226"/>
      <c r="T87" s="226"/>
      <c r="U87" s="237"/>
      <c r="V87" s="38" t="str">
        <f t="shared" si="12"/>
        <v/>
      </c>
      <c r="W87" s="38" t="str">
        <f t="shared" si="13"/>
        <v/>
      </c>
      <c r="X87" s="11"/>
      <c r="Y87" s="11"/>
      <c r="Z87" s="11"/>
      <c r="AA87" s="11"/>
    </row>
    <row r="88" ht="13.5" customHeight="1" outlineLevel="1">
      <c r="A88" s="151"/>
      <c r="B88" s="248" t="s">
        <v>74</v>
      </c>
      <c r="C88" s="254">
        <v>0.01</v>
      </c>
      <c r="D88" s="255">
        <v>0.02</v>
      </c>
      <c r="E88" s="165">
        <v>1.6</v>
      </c>
      <c r="F88" s="156">
        <f>C88*D88*E88</f>
        <v>0.00032</v>
      </c>
      <c r="G88" s="156">
        <f>D88*E88</f>
        <v>0.032</v>
      </c>
      <c r="H88" s="240">
        <v>571.2</v>
      </c>
      <c r="I88" s="158">
        <f>ROUND(H88*1.35,0)</f>
        <v>771</v>
      </c>
      <c r="J88" s="159">
        <f>ROUND((I88*0.992)*1.21,0)*(C88*D88*E88)</f>
        <v>0.296</v>
      </c>
      <c r="K88" s="160">
        <f>J88/(D88*E88)</f>
        <v>9.25</v>
      </c>
      <c r="L88" s="161">
        <f>T88+R88-O88</f>
        <v>568</v>
      </c>
      <c r="M88" s="241">
        <f>L88*F88</f>
        <v>0.18176</v>
      </c>
      <c r="N88" s="163">
        <f>L88*G88</f>
        <v>18.176</v>
      </c>
      <c r="O88" s="252"/>
      <c r="P88" s="165" t="str">
        <f>IF(O88="","",(O88*F88))</f>
        <v/>
      </c>
      <c r="Q88" s="172"/>
      <c r="R88" s="243"/>
      <c r="S88" s="165">
        <f>R88*F88</f>
        <v>0</v>
      </c>
      <c r="T88" s="244">
        <v>568.0</v>
      </c>
      <c r="U88" s="169">
        <f>J88*L88</f>
        <v>168.128</v>
      </c>
      <c r="V88" s="38" t="str">
        <f t="shared" si="12"/>
        <v/>
      </c>
      <c r="W88" s="38" t="str">
        <f t="shared" si="13"/>
        <v/>
      </c>
      <c r="X88" s="11"/>
      <c r="Y88" s="11"/>
      <c r="Z88" s="11"/>
      <c r="AA88" s="11"/>
    </row>
    <row r="89" ht="13.5" customHeight="1">
      <c r="A89" s="151"/>
      <c r="B89" s="210" t="s">
        <v>56</v>
      </c>
      <c r="C89" s="211"/>
      <c r="D89" s="212"/>
      <c r="E89" s="211"/>
      <c r="F89" s="213"/>
      <c r="G89" s="213"/>
      <c r="H89" s="214">
        <f t="shared" ref="H89:I89" si="99">AVERAGE(H88)</f>
        <v>571.2</v>
      </c>
      <c r="I89" s="215">
        <f t="shared" si="99"/>
        <v>771</v>
      </c>
      <c r="J89" s="216"/>
      <c r="K89" s="214">
        <f>AVERAGE(K88)</f>
        <v>9.25</v>
      </c>
      <c r="L89" s="217"/>
      <c r="M89" s="218">
        <f>SUM(M88)</f>
        <v>0.18176</v>
      </c>
      <c r="N89" s="218"/>
      <c r="O89" s="219"/>
      <c r="P89" s="220">
        <f t="shared" ref="P89:Q89" si="100">SUM(P88)</f>
        <v>0</v>
      </c>
      <c r="Q89" s="221">
        <f t="shared" si="100"/>
        <v>0</v>
      </c>
      <c r="R89" s="262"/>
      <c r="S89" s="223">
        <f>SUM(S88)</f>
        <v>0</v>
      </c>
      <c r="T89" s="224"/>
      <c r="U89" s="225">
        <f>SUM(U88)</f>
        <v>168.128</v>
      </c>
      <c r="V89" s="38" t="str">
        <f t="shared" si="12"/>
        <v/>
      </c>
      <c r="W89" s="38" t="str">
        <f t="shared" si="13"/>
        <v/>
      </c>
      <c r="X89" s="11"/>
      <c r="Y89" s="11"/>
      <c r="Z89" s="11"/>
      <c r="AA89" s="11"/>
    </row>
    <row r="90" ht="13.5" customHeight="1">
      <c r="A90" s="151"/>
      <c r="B90" s="226" t="s">
        <v>75</v>
      </c>
      <c r="C90" s="226"/>
      <c r="D90" s="226"/>
      <c r="E90" s="226"/>
      <c r="F90" s="226"/>
      <c r="G90" s="226"/>
      <c r="H90" s="226"/>
      <c r="I90" s="230"/>
      <c r="J90" s="231"/>
      <c r="K90" s="226"/>
      <c r="L90" s="226"/>
      <c r="M90" s="226"/>
      <c r="N90" s="232"/>
      <c r="O90" s="260"/>
      <c r="P90" s="226"/>
      <c r="Q90" s="261"/>
      <c r="R90" s="236"/>
      <c r="S90" s="226"/>
      <c r="T90" s="226"/>
      <c r="U90" s="237"/>
      <c r="V90" s="38" t="str">
        <f t="shared" si="12"/>
        <v/>
      </c>
      <c r="W90" s="38" t="str">
        <f t="shared" si="13"/>
        <v/>
      </c>
      <c r="X90" s="11"/>
      <c r="Y90" s="11"/>
      <c r="Z90" s="11"/>
      <c r="AA90" s="11"/>
    </row>
    <row r="91" ht="13.5" customHeight="1" outlineLevel="1">
      <c r="A91" s="151"/>
      <c r="B91" s="248" t="s">
        <v>76</v>
      </c>
      <c r="C91" s="248">
        <v>0.9</v>
      </c>
      <c r="D91" s="155">
        <v>0.36</v>
      </c>
      <c r="E91" s="250">
        <v>1.04</v>
      </c>
      <c r="F91" s="279"/>
      <c r="G91" s="280"/>
      <c r="H91" s="280"/>
      <c r="I91" s="281"/>
      <c r="J91" s="282">
        <v>66.55</v>
      </c>
      <c r="K91" s="248"/>
      <c r="L91" s="161">
        <f t="shared" ref="L91:L98" si="101">T91+R91-O91</f>
        <v>1</v>
      </c>
      <c r="M91" s="283"/>
      <c r="N91" s="284"/>
      <c r="O91" s="285"/>
      <c r="P91" s="283"/>
      <c r="Q91" s="172"/>
      <c r="R91" s="286"/>
      <c r="S91" s="155"/>
      <c r="T91" s="168">
        <v>1.0</v>
      </c>
      <c r="U91" s="169">
        <f t="shared" ref="U91:U98" si="102">J91*L91</f>
        <v>66.55</v>
      </c>
      <c r="V91" s="38" t="str">
        <f t="shared" si="12"/>
        <v/>
      </c>
      <c r="W91" s="38" t="str">
        <f t="shared" si="13"/>
        <v/>
      </c>
      <c r="X91" s="11"/>
      <c r="Y91" s="11"/>
      <c r="Z91" s="11"/>
      <c r="AA91" s="11"/>
    </row>
    <row r="92" ht="13.5" customHeight="1" outlineLevel="1">
      <c r="A92" s="151"/>
      <c r="B92" s="248" t="s">
        <v>77</v>
      </c>
      <c r="C92" s="248">
        <v>0.35</v>
      </c>
      <c r="D92" s="155">
        <v>0.35</v>
      </c>
      <c r="E92" s="250">
        <v>1.0</v>
      </c>
      <c r="F92" s="279"/>
      <c r="G92" s="280"/>
      <c r="H92" s="280"/>
      <c r="I92" s="281"/>
      <c r="J92" s="282">
        <v>42.35</v>
      </c>
      <c r="K92" s="248"/>
      <c r="L92" s="161">
        <f t="shared" si="101"/>
        <v>1</v>
      </c>
      <c r="M92" s="283"/>
      <c r="N92" s="284"/>
      <c r="O92" s="285"/>
      <c r="P92" s="283"/>
      <c r="Q92" s="172"/>
      <c r="R92" s="286"/>
      <c r="S92" s="155"/>
      <c r="T92" s="168">
        <v>1.0</v>
      </c>
      <c r="U92" s="169">
        <f t="shared" si="102"/>
        <v>42.35</v>
      </c>
      <c r="V92" s="38" t="str">
        <f t="shared" si="12"/>
        <v/>
      </c>
      <c r="W92" s="38" t="str">
        <f t="shared" si="13"/>
        <v/>
      </c>
      <c r="X92" s="11"/>
      <c r="Y92" s="11"/>
      <c r="Z92" s="11"/>
      <c r="AA92" s="11"/>
    </row>
    <row r="93" ht="13.5" customHeight="1" outlineLevel="1">
      <c r="A93" s="151"/>
      <c r="B93" s="248" t="s">
        <v>78</v>
      </c>
      <c r="C93" s="248">
        <v>0.38</v>
      </c>
      <c r="D93" s="155">
        <v>0.38</v>
      </c>
      <c r="E93" s="250">
        <v>0.4</v>
      </c>
      <c r="F93" s="279"/>
      <c r="G93" s="280"/>
      <c r="H93" s="280"/>
      <c r="I93" s="281"/>
      <c r="J93" s="282">
        <v>36.3</v>
      </c>
      <c r="K93" s="248"/>
      <c r="L93" s="161">
        <f t="shared" si="101"/>
        <v>1</v>
      </c>
      <c r="M93" s="283"/>
      <c r="N93" s="284"/>
      <c r="O93" s="285"/>
      <c r="P93" s="283"/>
      <c r="Q93" s="172"/>
      <c r="R93" s="286"/>
      <c r="S93" s="155"/>
      <c r="T93" s="168">
        <v>1.0</v>
      </c>
      <c r="U93" s="169">
        <f t="shared" si="102"/>
        <v>36.3</v>
      </c>
      <c r="V93" s="38" t="str">
        <f t="shared" si="12"/>
        <v/>
      </c>
      <c r="W93" s="38" t="str">
        <f t="shared" si="13"/>
        <v/>
      </c>
      <c r="X93" s="11"/>
      <c r="Y93" s="11"/>
      <c r="Z93" s="11"/>
      <c r="AA93" s="11"/>
    </row>
    <row r="94" ht="13.5" customHeight="1" outlineLevel="1">
      <c r="A94" s="151"/>
      <c r="B94" s="248" t="s">
        <v>79</v>
      </c>
      <c r="C94" s="248">
        <v>0.9</v>
      </c>
      <c r="D94" s="155">
        <v>0.59</v>
      </c>
      <c r="E94" s="250">
        <v>1.2</v>
      </c>
      <c r="F94" s="279"/>
      <c r="G94" s="280"/>
      <c r="H94" s="280"/>
      <c r="I94" s="281"/>
      <c r="J94" s="282">
        <v>72.6</v>
      </c>
      <c r="K94" s="248"/>
      <c r="L94" s="161">
        <f t="shared" si="101"/>
        <v>1</v>
      </c>
      <c r="M94" s="283"/>
      <c r="N94" s="284"/>
      <c r="O94" s="287"/>
      <c r="P94" s="283"/>
      <c r="Q94" s="166"/>
      <c r="R94" s="286"/>
      <c r="S94" s="155"/>
      <c r="T94" s="168">
        <v>1.0</v>
      </c>
      <c r="U94" s="169">
        <f t="shared" si="102"/>
        <v>72.6</v>
      </c>
      <c r="V94" s="38" t="str">
        <f t="shared" si="12"/>
        <v/>
      </c>
      <c r="W94" s="38" t="str">
        <f t="shared" si="13"/>
        <v/>
      </c>
      <c r="X94" s="11"/>
      <c r="Y94" s="11"/>
      <c r="Z94" s="11"/>
      <c r="AA94" s="11"/>
    </row>
    <row r="95" ht="13.5" customHeight="1" outlineLevel="1">
      <c r="A95" s="151"/>
      <c r="B95" s="85" t="s">
        <v>80</v>
      </c>
      <c r="C95" s="248">
        <v>0.96</v>
      </c>
      <c r="D95" s="155">
        <v>0.8</v>
      </c>
      <c r="E95" s="250">
        <v>1.7</v>
      </c>
      <c r="F95" s="279"/>
      <c r="G95" s="280"/>
      <c r="H95" s="280"/>
      <c r="I95" s="281"/>
      <c r="J95" s="288">
        <v>170.0</v>
      </c>
      <c r="K95" s="248"/>
      <c r="L95" s="161">
        <f t="shared" si="101"/>
        <v>1</v>
      </c>
      <c r="M95" s="283"/>
      <c r="N95" s="284"/>
      <c r="O95" s="285"/>
      <c r="P95" s="283"/>
      <c r="Q95" s="172"/>
      <c r="R95" s="286"/>
      <c r="S95" s="155"/>
      <c r="T95" s="168">
        <v>1.0</v>
      </c>
      <c r="U95" s="169">
        <f t="shared" si="102"/>
        <v>170</v>
      </c>
      <c r="V95" s="38" t="str">
        <f t="shared" si="12"/>
        <v/>
      </c>
      <c r="W95" s="38" t="str">
        <f t="shared" si="13"/>
        <v/>
      </c>
      <c r="X95" s="11"/>
      <c r="Y95" s="11"/>
      <c r="Z95" s="11"/>
      <c r="AA95" s="11"/>
    </row>
    <row r="96" ht="13.5" customHeight="1" outlineLevel="1">
      <c r="A96" s="151"/>
      <c r="B96" s="85" t="s">
        <v>81</v>
      </c>
      <c r="C96" s="248">
        <v>0.96</v>
      </c>
      <c r="D96" s="155">
        <v>0.8</v>
      </c>
      <c r="E96" s="250">
        <v>1.7</v>
      </c>
      <c r="F96" s="279"/>
      <c r="G96" s="280"/>
      <c r="H96" s="280"/>
      <c r="I96" s="281"/>
      <c r="J96" s="288">
        <v>150.0</v>
      </c>
      <c r="K96" s="248"/>
      <c r="L96" s="161">
        <f t="shared" si="101"/>
        <v>1</v>
      </c>
      <c r="M96" s="283"/>
      <c r="N96" s="284"/>
      <c r="O96" s="285"/>
      <c r="P96" s="283"/>
      <c r="Q96" s="172"/>
      <c r="R96" s="286"/>
      <c r="S96" s="155"/>
      <c r="T96" s="168">
        <v>1.0</v>
      </c>
      <c r="U96" s="169">
        <f t="shared" si="102"/>
        <v>150</v>
      </c>
      <c r="V96" s="38" t="str">
        <f t="shared" si="12"/>
        <v/>
      </c>
      <c r="W96" s="38" t="str">
        <f t="shared" si="13"/>
        <v/>
      </c>
      <c r="X96" s="11"/>
      <c r="Y96" s="11"/>
      <c r="Z96" s="11"/>
      <c r="AA96" s="11"/>
    </row>
    <row r="97" ht="13.5" customHeight="1" outlineLevel="1">
      <c r="A97" s="151"/>
      <c r="B97" s="248" t="s">
        <v>82</v>
      </c>
      <c r="C97" s="248">
        <v>0.96</v>
      </c>
      <c r="D97" s="155">
        <v>0.8</v>
      </c>
      <c r="E97" s="250">
        <v>1.7</v>
      </c>
      <c r="F97" s="279"/>
      <c r="G97" s="280"/>
      <c r="H97" s="280"/>
      <c r="I97" s="281"/>
      <c r="J97" s="288">
        <v>150.0</v>
      </c>
      <c r="K97" s="248"/>
      <c r="L97" s="161">
        <f t="shared" si="101"/>
        <v>1</v>
      </c>
      <c r="M97" s="283"/>
      <c r="N97" s="284"/>
      <c r="O97" s="285"/>
      <c r="P97" s="283"/>
      <c r="Q97" s="172"/>
      <c r="R97" s="286"/>
      <c r="S97" s="155"/>
      <c r="T97" s="168">
        <v>1.0</v>
      </c>
      <c r="U97" s="169">
        <f t="shared" si="102"/>
        <v>150</v>
      </c>
      <c r="V97" s="38" t="str">
        <f t="shared" si="12"/>
        <v/>
      </c>
      <c r="W97" s="38" t="str">
        <f t="shared" si="13"/>
        <v/>
      </c>
      <c r="X97" s="11"/>
      <c r="Y97" s="11"/>
      <c r="Z97" s="11"/>
      <c r="AA97" s="11"/>
    </row>
    <row r="98" ht="13.5" customHeight="1" outlineLevel="1">
      <c r="A98" s="151"/>
      <c r="B98" s="258" t="s">
        <v>83</v>
      </c>
      <c r="C98" s="258">
        <v>0.14</v>
      </c>
      <c r="D98" s="197">
        <v>0.35</v>
      </c>
      <c r="E98" s="289">
        <v>0.91</v>
      </c>
      <c r="F98" s="290"/>
      <c r="G98" s="291"/>
      <c r="H98" s="291"/>
      <c r="I98" s="292"/>
      <c r="J98" s="293"/>
      <c r="K98" s="258"/>
      <c r="L98" s="161">
        <f t="shared" si="101"/>
        <v>1</v>
      </c>
      <c r="M98" s="294"/>
      <c r="N98" s="295"/>
      <c r="O98" s="296"/>
      <c r="P98" s="294"/>
      <c r="Q98" s="172"/>
      <c r="R98" s="297"/>
      <c r="S98" s="197"/>
      <c r="T98" s="168">
        <v>1.0</v>
      </c>
      <c r="U98" s="169">
        <f t="shared" si="102"/>
        <v>0</v>
      </c>
      <c r="V98" s="38" t="str">
        <f t="shared" si="12"/>
        <v/>
      </c>
      <c r="W98" s="38" t="str">
        <f t="shared" si="13"/>
        <v/>
      </c>
      <c r="X98" s="11"/>
      <c r="Y98" s="11"/>
      <c r="Z98" s="11"/>
      <c r="AA98" s="11"/>
    </row>
    <row r="99" ht="15.0" customHeight="1">
      <c r="A99" s="151"/>
      <c r="B99" s="211" t="s">
        <v>56</v>
      </c>
      <c r="C99" s="298"/>
      <c r="D99" s="298"/>
      <c r="E99" s="298"/>
      <c r="F99" s="298"/>
      <c r="G99" s="298"/>
      <c r="H99" s="298"/>
      <c r="I99" s="299"/>
      <c r="J99" s="300"/>
      <c r="K99" s="211"/>
      <c r="L99" s="217"/>
      <c r="M99" s="218"/>
      <c r="N99" s="301"/>
      <c r="O99" s="300"/>
      <c r="P99" s="220"/>
      <c r="Q99" s="221">
        <f>SUM(Q91:Q98)</f>
        <v>0</v>
      </c>
      <c r="R99" s="262"/>
      <c r="S99" s="223">
        <f>SUM(S91:S98)</f>
        <v>0</v>
      </c>
      <c r="T99" s="224"/>
      <c r="U99" s="225">
        <f>SUM(U91:U98)</f>
        <v>687.8</v>
      </c>
      <c r="V99" s="38" t="str">
        <f t="shared" si="12"/>
        <v/>
      </c>
      <c r="W99" s="38" t="str">
        <f t="shared" si="13"/>
        <v/>
      </c>
      <c r="X99" s="11"/>
      <c r="Y99" s="11"/>
      <c r="Z99" s="11"/>
      <c r="AA99" s="11"/>
    </row>
    <row r="100" ht="15.0" customHeight="1">
      <c r="A100" s="29"/>
      <c r="B100" s="302" t="s">
        <v>84</v>
      </c>
      <c r="C100" s="303"/>
      <c r="D100" s="303"/>
      <c r="E100" s="303"/>
      <c r="F100" s="303"/>
      <c r="G100" s="303"/>
      <c r="H100" s="304">
        <f t="shared" ref="H100:I100" si="103">AVERAGE(H29:H58:H64:H68:H73:H82:H86:H89)</f>
        <v>489.0737705</v>
      </c>
      <c r="I100" s="305">
        <f t="shared" si="103"/>
        <v>557.4480057</v>
      </c>
      <c r="J100" s="306"/>
      <c r="K100" s="304">
        <f>AVERAGE(K29:K58:K64:K68:K73:K82:K86:K89)</f>
        <v>16.39174709</v>
      </c>
      <c r="L100" s="307"/>
      <c r="M100" s="303">
        <f>SUM(M29+M58+M64+M68+M73+M82+M86+M89)</f>
        <v>166.9214684</v>
      </c>
      <c r="N100" s="308"/>
      <c r="O100" s="309"/>
      <c r="P100" s="304">
        <f>SUM(P29+P58+P64+P68+P73+P82+P86+P89)</f>
        <v>1.952634</v>
      </c>
      <c r="Q100" s="310">
        <f>SUM(Q29+Q58+Q64+Q68+Q73+Q82+Q86+Q89+Q99)</f>
        <v>1070.39</v>
      </c>
      <c r="R100" s="311"/>
      <c r="S100" s="304">
        <f>SUM(S29+S58+S64+S68+S73+S82+S86+S89+S99)</f>
        <v>0</v>
      </c>
      <c r="T100" s="312"/>
      <c r="U100" s="313">
        <f>SUM(U29+U58+U64+U68+U73+U82+U86+U89+U99)</f>
        <v>98410.2016</v>
      </c>
      <c r="V100" s="38" t="str">
        <f t="shared" si="12"/>
        <v/>
      </c>
      <c r="W100" s="38" t="str">
        <f t="shared" si="13"/>
        <v/>
      </c>
      <c r="X100" s="11"/>
      <c r="Y100" s="11"/>
      <c r="Z100" s="11"/>
      <c r="AA100" s="11"/>
    </row>
    <row r="101" ht="13.5" customHeight="1">
      <c r="A101" s="314" t="s">
        <v>85</v>
      </c>
      <c r="B101" s="264" t="s">
        <v>86</v>
      </c>
      <c r="C101" s="226"/>
      <c r="D101" s="226"/>
      <c r="E101" s="226"/>
      <c r="F101" s="226"/>
      <c r="G101" s="226"/>
      <c r="H101" s="226"/>
      <c r="I101" s="230"/>
      <c r="J101" s="231"/>
      <c r="K101" s="226"/>
      <c r="L101" s="226"/>
      <c r="M101" s="226"/>
      <c r="N101" s="232"/>
      <c r="O101" s="260"/>
      <c r="P101" s="226"/>
      <c r="Q101" s="261"/>
      <c r="R101" s="236"/>
      <c r="S101" s="226"/>
      <c r="T101" s="226"/>
      <c r="U101" s="237"/>
      <c r="V101" s="38" t="str">
        <f t="shared" si="12"/>
        <v/>
      </c>
      <c r="W101" s="38" t="str">
        <f t="shared" si="13"/>
        <v/>
      </c>
      <c r="X101" s="11"/>
      <c r="Y101" s="11"/>
      <c r="Z101" s="11"/>
      <c r="AA101" s="11"/>
    </row>
    <row r="102" ht="13.5" customHeight="1" outlineLevel="1">
      <c r="A102" s="315"/>
      <c r="B102" s="85" t="s">
        <v>87</v>
      </c>
      <c r="C102" s="238">
        <v>0.045</v>
      </c>
      <c r="D102" s="239">
        <v>0.12</v>
      </c>
      <c r="E102" s="245">
        <v>3.9</v>
      </c>
      <c r="F102" s="156">
        <f t="shared" ref="F102:F107" si="104">C102*D102*E102</f>
        <v>0.02106</v>
      </c>
      <c r="G102" s="156">
        <f t="shared" ref="G102:G107" si="105">D102*E102</f>
        <v>0.468</v>
      </c>
      <c r="H102" s="240">
        <v>210.0</v>
      </c>
      <c r="I102" s="316">
        <v>300.0</v>
      </c>
      <c r="J102" s="159">
        <f t="shared" ref="J102:J106" si="106">I102*F102</f>
        <v>6.318</v>
      </c>
      <c r="K102" s="160">
        <f t="shared" ref="K102:K107" si="107">J102/(D102*E102)</f>
        <v>13.5</v>
      </c>
      <c r="L102" s="161">
        <f t="shared" ref="L102:L107" si="108">T102+R102-O102</f>
        <v>160</v>
      </c>
      <c r="M102" s="241">
        <f t="shared" ref="M102:M107" si="109">L102*F102</f>
        <v>3.3696</v>
      </c>
      <c r="N102" s="163">
        <f t="shared" ref="N102:N107" si="110">L102*G102</f>
        <v>74.88</v>
      </c>
      <c r="O102" s="246"/>
      <c r="P102" s="165" t="str">
        <f t="shared" ref="P102:P107" si="111">IF(O102="","",(O102*F102))</f>
        <v/>
      </c>
      <c r="Q102" s="166"/>
      <c r="R102" s="243"/>
      <c r="S102" s="165">
        <f t="shared" ref="S102:S107" si="112">R102*F102</f>
        <v>0</v>
      </c>
      <c r="T102" s="263">
        <v>160.0</v>
      </c>
      <c r="U102" s="169">
        <f t="shared" ref="U102:U107" si="113">J102*L102</f>
        <v>1010.88</v>
      </c>
      <c r="V102" s="38" t="str">
        <f t="shared" si="12"/>
        <v/>
      </c>
      <c r="W102" s="38" t="str">
        <f t="shared" si="13"/>
        <v/>
      </c>
      <c r="X102" s="11"/>
      <c r="Y102" s="11"/>
      <c r="Z102" s="11"/>
      <c r="AA102" s="11"/>
    </row>
    <row r="103" ht="13.5" customHeight="1" outlineLevel="1">
      <c r="A103" s="315"/>
      <c r="B103" s="85" t="s">
        <v>87</v>
      </c>
      <c r="C103" s="238">
        <v>0.045</v>
      </c>
      <c r="D103" s="239">
        <v>0.12</v>
      </c>
      <c r="E103" s="245">
        <v>4.2</v>
      </c>
      <c r="F103" s="156">
        <f t="shared" si="104"/>
        <v>0.02268</v>
      </c>
      <c r="G103" s="156">
        <f t="shared" si="105"/>
        <v>0.504</v>
      </c>
      <c r="H103" s="240">
        <v>210.0</v>
      </c>
      <c r="I103" s="316">
        <v>300.0</v>
      </c>
      <c r="J103" s="159">
        <f t="shared" si="106"/>
        <v>6.804</v>
      </c>
      <c r="K103" s="160">
        <f t="shared" si="107"/>
        <v>13.5</v>
      </c>
      <c r="L103" s="161">
        <f t="shared" si="108"/>
        <v>1280</v>
      </c>
      <c r="M103" s="241">
        <f t="shared" si="109"/>
        <v>29.0304</v>
      </c>
      <c r="N103" s="163">
        <f t="shared" si="110"/>
        <v>645.12</v>
      </c>
      <c r="O103" s="252"/>
      <c r="P103" s="165" t="str">
        <f t="shared" si="111"/>
        <v/>
      </c>
      <c r="Q103" s="172"/>
      <c r="R103" s="243"/>
      <c r="S103" s="165">
        <f t="shared" si="112"/>
        <v>0</v>
      </c>
      <c r="T103" s="244">
        <v>1280.0</v>
      </c>
      <c r="U103" s="169">
        <f t="shared" si="113"/>
        <v>8709.12</v>
      </c>
      <c r="V103" s="38" t="str">
        <f t="shared" si="12"/>
        <v/>
      </c>
      <c r="W103" s="38" t="str">
        <f t="shared" si="13"/>
        <v/>
      </c>
      <c r="X103" s="11"/>
      <c r="Y103" s="11"/>
      <c r="Z103" s="11"/>
      <c r="AA103" s="11"/>
    </row>
    <row r="104" ht="13.5" customHeight="1" outlineLevel="1">
      <c r="A104" s="315"/>
      <c r="B104" s="85" t="s">
        <v>88</v>
      </c>
      <c r="C104" s="238">
        <v>0.045</v>
      </c>
      <c r="D104" s="239">
        <v>0.145</v>
      </c>
      <c r="E104" s="245">
        <v>4.8</v>
      </c>
      <c r="F104" s="156">
        <f t="shared" si="104"/>
        <v>0.03132</v>
      </c>
      <c r="G104" s="156">
        <f t="shared" si="105"/>
        <v>0.696</v>
      </c>
      <c r="H104" s="240">
        <f>345+2.7</f>
        <v>347.7</v>
      </c>
      <c r="I104" s="158">
        <f>H104*1.05838</f>
        <v>367.998726</v>
      </c>
      <c r="J104" s="159">
        <f t="shared" si="106"/>
        <v>11.5257201</v>
      </c>
      <c r="K104" s="160">
        <f t="shared" si="107"/>
        <v>16.55994267</v>
      </c>
      <c r="L104" s="161">
        <f t="shared" si="108"/>
        <v>336</v>
      </c>
      <c r="M104" s="241">
        <f t="shared" si="109"/>
        <v>10.52352</v>
      </c>
      <c r="N104" s="163">
        <f t="shared" si="110"/>
        <v>233.856</v>
      </c>
      <c r="O104" s="252"/>
      <c r="P104" s="165" t="str">
        <f t="shared" si="111"/>
        <v/>
      </c>
      <c r="Q104" s="172"/>
      <c r="R104" s="243"/>
      <c r="S104" s="165">
        <f t="shared" si="112"/>
        <v>0</v>
      </c>
      <c r="T104" s="244">
        <v>336.0</v>
      </c>
      <c r="U104" s="169">
        <f t="shared" si="113"/>
        <v>3872.641953</v>
      </c>
      <c r="V104" s="38" t="str">
        <f t="shared" si="12"/>
        <v/>
      </c>
      <c r="W104" s="38" t="str">
        <f t="shared" si="13"/>
        <v/>
      </c>
      <c r="X104" s="11"/>
      <c r="Y104" s="11"/>
      <c r="Z104" s="11"/>
      <c r="AA104" s="11"/>
    </row>
    <row r="105" ht="13.5" customHeight="1" outlineLevel="1">
      <c r="A105" s="315"/>
      <c r="B105" s="85" t="s">
        <v>88</v>
      </c>
      <c r="C105" s="238">
        <v>0.045</v>
      </c>
      <c r="D105" s="239">
        <v>0.145</v>
      </c>
      <c r="E105" s="245">
        <v>6.0</v>
      </c>
      <c r="F105" s="156">
        <f t="shared" si="104"/>
        <v>0.03915</v>
      </c>
      <c r="G105" s="156">
        <f t="shared" si="105"/>
        <v>0.87</v>
      </c>
      <c r="H105" s="240">
        <f>370+2.9</f>
        <v>372.9</v>
      </c>
      <c r="I105" s="158">
        <f>H105*1.0539</f>
        <v>392.99931</v>
      </c>
      <c r="J105" s="159">
        <f t="shared" si="106"/>
        <v>15.38592299</v>
      </c>
      <c r="K105" s="160">
        <f t="shared" si="107"/>
        <v>17.68496895</v>
      </c>
      <c r="L105" s="161">
        <f t="shared" si="108"/>
        <v>315</v>
      </c>
      <c r="M105" s="241">
        <f t="shared" si="109"/>
        <v>12.33225</v>
      </c>
      <c r="N105" s="163">
        <f t="shared" si="110"/>
        <v>274.05</v>
      </c>
      <c r="O105" s="252"/>
      <c r="P105" s="165" t="str">
        <f t="shared" si="111"/>
        <v/>
      </c>
      <c r="Q105" s="172"/>
      <c r="R105" s="243"/>
      <c r="S105" s="165">
        <f t="shared" si="112"/>
        <v>0</v>
      </c>
      <c r="T105" s="244">
        <v>315.0</v>
      </c>
      <c r="U105" s="169">
        <f t="shared" si="113"/>
        <v>4846.565741</v>
      </c>
      <c r="V105" s="38" t="str">
        <f t="shared" si="12"/>
        <v/>
      </c>
      <c r="W105" s="38" t="str">
        <f t="shared" si="13"/>
        <v/>
      </c>
      <c r="X105" s="11"/>
      <c r="Y105" s="11"/>
      <c r="Z105" s="11"/>
      <c r="AA105" s="11"/>
    </row>
    <row r="106" ht="13.5" customHeight="1" outlineLevel="1">
      <c r="A106" s="315"/>
      <c r="B106" s="85" t="s">
        <v>88</v>
      </c>
      <c r="C106" s="86">
        <v>0.045</v>
      </c>
      <c r="D106" s="87">
        <v>0.195</v>
      </c>
      <c r="E106" s="88">
        <v>4.8</v>
      </c>
      <c r="F106" s="156">
        <f t="shared" si="104"/>
        <v>0.04212</v>
      </c>
      <c r="G106" s="156">
        <f t="shared" si="105"/>
        <v>0.936</v>
      </c>
      <c r="H106" s="240">
        <f>345+2.7</f>
        <v>347.7</v>
      </c>
      <c r="I106" s="158">
        <f>H106*1.05838</f>
        <v>367.998726</v>
      </c>
      <c r="J106" s="159">
        <f t="shared" si="106"/>
        <v>15.50010634</v>
      </c>
      <c r="K106" s="160">
        <f t="shared" si="107"/>
        <v>16.55994267</v>
      </c>
      <c r="L106" s="161">
        <f t="shared" si="108"/>
        <v>180</v>
      </c>
      <c r="M106" s="241">
        <f t="shared" si="109"/>
        <v>7.5816</v>
      </c>
      <c r="N106" s="163">
        <f t="shared" si="110"/>
        <v>168.48</v>
      </c>
      <c r="O106" s="252"/>
      <c r="P106" s="165" t="str">
        <f t="shared" si="111"/>
        <v/>
      </c>
      <c r="Q106" s="172"/>
      <c r="R106" s="243"/>
      <c r="S106" s="165">
        <f t="shared" si="112"/>
        <v>0</v>
      </c>
      <c r="T106" s="244">
        <v>180.0</v>
      </c>
      <c r="U106" s="169">
        <f t="shared" si="113"/>
        <v>2790.019141</v>
      </c>
      <c r="V106" s="38" t="str">
        <f t="shared" si="12"/>
        <v/>
      </c>
      <c r="W106" s="38" t="str">
        <f t="shared" si="13"/>
        <v/>
      </c>
      <c r="X106" s="11"/>
      <c r="Y106" s="11"/>
      <c r="Z106" s="11"/>
      <c r="AA106" s="11"/>
    </row>
    <row r="107" ht="13.5" customHeight="1" outlineLevel="1">
      <c r="A107" s="315"/>
      <c r="B107" s="85" t="s">
        <v>89</v>
      </c>
      <c r="C107" s="238">
        <v>0.045</v>
      </c>
      <c r="D107" s="239">
        <v>0.195</v>
      </c>
      <c r="E107" s="245">
        <v>6.0</v>
      </c>
      <c r="F107" s="156">
        <f t="shared" si="104"/>
        <v>0.05265</v>
      </c>
      <c r="G107" s="156">
        <f t="shared" si="105"/>
        <v>1.17</v>
      </c>
      <c r="H107" s="240">
        <f>370+2.9</f>
        <v>372.9</v>
      </c>
      <c r="I107" s="158">
        <f>ROUND(H107*1.1667,0)</f>
        <v>435</v>
      </c>
      <c r="J107" s="159">
        <f>ROUND((I107*0.992)*1.21,0)*(C107*D107*E107)</f>
        <v>27.4833</v>
      </c>
      <c r="K107" s="160">
        <f t="shared" si="107"/>
        <v>23.49</v>
      </c>
      <c r="L107" s="161">
        <f t="shared" si="108"/>
        <v>83</v>
      </c>
      <c r="M107" s="241">
        <f t="shared" si="109"/>
        <v>4.36995</v>
      </c>
      <c r="N107" s="163">
        <f t="shared" si="110"/>
        <v>97.11</v>
      </c>
      <c r="O107" s="246"/>
      <c r="P107" s="165" t="str">
        <f t="shared" si="111"/>
        <v/>
      </c>
      <c r="Q107" s="166"/>
      <c r="R107" s="243"/>
      <c r="S107" s="165">
        <f t="shared" si="112"/>
        <v>0</v>
      </c>
      <c r="T107" s="263">
        <v>83.0</v>
      </c>
      <c r="U107" s="169">
        <f t="shared" si="113"/>
        <v>2281.1139</v>
      </c>
      <c r="V107" s="38" t="str">
        <f t="shared" si="12"/>
        <v/>
      </c>
      <c r="W107" s="38" t="str">
        <f t="shared" si="13"/>
        <v/>
      </c>
      <c r="X107" s="11"/>
      <c r="Y107" s="11"/>
      <c r="Z107" s="11"/>
      <c r="AA107" s="11"/>
    </row>
    <row r="108" ht="15.0" customHeight="1">
      <c r="A108" s="315"/>
      <c r="B108" s="317" t="s">
        <v>90</v>
      </c>
      <c r="C108" s="318"/>
      <c r="D108" s="318"/>
      <c r="E108" s="318"/>
      <c r="F108" s="318"/>
      <c r="G108" s="318"/>
      <c r="H108" s="319">
        <f t="shared" ref="H108:I108" si="114">AVERAGE(H102:H107)</f>
        <v>310.2</v>
      </c>
      <c r="I108" s="320">
        <f t="shared" si="114"/>
        <v>360.666127</v>
      </c>
      <c r="J108" s="321"/>
      <c r="K108" s="319">
        <f>AVERAGE(K102:K107)</f>
        <v>16.88247572</v>
      </c>
      <c r="L108" s="322"/>
      <c r="M108" s="323">
        <f>SUM(M102:M107)</f>
        <v>67.20732</v>
      </c>
      <c r="N108" s="324"/>
      <c r="O108" s="325"/>
      <c r="P108" s="323">
        <f t="shared" ref="P108:Q108" si="115">SUM(P102:P107)</f>
        <v>0</v>
      </c>
      <c r="Q108" s="326">
        <f t="shared" si="115"/>
        <v>0</v>
      </c>
      <c r="R108" s="327"/>
      <c r="S108" s="328">
        <f>SUM(S104:S107)</f>
        <v>0</v>
      </c>
      <c r="T108" s="329"/>
      <c r="U108" s="330">
        <f>SUM(U102:U107)</f>
        <v>23510.34073</v>
      </c>
      <c r="V108" s="38" t="str">
        <f t="shared" si="12"/>
        <v/>
      </c>
      <c r="W108" s="38" t="str">
        <f t="shared" si="13"/>
        <v/>
      </c>
      <c r="X108" s="11"/>
      <c r="Y108" s="11"/>
      <c r="Z108" s="11"/>
      <c r="AA108" s="11"/>
    </row>
    <row r="109" ht="13.5" customHeight="1">
      <c r="A109" s="331" t="s">
        <v>91</v>
      </c>
      <c r="B109" s="264" t="s">
        <v>92</v>
      </c>
      <c r="C109" s="226"/>
      <c r="D109" s="226"/>
      <c r="E109" s="226"/>
      <c r="F109" s="226"/>
      <c r="G109" s="226"/>
      <c r="H109" s="226"/>
      <c r="I109" s="230"/>
      <c r="J109" s="231"/>
      <c r="K109" s="226"/>
      <c r="L109" s="226"/>
      <c r="M109" s="226"/>
      <c r="N109" s="232"/>
      <c r="O109" s="260"/>
      <c r="P109" s="226"/>
      <c r="Q109" s="261"/>
      <c r="R109" s="236"/>
      <c r="S109" s="226"/>
      <c r="T109" s="226"/>
      <c r="U109" s="237"/>
      <c r="V109" s="38" t="str">
        <f t="shared" si="12"/>
        <v/>
      </c>
      <c r="W109" s="38" t="str">
        <f t="shared" si="13"/>
        <v/>
      </c>
      <c r="X109" s="11"/>
      <c r="Y109" s="11"/>
      <c r="Z109" s="11"/>
      <c r="AA109" s="11"/>
    </row>
    <row r="110" ht="13.5" customHeight="1" outlineLevel="1">
      <c r="A110" s="315"/>
      <c r="B110" s="85" t="s">
        <v>93</v>
      </c>
      <c r="C110" s="238">
        <v>0.01</v>
      </c>
      <c r="D110" s="239">
        <v>0.04</v>
      </c>
      <c r="E110" s="245">
        <v>1.1</v>
      </c>
      <c r="F110" s="156">
        <f t="shared" ref="F110:F171" si="116">C110*D110*E110</f>
        <v>0.00044</v>
      </c>
      <c r="G110" s="156">
        <f t="shared" ref="G110:G171" si="117">D110*E110</f>
        <v>0.044</v>
      </c>
      <c r="H110" s="332">
        <v>228.8</v>
      </c>
      <c r="I110" s="158">
        <f>ROUND(H110*1.225,0)</f>
        <v>280</v>
      </c>
      <c r="J110" s="159">
        <f>ROUND((I110*1.7)*1.21,0)*(C110*D110*E110)</f>
        <v>0.25344</v>
      </c>
      <c r="K110" s="160">
        <f t="shared" ref="K110:K171" si="118">J110/(D110*E110)</f>
        <v>5.76</v>
      </c>
      <c r="L110" s="161">
        <f t="shared" ref="L110:L125" si="119">T110+R110-O110</f>
        <v>20</v>
      </c>
      <c r="M110" s="241">
        <f t="shared" ref="M110:M171" si="120">L110*F110</f>
        <v>0.0088</v>
      </c>
      <c r="N110" s="163">
        <f t="shared" ref="N110:N171" si="121">L110*G110</f>
        <v>0.88</v>
      </c>
      <c r="O110" s="246"/>
      <c r="P110" s="165" t="str">
        <f t="shared" ref="P110:P171" si="122">IF(O110="","",(O110*F110))</f>
        <v/>
      </c>
      <c r="Q110" s="166"/>
      <c r="R110" s="243"/>
      <c r="S110" s="165">
        <f t="shared" ref="S110:S171" si="123">R110*F110</f>
        <v>0</v>
      </c>
      <c r="T110" s="244">
        <v>20.0</v>
      </c>
      <c r="U110" s="169">
        <f t="shared" ref="U110:U171" si="124">J110*L110</f>
        <v>5.0688</v>
      </c>
      <c r="V110" s="38" t="str">
        <f t="shared" si="12"/>
        <v/>
      </c>
      <c r="W110" s="38" t="str">
        <f t="shared" si="13"/>
        <v/>
      </c>
      <c r="X110" s="11"/>
      <c r="Y110" s="11"/>
      <c r="Z110" s="11"/>
      <c r="AA110" s="11"/>
    </row>
    <row r="111" ht="13.5" customHeight="1" outlineLevel="1">
      <c r="A111" s="315"/>
      <c r="B111" s="85" t="s">
        <v>94</v>
      </c>
      <c r="C111" s="238">
        <v>0.02</v>
      </c>
      <c r="D111" s="239">
        <v>0.045</v>
      </c>
      <c r="E111" s="245">
        <v>2.5</v>
      </c>
      <c r="F111" s="156">
        <f t="shared" si="116"/>
        <v>0.00225</v>
      </c>
      <c r="G111" s="156">
        <f t="shared" si="117"/>
        <v>0.1125</v>
      </c>
      <c r="H111" s="333">
        <f>600/1.1667</f>
        <v>514.2710208</v>
      </c>
      <c r="I111" s="158">
        <f t="shared" ref="I111:I112" si="125">ROUND(H111*1.1667,0)</f>
        <v>600</v>
      </c>
      <c r="J111" s="159">
        <f t="shared" ref="J111:J124" si="126">ROUND((I111*0.992)*1.21,0)*(C111*D111*E111)</f>
        <v>1.62</v>
      </c>
      <c r="K111" s="160">
        <f t="shared" si="118"/>
        <v>14.4</v>
      </c>
      <c r="L111" s="161">
        <f t="shared" si="119"/>
        <v>249</v>
      </c>
      <c r="M111" s="241">
        <f t="shared" si="120"/>
        <v>0.56025</v>
      </c>
      <c r="N111" s="163">
        <f t="shared" si="121"/>
        <v>28.0125</v>
      </c>
      <c r="O111" s="246"/>
      <c r="P111" s="165" t="str">
        <f t="shared" si="122"/>
        <v/>
      </c>
      <c r="Q111" s="166"/>
      <c r="R111" s="243"/>
      <c r="S111" s="165">
        <f t="shared" si="123"/>
        <v>0</v>
      </c>
      <c r="T111" s="244">
        <v>249.0</v>
      </c>
      <c r="U111" s="169">
        <f t="shared" si="124"/>
        <v>403.38</v>
      </c>
      <c r="V111" s="38" t="str">
        <f t="shared" si="12"/>
        <v/>
      </c>
      <c r="W111" s="38" t="str">
        <f t="shared" si="13"/>
        <v/>
      </c>
      <c r="X111" s="11"/>
      <c r="Y111" s="11"/>
      <c r="Z111" s="11"/>
      <c r="AA111" s="11"/>
    </row>
    <row r="112" ht="13.5" customHeight="1" outlineLevel="1">
      <c r="A112" s="315"/>
      <c r="B112" s="85" t="s">
        <v>94</v>
      </c>
      <c r="C112" s="238">
        <v>0.02</v>
      </c>
      <c r="D112" s="239">
        <v>0.045</v>
      </c>
      <c r="E112" s="245">
        <v>3.0</v>
      </c>
      <c r="F112" s="156">
        <f t="shared" si="116"/>
        <v>0.0027</v>
      </c>
      <c r="G112" s="156">
        <f t="shared" si="117"/>
        <v>0.135</v>
      </c>
      <c r="H112" s="332">
        <v>514.27</v>
      </c>
      <c r="I112" s="158">
        <f t="shared" si="125"/>
        <v>600</v>
      </c>
      <c r="J112" s="159">
        <f t="shared" si="126"/>
        <v>1.944</v>
      </c>
      <c r="K112" s="160">
        <f t="shared" si="118"/>
        <v>14.4</v>
      </c>
      <c r="L112" s="161">
        <f t="shared" si="119"/>
        <v>2280</v>
      </c>
      <c r="M112" s="241">
        <f t="shared" si="120"/>
        <v>6.156</v>
      </c>
      <c r="N112" s="163">
        <f t="shared" si="121"/>
        <v>307.8</v>
      </c>
      <c r="O112" s="246"/>
      <c r="P112" s="165" t="str">
        <f t="shared" si="122"/>
        <v/>
      </c>
      <c r="Q112" s="166"/>
      <c r="R112" s="243"/>
      <c r="S112" s="165">
        <f t="shared" si="123"/>
        <v>0</v>
      </c>
      <c r="T112" s="244">
        <v>2280.0</v>
      </c>
      <c r="U112" s="169">
        <f t="shared" si="124"/>
        <v>4432.32</v>
      </c>
      <c r="V112" s="38" t="str">
        <f t="shared" si="12"/>
        <v/>
      </c>
      <c r="W112" s="38" t="str">
        <f t="shared" si="13"/>
        <v/>
      </c>
      <c r="X112" s="11"/>
      <c r="Y112" s="11"/>
      <c r="Z112" s="11"/>
      <c r="AA112" s="11"/>
    </row>
    <row r="113" ht="13.5" customHeight="1" outlineLevel="1">
      <c r="A113" s="315"/>
      <c r="B113" s="114" t="s">
        <v>95</v>
      </c>
      <c r="C113" s="334">
        <v>0.023</v>
      </c>
      <c r="D113" s="335">
        <v>0.1</v>
      </c>
      <c r="E113" s="273">
        <v>4.8</v>
      </c>
      <c r="F113" s="184">
        <f t="shared" si="116"/>
        <v>0.01104</v>
      </c>
      <c r="G113" s="184">
        <f t="shared" si="117"/>
        <v>0.48</v>
      </c>
      <c r="H113" s="336">
        <v>228.8</v>
      </c>
      <c r="I113" s="337">
        <f>ROUND(H113*1.225,0)</f>
        <v>280</v>
      </c>
      <c r="J113" s="338">
        <f t="shared" si="126"/>
        <v>3.70944</v>
      </c>
      <c r="K113" s="267">
        <f t="shared" si="118"/>
        <v>7.728</v>
      </c>
      <c r="L113" s="339">
        <f t="shared" si="119"/>
        <v>1598</v>
      </c>
      <c r="M113" s="269">
        <f t="shared" si="120"/>
        <v>17.64192</v>
      </c>
      <c r="N113" s="188">
        <f t="shared" si="121"/>
        <v>767.04</v>
      </c>
      <c r="O113" s="340">
        <v>17.0</v>
      </c>
      <c r="P113" s="165">
        <f t="shared" si="122"/>
        <v>0.18768</v>
      </c>
      <c r="Q113" s="341">
        <v>60.0</v>
      </c>
      <c r="R113" s="272"/>
      <c r="S113" s="273">
        <f t="shared" si="123"/>
        <v>0</v>
      </c>
      <c r="T113" s="342">
        <v>1615.0</v>
      </c>
      <c r="U113" s="343">
        <f t="shared" si="124"/>
        <v>5927.68512</v>
      </c>
      <c r="V113" s="38">
        <f t="shared" si="12"/>
        <v>17.058816</v>
      </c>
      <c r="W113" s="38">
        <f t="shared" si="13"/>
        <v>42.941184</v>
      </c>
      <c r="X113" s="11"/>
      <c r="Y113" s="11"/>
      <c r="Z113" s="11"/>
      <c r="AA113" s="11"/>
    </row>
    <row r="114" ht="13.5" customHeight="1" outlineLevel="1">
      <c r="A114" s="315"/>
      <c r="B114" s="85" t="s">
        <v>74</v>
      </c>
      <c r="C114" s="238">
        <v>0.025</v>
      </c>
      <c r="D114" s="239">
        <v>0.025</v>
      </c>
      <c r="E114" s="245">
        <v>1.2</v>
      </c>
      <c r="F114" s="156">
        <f t="shared" si="116"/>
        <v>0.00075</v>
      </c>
      <c r="G114" s="156">
        <f t="shared" si="117"/>
        <v>0.03</v>
      </c>
      <c r="H114" s="332">
        <v>240.0</v>
      </c>
      <c r="I114" s="158">
        <f t="shared" ref="I114:I124" si="127">ROUND(H114*1.1667,0)</f>
        <v>280</v>
      </c>
      <c r="J114" s="159">
        <f t="shared" si="126"/>
        <v>0.252</v>
      </c>
      <c r="K114" s="160">
        <f t="shared" si="118"/>
        <v>8.4</v>
      </c>
      <c r="L114" s="161">
        <f t="shared" si="119"/>
        <v>700</v>
      </c>
      <c r="M114" s="241">
        <f t="shared" si="120"/>
        <v>0.525</v>
      </c>
      <c r="N114" s="163">
        <f t="shared" si="121"/>
        <v>21</v>
      </c>
      <c r="O114" s="246"/>
      <c r="P114" s="165" t="str">
        <f t="shared" si="122"/>
        <v/>
      </c>
      <c r="Q114" s="166"/>
      <c r="R114" s="243"/>
      <c r="S114" s="165">
        <f t="shared" si="123"/>
        <v>0</v>
      </c>
      <c r="T114" s="244">
        <v>700.0</v>
      </c>
      <c r="U114" s="169">
        <f t="shared" si="124"/>
        <v>176.4</v>
      </c>
      <c r="V114" s="38" t="str">
        <f t="shared" si="12"/>
        <v/>
      </c>
      <c r="W114" s="38" t="str">
        <f t="shared" si="13"/>
        <v/>
      </c>
      <c r="X114" s="11"/>
      <c r="Y114" s="11"/>
      <c r="Z114" s="11"/>
      <c r="AA114" s="11"/>
    </row>
    <row r="115" ht="13.5" customHeight="1" outlineLevel="1">
      <c r="A115" s="315"/>
      <c r="B115" s="85" t="s">
        <v>95</v>
      </c>
      <c r="C115" s="238">
        <v>0.025</v>
      </c>
      <c r="D115" s="239">
        <v>0.038</v>
      </c>
      <c r="E115" s="245">
        <v>3.6</v>
      </c>
      <c r="F115" s="156">
        <f t="shared" si="116"/>
        <v>0.00342</v>
      </c>
      <c r="G115" s="156">
        <f t="shared" si="117"/>
        <v>0.1368</v>
      </c>
      <c r="H115" s="332">
        <v>210.0</v>
      </c>
      <c r="I115" s="158">
        <f t="shared" si="127"/>
        <v>245</v>
      </c>
      <c r="J115" s="159">
        <f t="shared" si="126"/>
        <v>1.00548</v>
      </c>
      <c r="K115" s="160">
        <f t="shared" si="118"/>
        <v>7.35</v>
      </c>
      <c r="L115" s="161">
        <f t="shared" si="119"/>
        <v>1520</v>
      </c>
      <c r="M115" s="241">
        <f t="shared" si="120"/>
        <v>5.1984</v>
      </c>
      <c r="N115" s="163">
        <f t="shared" si="121"/>
        <v>207.936</v>
      </c>
      <c r="O115" s="246"/>
      <c r="P115" s="165" t="str">
        <f t="shared" si="122"/>
        <v/>
      </c>
      <c r="Q115" s="166"/>
      <c r="R115" s="243"/>
      <c r="S115" s="165">
        <f t="shared" si="123"/>
        <v>0</v>
      </c>
      <c r="T115" s="244">
        <v>1520.0</v>
      </c>
      <c r="U115" s="169">
        <f t="shared" si="124"/>
        <v>1528.3296</v>
      </c>
      <c r="V115" s="38" t="str">
        <f t="shared" si="12"/>
        <v/>
      </c>
      <c r="W115" s="38" t="str">
        <f t="shared" si="13"/>
        <v/>
      </c>
      <c r="X115" s="11"/>
      <c r="Y115" s="11"/>
      <c r="Z115" s="11"/>
      <c r="AA115" s="11"/>
    </row>
    <row r="116" ht="13.5" customHeight="1" outlineLevel="1">
      <c r="A116" s="315"/>
      <c r="B116" s="85"/>
      <c r="C116" s="238">
        <v>0.025</v>
      </c>
      <c r="D116" s="239">
        <v>0.05</v>
      </c>
      <c r="E116" s="245">
        <v>2.5</v>
      </c>
      <c r="F116" s="156">
        <f t="shared" si="116"/>
        <v>0.003125</v>
      </c>
      <c r="G116" s="156">
        <f t="shared" si="117"/>
        <v>0.125</v>
      </c>
      <c r="H116" s="332">
        <v>240.0</v>
      </c>
      <c r="I116" s="158">
        <f t="shared" si="127"/>
        <v>280</v>
      </c>
      <c r="J116" s="159">
        <f t="shared" si="126"/>
        <v>1.05</v>
      </c>
      <c r="K116" s="160">
        <f t="shared" si="118"/>
        <v>8.4</v>
      </c>
      <c r="L116" s="161">
        <f t="shared" si="119"/>
        <v>507</v>
      </c>
      <c r="M116" s="241">
        <f t="shared" si="120"/>
        <v>1.584375</v>
      </c>
      <c r="N116" s="163">
        <f t="shared" si="121"/>
        <v>63.375</v>
      </c>
      <c r="O116" s="246"/>
      <c r="P116" s="165" t="str">
        <f t="shared" si="122"/>
        <v/>
      </c>
      <c r="Q116" s="166"/>
      <c r="R116" s="243"/>
      <c r="S116" s="165">
        <f t="shared" si="123"/>
        <v>0</v>
      </c>
      <c r="T116" s="244">
        <v>507.0</v>
      </c>
      <c r="U116" s="169">
        <f t="shared" si="124"/>
        <v>532.35</v>
      </c>
      <c r="V116" s="38" t="str">
        <f t="shared" si="12"/>
        <v/>
      </c>
      <c r="W116" s="38" t="str">
        <f t="shared" si="13"/>
        <v/>
      </c>
      <c r="X116" s="11"/>
      <c r="Y116" s="11"/>
      <c r="Z116" s="11"/>
      <c r="AA116" s="11"/>
    </row>
    <row r="117" ht="13.5" customHeight="1" outlineLevel="1">
      <c r="A117" s="315"/>
      <c r="B117" s="85"/>
      <c r="C117" s="238">
        <v>0.025</v>
      </c>
      <c r="D117" s="239">
        <v>0.05</v>
      </c>
      <c r="E117" s="245">
        <v>3.0</v>
      </c>
      <c r="F117" s="156">
        <f t="shared" si="116"/>
        <v>0.00375</v>
      </c>
      <c r="G117" s="156">
        <f t="shared" si="117"/>
        <v>0.15</v>
      </c>
      <c r="H117" s="332">
        <v>240.0</v>
      </c>
      <c r="I117" s="158">
        <f t="shared" si="127"/>
        <v>280</v>
      </c>
      <c r="J117" s="159">
        <f t="shared" si="126"/>
        <v>1.26</v>
      </c>
      <c r="K117" s="160">
        <f t="shared" si="118"/>
        <v>8.4</v>
      </c>
      <c r="L117" s="161">
        <f t="shared" si="119"/>
        <v>839</v>
      </c>
      <c r="M117" s="241">
        <f t="shared" si="120"/>
        <v>3.14625</v>
      </c>
      <c r="N117" s="163">
        <f t="shared" si="121"/>
        <v>125.85</v>
      </c>
      <c r="O117" s="246">
        <v>50.0</v>
      </c>
      <c r="P117" s="165">
        <f t="shared" si="122"/>
        <v>0.1875</v>
      </c>
      <c r="Q117" s="166">
        <v>63.0</v>
      </c>
      <c r="R117" s="247"/>
      <c r="S117" s="165">
        <f t="shared" si="123"/>
        <v>0</v>
      </c>
      <c r="T117" s="244">
        <v>889.0</v>
      </c>
      <c r="U117" s="169">
        <f t="shared" si="124"/>
        <v>1057.14</v>
      </c>
      <c r="V117" s="38">
        <f t="shared" si="12"/>
        <v>18</v>
      </c>
      <c r="W117" s="38">
        <f t="shared" si="13"/>
        <v>45</v>
      </c>
      <c r="X117" s="11"/>
      <c r="Y117" s="11"/>
      <c r="Z117" s="11"/>
      <c r="AA117" s="11"/>
    </row>
    <row r="118" ht="13.5" customHeight="1" outlineLevel="1">
      <c r="A118" s="315"/>
      <c r="B118" s="85"/>
      <c r="C118" s="238">
        <v>0.025</v>
      </c>
      <c r="D118" s="239">
        <v>0.05</v>
      </c>
      <c r="E118" s="245">
        <v>4.9</v>
      </c>
      <c r="F118" s="156">
        <f t="shared" si="116"/>
        <v>0.006125</v>
      </c>
      <c r="G118" s="156">
        <f t="shared" si="117"/>
        <v>0.245</v>
      </c>
      <c r="H118" s="332">
        <v>240.0</v>
      </c>
      <c r="I118" s="158">
        <f t="shared" si="127"/>
        <v>280</v>
      </c>
      <c r="J118" s="159">
        <f t="shared" si="126"/>
        <v>2.058</v>
      </c>
      <c r="K118" s="160">
        <f t="shared" si="118"/>
        <v>8.4</v>
      </c>
      <c r="L118" s="161">
        <f t="shared" si="119"/>
        <v>53</v>
      </c>
      <c r="M118" s="241">
        <f t="shared" si="120"/>
        <v>0.324625</v>
      </c>
      <c r="N118" s="163">
        <f t="shared" si="121"/>
        <v>12.985</v>
      </c>
      <c r="O118" s="246"/>
      <c r="P118" s="165" t="str">
        <f t="shared" si="122"/>
        <v/>
      </c>
      <c r="Q118" s="166"/>
      <c r="R118" s="243"/>
      <c r="S118" s="165">
        <f t="shared" si="123"/>
        <v>0</v>
      </c>
      <c r="T118" s="244">
        <v>53.0</v>
      </c>
      <c r="U118" s="169">
        <f t="shared" si="124"/>
        <v>109.074</v>
      </c>
      <c r="V118" s="38" t="str">
        <f t="shared" si="12"/>
        <v/>
      </c>
      <c r="W118" s="38" t="str">
        <f t="shared" si="13"/>
        <v/>
      </c>
      <c r="X118" s="11"/>
      <c r="Y118" s="11"/>
      <c r="Z118" s="11"/>
      <c r="AA118" s="11"/>
    </row>
    <row r="119" ht="13.5" customHeight="1" outlineLevel="1">
      <c r="A119" s="315"/>
      <c r="B119" s="85"/>
      <c r="C119" s="238">
        <v>0.025</v>
      </c>
      <c r="D119" s="239">
        <v>0.05</v>
      </c>
      <c r="E119" s="245">
        <v>6.0</v>
      </c>
      <c r="F119" s="156">
        <f t="shared" si="116"/>
        <v>0.0075</v>
      </c>
      <c r="G119" s="156">
        <f t="shared" si="117"/>
        <v>0.3</v>
      </c>
      <c r="H119" s="332">
        <v>240.0</v>
      </c>
      <c r="I119" s="158">
        <f t="shared" si="127"/>
        <v>280</v>
      </c>
      <c r="J119" s="159">
        <f t="shared" si="126"/>
        <v>2.52</v>
      </c>
      <c r="K119" s="160">
        <f t="shared" si="118"/>
        <v>8.4</v>
      </c>
      <c r="L119" s="161">
        <f t="shared" si="119"/>
        <v>23</v>
      </c>
      <c r="M119" s="241">
        <f t="shared" si="120"/>
        <v>0.1725</v>
      </c>
      <c r="N119" s="163">
        <f t="shared" si="121"/>
        <v>6.9</v>
      </c>
      <c r="O119" s="246"/>
      <c r="P119" s="165" t="str">
        <f t="shared" si="122"/>
        <v/>
      </c>
      <c r="Q119" s="166"/>
      <c r="R119" s="243"/>
      <c r="S119" s="165">
        <f t="shared" si="123"/>
        <v>0</v>
      </c>
      <c r="T119" s="244">
        <v>23.0</v>
      </c>
      <c r="U119" s="169">
        <f t="shared" si="124"/>
        <v>57.96</v>
      </c>
      <c r="V119" s="38" t="str">
        <f t="shared" si="12"/>
        <v/>
      </c>
      <c r="W119" s="38" t="str">
        <f t="shared" si="13"/>
        <v/>
      </c>
      <c r="X119" s="11"/>
      <c r="Y119" s="11"/>
      <c r="Z119" s="11"/>
      <c r="AA119" s="11"/>
    </row>
    <row r="120" ht="13.5" customHeight="1" outlineLevel="1">
      <c r="A120" s="315"/>
      <c r="B120" s="85" t="s">
        <v>96</v>
      </c>
      <c r="C120" s="238">
        <v>0.025</v>
      </c>
      <c r="D120" s="239">
        <v>0.1</v>
      </c>
      <c r="E120" s="245">
        <v>2.5</v>
      </c>
      <c r="F120" s="156">
        <f t="shared" si="116"/>
        <v>0.00625</v>
      </c>
      <c r="G120" s="156">
        <f t="shared" si="117"/>
        <v>0.25</v>
      </c>
      <c r="H120" s="332">
        <v>205.71</v>
      </c>
      <c r="I120" s="158">
        <f t="shared" si="127"/>
        <v>240</v>
      </c>
      <c r="J120" s="159">
        <f t="shared" si="126"/>
        <v>1.8</v>
      </c>
      <c r="K120" s="160">
        <f t="shared" si="118"/>
        <v>7.2</v>
      </c>
      <c r="L120" s="161">
        <f t="shared" si="119"/>
        <v>6818</v>
      </c>
      <c r="M120" s="241">
        <f t="shared" si="120"/>
        <v>42.6125</v>
      </c>
      <c r="N120" s="163">
        <f t="shared" si="121"/>
        <v>1704.5</v>
      </c>
      <c r="O120" s="246">
        <v>11.0</v>
      </c>
      <c r="P120" s="165">
        <f t="shared" si="122"/>
        <v>0.06875</v>
      </c>
      <c r="Q120" s="166">
        <v>20.0</v>
      </c>
      <c r="R120" s="243"/>
      <c r="S120" s="165">
        <f t="shared" si="123"/>
        <v>0</v>
      </c>
      <c r="T120" s="244">
        <v>6829.0</v>
      </c>
      <c r="U120" s="169">
        <f t="shared" si="124"/>
        <v>12272.4</v>
      </c>
      <c r="V120" s="38">
        <f t="shared" si="12"/>
        <v>5.8574375</v>
      </c>
      <c r="W120" s="38">
        <f t="shared" si="13"/>
        <v>14.1425625</v>
      </c>
      <c r="X120" s="11"/>
      <c r="Y120" s="11"/>
      <c r="Z120" s="11"/>
      <c r="AA120" s="11"/>
    </row>
    <row r="121" ht="13.5" customHeight="1" outlineLevel="1">
      <c r="A121" s="315"/>
      <c r="B121" s="85"/>
      <c r="C121" s="238">
        <v>0.025</v>
      </c>
      <c r="D121" s="239">
        <v>0.1</v>
      </c>
      <c r="E121" s="245">
        <v>3.0</v>
      </c>
      <c r="F121" s="156">
        <f t="shared" si="116"/>
        <v>0.0075</v>
      </c>
      <c r="G121" s="156">
        <f t="shared" si="117"/>
        <v>0.3</v>
      </c>
      <c r="H121" s="332">
        <v>240.0</v>
      </c>
      <c r="I121" s="158">
        <f t="shared" si="127"/>
        <v>280</v>
      </c>
      <c r="J121" s="159">
        <f t="shared" si="126"/>
        <v>2.52</v>
      </c>
      <c r="K121" s="160">
        <f t="shared" si="118"/>
        <v>8.4</v>
      </c>
      <c r="L121" s="161">
        <f t="shared" si="119"/>
        <v>315</v>
      </c>
      <c r="M121" s="241">
        <f t="shared" si="120"/>
        <v>2.3625</v>
      </c>
      <c r="N121" s="163">
        <f t="shared" si="121"/>
        <v>94.5</v>
      </c>
      <c r="O121" s="246">
        <v>10.0</v>
      </c>
      <c r="P121" s="165">
        <f t="shared" si="122"/>
        <v>0.075</v>
      </c>
      <c r="Q121" s="166">
        <v>25.0</v>
      </c>
      <c r="R121" s="247"/>
      <c r="S121" s="165">
        <f t="shared" si="123"/>
        <v>0</v>
      </c>
      <c r="T121" s="244">
        <v>325.0</v>
      </c>
      <c r="U121" s="169">
        <f t="shared" si="124"/>
        <v>793.8</v>
      </c>
      <c r="V121" s="38">
        <f t="shared" si="12"/>
        <v>7</v>
      </c>
      <c r="W121" s="38">
        <f t="shared" si="13"/>
        <v>18</v>
      </c>
      <c r="X121" s="38"/>
      <c r="Y121" s="38"/>
      <c r="Z121" s="11"/>
      <c r="AA121" s="11"/>
    </row>
    <row r="122" ht="13.5" customHeight="1" outlineLevel="1">
      <c r="A122" s="315"/>
      <c r="B122" s="85"/>
      <c r="C122" s="238">
        <v>0.025</v>
      </c>
      <c r="D122" s="239">
        <v>0.1</v>
      </c>
      <c r="E122" s="245">
        <v>3.6</v>
      </c>
      <c r="F122" s="156">
        <f t="shared" si="116"/>
        <v>0.009</v>
      </c>
      <c r="G122" s="156">
        <f t="shared" si="117"/>
        <v>0.36</v>
      </c>
      <c r="H122" s="332">
        <v>240.0</v>
      </c>
      <c r="I122" s="158">
        <f t="shared" si="127"/>
        <v>280</v>
      </c>
      <c r="J122" s="159">
        <f t="shared" si="126"/>
        <v>3.024</v>
      </c>
      <c r="K122" s="160">
        <f t="shared" si="118"/>
        <v>8.4</v>
      </c>
      <c r="L122" s="161">
        <f t="shared" si="119"/>
        <v>188</v>
      </c>
      <c r="M122" s="241">
        <f t="shared" si="120"/>
        <v>1.692</v>
      </c>
      <c r="N122" s="163">
        <f t="shared" si="121"/>
        <v>67.68</v>
      </c>
      <c r="O122" s="252"/>
      <c r="P122" s="165" t="str">
        <f t="shared" si="122"/>
        <v/>
      </c>
      <c r="Q122" s="172"/>
      <c r="R122" s="247"/>
      <c r="S122" s="165">
        <f t="shared" si="123"/>
        <v>0</v>
      </c>
      <c r="T122" s="244">
        <v>188.0</v>
      </c>
      <c r="U122" s="169">
        <f t="shared" si="124"/>
        <v>568.512</v>
      </c>
      <c r="V122" s="38" t="str">
        <f t="shared" si="12"/>
        <v/>
      </c>
      <c r="W122" s="38" t="str">
        <f t="shared" si="13"/>
        <v/>
      </c>
      <c r="X122" s="38"/>
      <c r="Y122" s="38"/>
      <c r="Z122" s="11"/>
      <c r="AA122" s="11"/>
    </row>
    <row r="123" ht="13.5" customHeight="1" outlineLevel="1">
      <c r="A123" s="315"/>
      <c r="B123" s="85" t="s">
        <v>95</v>
      </c>
      <c r="C123" s="238">
        <v>0.025</v>
      </c>
      <c r="D123" s="239">
        <v>0.1</v>
      </c>
      <c r="E123" s="245">
        <v>4.8</v>
      </c>
      <c r="F123" s="156">
        <f t="shared" si="116"/>
        <v>0.012</v>
      </c>
      <c r="G123" s="156">
        <f t="shared" si="117"/>
        <v>0.48</v>
      </c>
      <c r="H123" s="332">
        <v>240.0</v>
      </c>
      <c r="I123" s="158">
        <f t="shared" si="127"/>
        <v>280</v>
      </c>
      <c r="J123" s="159">
        <f t="shared" si="126"/>
        <v>4.032</v>
      </c>
      <c r="K123" s="160">
        <f t="shared" si="118"/>
        <v>8.4</v>
      </c>
      <c r="L123" s="161">
        <f t="shared" si="119"/>
        <v>87</v>
      </c>
      <c r="M123" s="241">
        <f t="shared" si="120"/>
        <v>1.044</v>
      </c>
      <c r="N123" s="163">
        <f t="shared" si="121"/>
        <v>41.76</v>
      </c>
      <c r="O123" s="246"/>
      <c r="P123" s="165" t="str">
        <f t="shared" si="122"/>
        <v/>
      </c>
      <c r="Q123" s="166"/>
      <c r="R123" s="247"/>
      <c r="S123" s="165">
        <f t="shared" si="123"/>
        <v>0</v>
      </c>
      <c r="T123" s="244">
        <v>87.0</v>
      </c>
      <c r="U123" s="169">
        <f t="shared" si="124"/>
        <v>350.784</v>
      </c>
      <c r="V123" s="38" t="str">
        <f t="shared" si="12"/>
        <v/>
      </c>
      <c r="W123" s="38" t="str">
        <f t="shared" si="13"/>
        <v/>
      </c>
      <c r="X123" s="11"/>
      <c r="Y123" s="11"/>
      <c r="Z123" s="11"/>
      <c r="AA123" s="11"/>
    </row>
    <row r="124" ht="13.5" customHeight="1" outlineLevel="1">
      <c r="A124" s="315"/>
      <c r="B124" s="85"/>
      <c r="C124" s="238">
        <v>0.025</v>
      </c>
      <c r="D124" s="239">
        <v>0.1</v>
      </c>
      <c r="E124" s="245">
        <v>6.0</v>
      </c>
      <c r="F124" s="156">
        <f t="shared" si="116"/>
        <v>0.015</v>
      </c>
      <c r="G124" s="156">
        <f t="shared" si="117"/>
        <v>0.6</v>
      </c>
      <c r="H124" s="332">
        <v>240.0</v>
      </c>
      <c r="I124" s="158">
        <f t="shared" si="127"/>
        <v>280</v>
      </c>
      <c r="J124" s="159">
        <f t="shared" si="126"/>
        <v>5.04</v>
      </c>
      <c r="K124" s="160">
        <f t="shared" si="118"/>
        <v>8.4</v>
      </c>
      <c r="L124" s="161">
        <f t="shared" si="119"/>
        <v>0</v>
      </c>
      <c r="M124" s="241">
        <f t="shared" si="120"/>
        <v>0</v>
      </c>
      <c r="N124" s="163">
        <f t="shared" si="121"/>
        <v>0</v>
      </c>
      <c r="O124" s="246"/>
      <c r="P124" s="165" t="str">
        <f t="shared" si="122"/>
        <v/>
      </c>
      <c r="Q124" s="166"/>
      <c r="R124" s="247"/>
      <c r="S124" s="165">
        <f t="shared" si="123"/>
        <v>0</v>
      </c>
      <c r="T124" s="244">
        <v>0.0</v>
      </c>
      <c r="U124" s="169">
        <f t="shared" si="124"/>
        <v>0</v>
      </c>
      <c r="V124" s="38" t="str">
        <f t="shared" si="12"/>
        <v/>
      </c>
      <c r="W124" s="38" t="str">
        <f t="shared" si="13"/>
        <v/>
      </c>
      <c r="X124" s="11"/>
      <c r="Y124" s="11"/>
      <c r="Z124" s="11"/>
      <c r="AA124" s="11"/>
    </row>
    <row r="125" ht="13.5" customHeight="1" outlineLevel="1">
      <c r="A125" s="315"/>
      <c r="B125" s="85" t="s">
        <v>97</v>
      </c>
      <c r="C125" s="238">
        <v>0.025</v>
      </c>
      <c r="D125" s="239">
        <v>0.15</v>
      </c>
      <c r="E125" s="245">
        <v>3.6</v>
      </c>
      <c r="F125" s="156">
        <f t="shared" si="116"/>
        <v>0.0135</v>
      </c>
      <c r="G125" s="156">
        <f t="shared" si="117"/>
        <v>0.54</v>
      </c>
      <c r="H125" s="332">
        <v>240.0</v>
      </c>
      <c r="I125" s="158">
        <f>ROUND(H125*1.1667,0)*0.9</f>
        <v>252</v>
      </c>
      <c r="J125" s="159">
        <f>ROUND((I125*0.873)*1.21,0)*(C125*D125*E125)</f>
        <v>3.591</v>
      </c>
      <c r="K125" s="160">
        <f t="shared" si="118"/>
        <v>6.65</v>
      </c>
      <c r="L125" s="161">
        <f t="shared" si="119"/>
        <v>44</v>
      </c>
      <c r="M125" s="241">
        <f t="shared" si="120"/>
        <v>0.594</v>
      </c>
      <c r="N125" s="163">
        <f t="shared" si="121"/>
        <v>23.76</v>
      </c>
      <c r="O125" s="252"/>
      <c r="P125" s="165" t="str">
        <f t="shared" si="122"/>
        <v/>
      </c>
      <c r="Q125" s="172"/>
      <c r="R125" s="243"/>
      <c r="S125" s="165">
        <f t="shared" si="123"/>
        <v>0</v>
      </c>
      <c r="T125" s="244">
        <v>44.0</v>
      </c>
      <c r="U125" s="169">
        <f t="shared" si="124"/>
        <v>158.004</v>
      </c>
      <c r="V125" s="38" t="str">
        <f t="shared" si="12"/>
        <v/>
      </c>
      <c r="W125" s="38" t="str">
        <f t="shared" si="13"/>
        <v/>
      </c>
      <c r="X125" s="11"/>
      <c r="Y125" s="11"/>
      <c r="Z125" s="11"/>
      <c r="AA125" s="11"/>
    </row>
    <row r="126" ht="13.5" customHeight="1" outlineLevel="1">
      <c r="A126" s="315"/>
      <c r="B126" s="85"/>
      <c r="C126" s="238">
        <v>0.025</v>
      </c>
      <c r="D126" s="239">
        <v>0.15</v>
      </c>
      <c r="E126" s="245">
        <v>4.8</v>
      </c>
      <c r="F126" s="156">
        <f t="shared" si="116"/>
        <v>0.018</v>
      </c>
      <c r="G126" s="156">
        <f t="shared" si="117"/>
        <v>0.72</v>
      </c>
      <c r="H126" s="332">
        <v>240.0</v>
      </c>
      <c r="I126" s="158">
        <f t="shared" ref="I126:I127" si="128">ROUND(H126*1.1667,0)</f>
        <v>280</v>
      </c>
      <c r="J126" s="159">
        <f t="shared" ref="J126:J127" si="129">ROUND((I126*0.992)*1.21,0)*(C126*D126*E126)</f>
        <v>6.048</v>
      </c>
      <c r="K126" s="160">
        <f t="shared" si="118"/>
        <v>8.4</v>
      </c>
      <c r="L126" s="205">
        <v>109.0</v>
      </c>
      <c r="M126" s="241">
        <f t="shared" si="120"/>
        <v>1.962</v>
      </c>
      <c r="N126" s="163">
        <f t="shared" si="121"/>
        <v>78.48</v>
      </c>
      <c r="O126" s="246"/>
      <c r="P126" s="165" t="str">
        <f t="shared" si="122"/>
        <v/>
      </c>
      <c r="Q126" s="166"/>
      <c r="R126" s="243"/>
      <c r="S126" s="165">
        <f t="shared" si="123"/>
        <v>0</v>
      </c>
      <c r="T126" s="263">
        <v>109.0</v>
      </c>
      <c r="U126" s="169">
        <f t="shared" si="124"/>
        <v>659.232</v>
      </c>
      <c r="V126" s="38" t="str">
        <f t="shared" si="12"/>
        <v/>
      </c>
      <c r="W126" s="38" t="str">
        <f t="shared" si="13"/>
        <v/>
      </c>
      <c r="X126" s="11"/>
      <c r="Y126" s="11"/>
      <c r="Z126" s="11"/>
      <c r="AA126" s="11"/>
    </row>
    <row r="127" ht="13.5" customHeight="1" outlineLevel="1">
      <c r="A127" s="315"/>
      <c r="B127" s="85"/>
      <c r="C127" s="238">
        <v>0.025</v>
      </c>
      <c r="D127" s="239">
        <v>0.15</v>
      </c>
      <c r="E127" s="245">
        <v>6.0</v>
      </c>
      <c r="F127" s="156">
        <f t="shared" si="116"/>
        <v>0.0225</v>
      </c>
      <c r="G127" s="156">
        <f t="shared" si="117"/>
        <v>0.9</v>
      </c>
      <c r="H127" s="332">
        <v>240.0</v>
      </c>
      <c r="I127" s="158">
        <f t="shared" si="128"/>
        <v>280</v>
      </c>
      <c r="J127" s="159">
        <f t="shared" si="129"/>
        <v>7.56</v>
      </c>
      <c r="K127" s="160">
        <f t="shared" si="118"/>
        <v>8.4</v>
      </c>
      <c r="L127" s="161">
        <f t="shared" ref="L127:L128" si="130">T127+R127-O127</f>
        <v>140</v>
      </c>
      <c r="M127" s="241">
        <f t="shared" si="120"/>
        <v>3.15</v>
      </c>
      <c r="N127" s="163">
        <f t="shared" si="121"/>
        <v>126</v>
      </c>
      <c r="O127" s="246"/>
      <c r="P127" s="165" t="str">
        <f t="shared" si="122"/>
        <v/>
      </c>
      <c r="Q127" s="166"/>
      <c r="R127" s="247"/>
      <c r="S127" s="165">
        <f t="shared" si="123"/>
        <v>0</v>
      </c>
      <c r="T127" s="244">
        <v>140.0</v>
      </c>
      <c r="U127" s="169">
        <f t="shared" si="124"/>
        <v>1058.4</v>
      </c>
      <c r="V127" s="38"/>
      <c r="W127" s="38" t="str">
        <f t="shared" si="13"/>
        <v/>
      </c>
      <c r="X127" s="11"/>
      <c r="Y127" s="11"/>
      <c r="Z127" s="11"/>
      <c r="AA127" s="11"/>
    </row>
    <row r="128" ht="13.5" customHeight="1" outlineLevel="1">
      <c r="A128" s="315"/>
      <c r="B128" s="85" t="s">
        <v>95</v>
      </c>
      <c r="C128" s="238">
        <v>0.025</v>
      </c>
      <c r="D128" s="239">
        <v>0.15</v>
      </c>
      <c r="E128" s="245">
        <v>6.0</v>
      </c>
      <c r="F128" s="156">
        <f t="shared" si="116"/>
        <v>0.0225</v>
      </c>
      <c r="G128" s="156">
        <f t="shared" si="117"/>
        <v>0.9</v>
      </c>
      <c r="H128" s="332">
        <v>257.2</v>
      </c>
      <c r="I128" s="158">
        <f>ROUND(H128*1.1667,0)*0.88</f>
        <v>264</v>
      </c>
      <c r="J128" s="159">
        <f>ROUND((I128*0.88)*1.21,0)*(C128*D128*E128)</f>
        <v>6.3225</v>
      </c>
      <c r="K128" s="160">
        <f t="shared" si="118"/>
        <v>7.025</v>
      </c>
      <c r="L128" s="161">
        <f t="shared" si="130"/>
        <v>37</v>
      </c>
      <c r="M128" s="241">
        <f t="shared" si="120"/>
        <v>0.8325</v>
      </c>
      <c r="N128" s="163">
        <f t="shared" si="121"/>
        <v>33.3</v>
      </c>
      <c r="O128" s="246"/>
      <c r="P128" s="165" t="str">
        <f t="shared" si="122"/>
        <v/>
      </c>
      <c r="Q128" s="166"/>
      <c r="R128" s="247"/>
      <c r="S128" s="165">
        <f t="shared" si="123"/>
        <v>0</v>
      </c>
      <c r="T128" s="244">
        <v>37.0</v>
      </c>
      <c r="U128" s="169">
        <f t="shared" si="124"/>
        <v>233.9325</v>
      </c>
      <c r="V128" s="38" t="str">
        <f t="shared" ref="V128:V171" si="131">IF(O128="","",Q128-(O128*(H128*F128)))</f>
        <v/>
      </c>
      <c r="W128" s="38" t="str">
        <f t="shared" si="13"/>
        <v/>
      </c>
      <c r="X128" s="11"/>
      <c r="Y128" s="11"/>
      <c r="Z128" s="11"/>
      <c r="AA128" s="11"/>
    </row>
    <row r="129" ht="13.5" customHeight="1" outlineLevel="1">
      <c r="A129" s="315"/>
      <c r="B129" s="85" t="s">
        <v>98</v>
      </c>
      <c r="C129" s="238">
        <v>0.05</v>
      </c>
      <c r="D129" s="239">
        <v>0.05</v>
      </c>
      <c r="E129" s="245">
        <v>1.0</v>
      </c>
      <c r="F129" s="156">
        <f t="shared" si="116"/>
        <v>0.0025</v>
      </c>
      <c r="G129" s="156">
        <f t="shared" si="117"/>
        <v>0.05</v>
      </c>
      <c r="H129" s="332">
        <v>240.0</v>
      </c>
      <c r="I129" s="158">
        <f>ROUND(H129*1.1667,0)*0.9</f>
        <v>252</v>
      </c>
      <c r="J129" s="159">
        <f>ROUND((I129*0.873)*1.21,0)*(C129*D129*E129)</f>
        <v>0.665</v>
      </c>
      <c r="K129" s="160">
        <f t="shared" si="118"/>
        <v>13.3</v>
      </c>
      <c r="L129" s="161">
        <f>T129+R129-O129+27</f>
        <v>55</v>
      </c>
      <c r="M129" s="241">
        <f t="shared" si="120"/>
        <v>0.1375</v>
      </c>
      <c r="N129" s="163">
        <f t="shared" si="121"/>
        <v>2.75</v>
      </c>
      <c r="O129" s="242"/>
      <c r="P129" s="165" t="str">
        <f t="shared" si="122"/>
        <v/>
      </c>
      <c r="Q129" s="166"/>
      <c r="R129" s="247"/>
      <c r="S129" s="165">
        <f t="shared" si="123"/>
        <v>0</v>
      </c>
      <c r="T129" s="244">
        <v>28.0</v>
      </c>
      <c r="U129" s="169">
        <f t="shared" si="124"/>
        <v>36.575</v>
      </c>
      <c r="V129" s="38" t="str">
        <f t="shared" si="131"/>
        <v/>
      </c>
      <c r="W129" s="38" t="str">
        <f t="shared" si="13"/>
        <v/>
      </c>
      <c r="X129" s="11"/>
      <c r="Y129" s="11"/>
      <c r="Z129" s="11"/>
      <c r="AA129" s="11"/>
    </row>
    <row r="130" ht="13.5" customHeight="1" outlineLevel="1">
      <c r="A130" s="315"/>
      <c r="B130" s="85"/>
      <c r="C130" s="238">
        <v>0.05</v>
      </c>
      <c r="D130" s="239">
        <v>0.05</v>
      </c>
      <c r="E130" s="245">
        <v>4.9</v>
      </c>
      <c r="F130" s="156">
        <f t="shared" si="116"/>
        <v>0.01225</v>
      </c>
      <c r="G130" s="156">
        <f t="shared" si="117"/>
        <v>0.245</v>
      </c>
      <c r="H130" s="332">
        <v>283.0</v>
      </c>
      <c r="I130" s="158">
        <f t="shared" ref="I130:I134" si="132">ROUND(H130*1.1667,0)</f>
        <v>330</v>
      </c>
      <c r="J130" s="159">
        <f t="shared" ref="J130:J134" si="133">ROUND((I130*0.992)*1.21,0)*(C130*D130*E130)</f>
        <v>4.851</v>
      </c>
      <c r="K130" s="160">
        <f t="shared" si="118"/>
        <v>19.8</v>
      </c>
      <c r="L130" s="161">
        <f t="shared" ref="L130:L171" si="134">T130+R130-O130</f>
        <v>0</v>
      </c>
      <c r="M130" s="241">
        <f t="shared" si="120"/>
        <v>0</v>
      </c>
      <c r="N130" s="206">
        <f t="shared" si="121"/>
        <v>0</v>
      </c>
      <c r="O130" s="246"/>
      <c r="P130" s="165" t="str">
        <f t="shared" si="122"/>
        <v/>
      </c>
      <c r="Q130" s="166"/>
      <c r="R130" s="247"/>
      <c r="S130" s="165">
        <f t="shared" si="123"/>
        <v>0</v>
      </c>
      <c r="T130" s="244">
        <v>0.0</v>
      </c>
      <c r="U130" s="169">
        <f t="shared" si="124"/>
        <v>0</v>
      </c>
      <c r="V130" s="38" t="str">
        <f t="shared" si="131"/>
        <v/>
      </c>
      <c r="W130" s="38" t="str">
        <f t="shared" si="13"/>
        <v/>
      </c>
      <c r="X130" s="11"/>
      <c r="Y130" s="11"/>
      <c r="Z130" s="11"/>
      <c r="AA130" s="11"/>
    </row>
    <row r="131" ht="13.5" customHeight="1" outlineLevel="1">
      <c r="A131" s="315"/>
      <c r="B131" s="85"/>
      <c r="C131" s="238">
        <v>0.05</v>
      </c>
      <c r="D131" s="239">
        <v>0.05</v>
      </c>
      <c r="E131" s="245">
        <v>6.0</v>
      </c>
      <c r="F131" s="156">
        <f t="shared" si="116"/>
        <v>0.015</v>
      </c>
      <c r="G131" s="156">
        <f t="shared" si="117"/>
        <v>0.3</v>
      </c>
      <c r="H131" s="332">
        <v>283.0</v>
      </c>
      <c r="I131" s="158">
        <f t="shared" si="132"/>
        <v>330</v>
      </c>
      <c r="J131" s="159">
        <f t="shared" si="133"/>
        <v>5.94</v>
      </c>
      <c r="K131" s="160">
        <f t="shared" si="118"/>
        <v>19.8</v>
      </c>
      <c r="L131" s="161">
        <f t="shared" si="134"/>
        <v>0</v>
      </c>
      <c r="M131" s="241">
        <f t="shared" si="120"/>
        <v>0</v>
      </c>
      <c r="N131" s="206">
        <f t="shared" si="121"/>
        <v>0</v>
      </c>
      <c r="O131" s="246"/>
      <c r="P131" s="165" t="str">
        <f t="shared" si="122"/>
        <v/>
      </c>
      <c r="Q131" s="166"/>
      <c r="R131" s="247"/>
      <c r="S131" s="165">
        <f t="shared" si="123"/>
        <v>0</v>
      </c>
      <c r="T131" s="244">
        <v>0.0</v>
      </c>
      <c r="U131" s="169">
        <f t="shared" si="124"/>
        <v>0</v>
      </c>
      <c r="V131" s="38" t="str">
        <f t="shared" si="131"/>
        <v/>
      </c>
      <c r="W131" s="38" t="str">
        <f t="shared" si="13"/>
        <v/>
      </c>
      <c r="X131" s="11"/>
      <c r="Y131" s="11"/>
      <c r="Z131" s="11"/>
      <c r="AA131" s="11"/>
    </row>
    <row r="132" ht="13.5" customHeight="1" outlineLevel="1">
      <c r="A132" s="315"/>
      <c r="B132" s="85"/>
      <c r="C132" s="238">
        <v>0.05</v>
      </c>
      <c r="D132" s="239">
        <v>0.1</v>
      </c>
      <c r="E132" s="245">
        <v>3.6</v>
      </c>
      <c r="F132" s="156">
        <f t="shared" si="116"/>
        <v>0.018</v>
      </c>
      <c r="G132" s="156">
        <f t="shared" si="117"/>
        <v>0.36</v>
      </c>
      <c r="H132" s="332">
        <v>240.0</v>
      </c>
      <c r="I132" s="158">
        <f t="shared" si="132"/>
        <v>280</v>
      </c>
      <c r="J132" s="159">
        <f t="shared" si="133"/>
        <v>6.048</v>
      </c>
      <c r="K132" s="160">
        <f t="shared" si="118"/>
        <v>16.8</v>
      </c>
      <c r="L132" s="161">
        <f t="shared" si="134"/>
        <v>88</v>
      </c>
      <c r="M132" s="241">
        <f t="shared" si="120"/>
        <v>1.584</v>
      </c>
      <c r="N132" s="163">
        <f t="shared" si="121"/>
        <v>31.68</v>
      </c>
      <c r="O132" s="246">
        <v>5.0</v>
      </c>
      <c r="P132" s="165">
        <f t="shared" si="122"/>
        <v>0.09</v>
      </c>
      <c r="Q132" s="166">
        <v>30.0</v>
      </c>
      <c r="R132" s="243"/>
      <c r="S132" s="165">
        <f t="shared" si="123"/>
        <v>0</v>
      </c>
      <c r="T132" s="244">
        <v>93.0</v>
      </c>
      <c r="U132" s="169">
        <f t="shared" si="124"/>
        <v>532.224</v>
      </c>
      <c r="V132" s="38">
        <f t="shared" si="131"/>
        <v>8.4</v>
      </c>
      <c r="W132" s="38">
        <f t="shared" si="13"/>
        <v>21.6</v>
      </c>
      <c r="X132" s="11"/>
      <c r="Y132" s="11"/>
      <c r="Z132" s="11"/>
      <c r="AA132" s="11"/>
    </row>
    <row r="133" ht="13.5" customHeight="1" outlineLevel="1">
      <c r="A133" s="315"/>
      <c r="B133" s="85"/>
      <c r="C133" s="238">
        <v>0.05</v>
      </c>
      <c r="D133" s="239">
        <v>0.1</v>
      </c>
      <c r="E133" s="245">
        <v>4.9</v>
      </c>
      <c r="F133" s="156">
        <f t="shared" si="116"/>
        <v>0.0245</v>
      </c>
      <c r="G133" s="156">
        <f t="shared" si="117"/>
        <v>0.49</v>
      </c>
      <c r="H133" s="332">
        <v>240.0</v>
      </c>
      <c r="I133" s="158">
        <f t="shared" si="132"/>
        <v>280</v>
      </c>
      <c r="J133" s="159">
        <f t="shared" si="133"/>
        <v>8.232</v>
      </c>
      <c r="K133" s="160">
        <f t="shared" si="118"/>
        <v>16.8</v>
      </c>
      <c r="L133" s="161">
        <f t="shared" si="134"/>
        <v>312</v>
      </c>
      <c r="M133" s="241">
        <f t="shared" si="120"/>
        <v>7.644</v>
      </c>
      <c r="N133" s="163">
        <f t="shared" si="121"/>
        <v>152.88</v>
      </c>
      <c r="O133" s="246"/>
      <c r="P133" s="165" t="str">
        <f t="shared" si="122"/>
        <v/>
      </c>
      <c r="Q133" s="166"/>
      <c r="R133" s="247"/>
      <c r="S133" s="165">
        <f t="shared" si="123"/>
        <v>0</v>
      </c>
      <c r="T133" s="244">
        <v>312.0</v>
      </c>
      <c r="U133" s="169">
        <f t="shared" si="124"/>
        <v>2568.384</v>
      </c>
      <c r="V133" s="38" t="str">
        <f t="shared" si="131"/>
        <v/>
      </c>
      <c r="W133" s="38" t="str">
        <f t="shared" si="13"/>
        <v/>
      </c>
      <c r="X133" s="11"/>
      <c r="Y133" s="11"/>
      <c r="Z133" s="11"/>
      <c r="AA133" s="11"/>
    </row>
    <row r="134" ht="13.5" customHeight="1" outlineLevel="1">
      <c r="A134" s="315"/>
      <c r="B134" s="85"/>
      <c r="C134" s="238">
        <v>0.05</v>
      </c>
      <c r="D134" s="239">
        <v>0.1</v>
      </c>
      <c r="E134" s="245">
        <v>6.0</v>
      </c>
      <c r="F134" s="156">
        <f t="shared" si="116"/>
        <v>0.03</v>
      </c>
      <c r="G134" s="156">
        <f t="shared" si="117"/>
        <v>0.6</v>
      </c>
      <c r="H134" s="332">
        <v>240.0</v>
      </c>
      <c r="I134" s="158">
        <f t="shared" si="132"/>
        <v>280</v>
      </c>
      <c r="J134" s="159">
        <f t="shared" si="133"/>
        <v>10.08</v>
      </c>
      <c r="K134" s="160">
        <f t="shared" si="118"/>
        <v>16.8</v>
      </c>
      <c r="L134" s="161">
        <f t="shared" si="134"/>
        <v>68</v>
      </c>
      <c r="M134" s="241">
        <f t="shared" si="120"/>
        <v>2.04</v>
      </c>
      <c r="N134" s="163">
        <f t="shared" si="121"/>
        <v>40.8</v>
      </c>
      <c r="O134" s="246"/>
      <c r="P134" s="165" t="str">
        <f t="shared" si="122"/>
        <v/>
      </c>
      <c r="Q134" s="166"/>
      <c r="R134" s="247"/>
      <c r="S134" s="165">
        <f t="shared" si="123"/>
        <v>0</v>
      </c>
      <c r="T134" s="244">
        <v>68.0</v>
      </c>
      <c r="U134" s="169">
        <f t="shared" si="124"/>
        <v>685.44</v>
      </c>
      <c r="V134" s="38" t="str">
        <f t="shared" si="131"/>
        <v/>
      </c>
      <c r="W134" s="38" t="str">
        <f t="shared" si="13"/>
        <v/>
      </c>
      <c r="X134" s="11"/>
      <c r="Y134" s="11"/>
      <c r="Z134" s="11"/>
      <c r="AA134" s="11"/>
    </row>
    <row r="135" ht="13.5" customHeight="1" outlineLevel="1">
      <c r="A135" s="315"/>
      <c r="B135" s="85" t="s">
        <v>95</v>
      </c>
      <c r="C135" s="238">
        <v>0.05</v>
      </c>
      <c r="D135" s="239">
        <v>0.125</v>
      </c>
      <c r="E135" s="245">
        <v>6.0</v>
      </c>
      <c r="F135" s="156">
        <f t="shared" si="116"/>
        <v>0.0375</v>
      </c>
      <c r="G135" s="156">
        <f t="shared" si="117"/>
        <v>0.75</v>
      </c>
      <c r="H135" s="332">
        <v>240.0</v>
      </c>
      <c r="I135" s="158">
        <f>ROUND(H135*1.1667,0)*0.9</f>
        <v>252</v>
      </c>
      <c r="J135" s="159">
        <f>ROUND((I135*0.873)*1.21,0)*(C135*D135*E135)</f>
        <v>9.975</v>
      </c>
      <c r="K135" s="160">
        <f t="shared" si="118"/>
        <v>13.3</v>
      </c>
      <c r="L135" s="161">
        <f t="shared" si="134"/>
        <v>16</v>
      </c>
      <c r="M135" s="241">
        <f t="shared" si="120"/>
        <v>0.6</v>
      </c>
      <c r="N135" s="163">
        <f t="shared" si="121"/>
        <v>12</v>
      </c>
      <c r="O135" s="246"/>
      <c r="P135" s="165" t="str">
        <f t="shared" si="122"/>
        <v/>
      </c>
      <c r="Q135" s="166"/>
      <c r="R135" s="243"/>
      <c r="S135" s="165">
        <f t="shared" si="123"/>
        <v>0</v>
      </c>
      <c r="T135" s="244">
        <v>16.0</v>
      </c>
      <c r="U135" s="169">
        <f t="shared" si="124"/>
        <v>159.6</v>
      </c>
      <c r="V135" s="38" t="str">
        <f t="shared" si="131"/>
        <v/>
      </c>
      <c r="W135" s="38" t="str">
        <f t="shared" si="13"/>
        <v/>
      </c>
      <c r="X135" s="11"/>
      <c r="Y135" s="11"/>
      <c r="Z135" s="11"/>
      <c r="AA135" s="11"/>
    </row>
    <row r="136" ht="13.5" customHeight="1" outlineLevel="1">
      <c r="A136" s="315"/>
      <c r="B136" s="85"/>
      <c r="C136" s="238">
        <v>0.05</v>
      </c>
      <c r="D136" s="239">
        <v>0.15</v>
      </c>
      <c r="E136" s="245">
        <v>3.7</v>
      </c>
      <c r="F136" s="156">
        <f t="shared" si="116"/>
        <v>0.02775</v>
      </c>
      <c r="G136" s="156">
        <f t="shared" si="117"/>
        <v>0.555</v>
      </c>
      <c r="H136" s="332">
        <v>240.0</v>
      </c>
      <c r="I136" s="158">
        <f t="shared" ref="I136:I157" si="135">ROUND(H136*1.1667,0)</f>
        <v>280</v>
      </c>
      <c r="J136" s="159">
        <f t="shared" ref="J136:J157" si="136">ROUND((I136*0.992)*1.21,0)*(C136*D136*E136)</f>
        <v>9.324</v>
      </c>
      <c r="K136" s="160">
        <f t="shared" si="118"/>
        <v>16.8</v>
      </c>
      <c r="L136" s="161">
        <f t="shared" si="134"/>
        <v>33</v>
      </c>
      <c r="M136" s="241">
        <f t="shared" si="120"/>
        <v>0.91575</v>
      </c>
      <c r="N136" s="163">
        <f t="shared" si="121"/>
        <v>18.315</v>
      </c>
      <c r="O136" s="246"/>
      <c r="P136" s="165" t="str">
        <f t="shared" si="122"/>
        <v/>
      </c>
      <c r="Q136" s="166"/>
      <c r="R136" s="243"/>
      <c r="S136" s="165">
        <f t="shared" si="123"/>
        <v>0</v>
      </c>
      <c r="T136" s="244">
        <v>33.0</v>
      </c>
      <c r="U136" s="169">
        <f t="shared" si="124"/>
        <v>307.692</v>
      </c>
      <c r="V136" s="38" t="str">
        <f t="shared" si="131"/>
        <v/>
      </c>
      <c r="W136" s="38" t="str">
        <f t="shared" si="13"/>
        <v/>
      </c>
      <c r="X136" s="38"/>
      <c r="Y136" s="38"/>
      <c r="Z136" s="11"/>
      <c r="AA136" s="11"/>
    </row>
    <row r="137" ht="13.5" customHeight="1" outlineLevel="1">
      <c r="A137" s="315"/>
      <c r="B137" s="85"/>
      <c r="C137" s="238">
        <v>0.05</v>
      </c>
      <c r="D137" s="239">
        <v>0.15</v>
      </c>
      <c r="E137" s="245">
        <v>4.9</v>
      </c>
      <c r="F137" s="156">
        <f t="shared" si="116"/>
        <v>0.03675</v>
      </c>
      <c r="G137" s="156">
        <f t="shared" si="117"/>
        <v>0.735</v>
      </c>
      <c r="H137" s="332">
        <v>240.0</v>
      </c>
      <c r="I137" s="158">
        <f t="shared" si="135"/>
        <v>280</v>
      </c>
      <c r="J137" s="159">
        <f t="shared" si="136"/>
        <v>12.348</v>
      </c>
      <c r="K137" s="160">
        <f t="shared" si="118"/>
        <v>16.8</v>
      </c>
      <c r="L137" s="161">
        <f t="shared" si="134"/>
        <v>405</v>
      </c>
      <c r="M137" s="241">
        <f t="shared" si="120"/>
        <v>14.88375</v>
      </c>
      <c r="N137" s="163">
        <f t="shared" si="121"/>
        <v>297.675</v>
      </c>
      <c r="O137" s="246">
        <v>40.0</v>
      </c>
      <c r="P137" s="165">
        <f t="shared" si="122"/>
        <v>1.47</v>
      </c>
      <c r="Q137" s="166">
        <v>400.0</v>
      </c>
      <c r="R137" s="247"/>
      <c r="S137" s="165">
        <f t="shared" si="123"/>
        <v>0</v>
      </c>
      <c r="T137" s="244">
        <v>445.0</v>
      </c>
      <c r="U137" s="169">
        <f t="shared" si="124"/>
        <v>5000.94</v>
      </c>
      <c r="V137" s="38">
        <f t="shared" si="131"/>
        <v>47.2</v>
      </c>
      <c r="W137" s="38">
        <f t="shared" si="13"/>
        <v>352.8</v>
      </c>
      <c r="X137" s="11"/>
      <c r="Y137" s="11"/>
      <c r="Z137" s="11"/>
      <c r="AA137" s="11"/>
    </row>
    <row r="138" ht="13.5" customHeight="1" outlineLevel="1">
      <c r="A138" s="315"/>
      <c r="B138" s="85"/>
      <c r="C138" s="238">
        <v>0.05</v>
      </c>
      <c r="D138" s="239">
        <v>0.15</v>
      </c>
      <c r="E138" s="245">
        <v>6.0</v>
      </c>
      <c r="F138" s="156">
        <f t="shared" si="116"/>
        <v>0.045</v>
      </c>
      <c r="G138" s="156">
        <f t="shared" si="117"/>
        <v>0.9</v>
      </c>
      <c r="H138" s="332">
        <v>240.0</v>
      </c>
      <c r="I138" s="158">
        <f t="shared" si="135"/>
        <v>280</v>
      </c>
      <c r="J138" s="159">
        <f t="shared" si="136"/>
        <v>15.12</v>
      </c>
      <c r="K138" s="160">
        <f t="shared" si="118"/>
        <v>16.8</v>
      </c>
      <c r="L138" s="161">
        <f t="shared" si="134"/>
        <v>863</v>
      </c>
      <c r="M138" s="241">
        <f t="shared" si="120"/>
        <v>38.835</v>
      </c>
      <c r="N138" s="163">
        <f t="shared" si="121"/>
        <v>776.7</v>
      </c>
      <c r="O138" s="246"/>
      <c r="P138" s="165" t="str">
        <f t="shared" si="122"/>
        <v/>
      </c>
      <c r="Q138" s="166"/>
      <c r="R138" s="247"/>
      <c r="S138" s="165">
        <f t="shared" si="123"/>
        <v>0</v>
      </c>
      <c r="T138" s="244">
        <v>863.0</v>
      </c>
      <c r="U138" s="169">
        <f t="shared" si="124"/>
        <v>13048.56</v>
      </c>
      <c r="V138" s="38" t="str">
        <f t="shared" si="131"/>
        <v/>
      </c>
      <c r="W138" s="38" t="str">
        <f t="shared" si="13"/>
        <v/>
      </c>
      <c r="X138" s="11"/>
      <c r="Y138" s="11"/>
      <c r="Z138" s="11"/>
      <c r="AA138" s="11"/>
    </row>
    <row r="139" ht="13.5" customHeight="1" outlineLevel="1">
      <c r="A139" s="315"/>
      <c r="B139" s="85" t="s">
        <v>95</v>
      </c>
      <c r="C139" s="238">
        <v>0.05</v>
      </c>
      <c r="D139" s="239">
        <v>0.2</v>
      </c>
      <c r="E139" s="245">
        <v>3.7</v>
      </c>
      <c r="F139" s="156">
        <f t="shared" si="116"/>
        <v>0.037</v>
      </c>
      <c r="G139" s="156">
        <f t="shared" si="117"/>
        <v>0.74</v>
      </c>
      <c r="H139" s="332">
        <v>240.0</v>
      </c>
      <c r="I139" s="158">
        <f t="shared" si="135"/>
        <v>280</v>
      </c>
      <c r="J139" s="159">
        <f t="shared" si="136"/>
        <v>12.432</v>
      </c>
      <c r="K139" s="344">
        <f t="shared" si="118"/>
        <v>16.8</v>
      </c>
      <c r="L139" s="161">
        <f t="shared" si="134"/>
        <v>16</v>
      </c>
      <c r="M139" s="241">
        <f t="shared" si="120"/>
        <v>0.592</v>
      </c>
      <c r="N139" s="163">
        <f t="shared" si="121"/>
        <v>11.84</v>
      </c>
      <c r="O139" s="246"/>
      <c r="P139" s="165" t="str">
        <f t="shared" si="122"/>
        <v/>
      </c>
      <c r="Q139" s="166"/>
      <c r="R139" s="243"/>
      <c r="S139" s="165">
        <f t="shared" si="123"/>
        <v>0</v>
      </c>
      <c r="T139" s="244">
        <v>16.0</v>
      </c>
      <c r="U139" s="169">
        <f t="shared" si="124"/>
        <v>198.912</v>
      </c>
      <c r="V139" s="38" t="str">
        <f t="shared" si="131"/>
        <v/>
      </c>
      <c r="W139" s="38" t="str">
        <f t="shared" si="13"/>
        <v/>
      </c>
      <c r="X139" s="11"/>
      <c r="Y139" s="11"/>
      <c r="Z139" s="11"/>
      <c r="AA139" s="11"/>
    </row>
    <row r="140" ht="13.5" customHeight="1" outlineLevel="1">
      <c r="A140" s="315"/>
      <c r="B140" s="85" t="s">
        <v>95</v>
      </c>
      <c r="C140" s="238">
        <v>0.05</v>
      </c>
      <c r="D140" s="239">
        <v>0.2</v>
      </c>
      <c r="E140" s="245">
        <v>3.9</v>
      </c>
      <c r="F140" s="156">
        <f t="shared" si="116"/>
        <v>0.039</v>
      </c>
      <c r="G140" s="156">
        <f t="shared" si="117"/>
        <v>0.78</v>
      </c>
      <c r="H140" s="332">
        <v>240.0</v>
      </c>
      <c r="I140" s="158">
        <f t="shared" si="135"/>
        <v>280</v>
      </c>
      <c r="J140" s="159">
        <f t="shared" si="136"/>
        <v>13.104</v>
      </c>
      <c r="K140" s="344">
        <f t="shared" si="118"/>
        <v>16.8</v>
      </c>
      <c r="L140" s="161">
        <f t="shared" si="134"/>
        <v>51</v>
      </c>
      <c r="M140" s="241">
        <f t="shared" si="120"/>
        <v>1.989</v>
      </c>
      <c r="N140" s="163">
        <f t="shared" si="121"/>
        <v>39.78</v>
      </c>
      <c r="O140" s="246"/>
      <c r="P140" s="165" t="str">
        <f t="shared" si="122"/>
        <v/>
      </c>
      <c r="Q140" s="166"/>
      <c r="R140" s="243"/>
      <c r="S140" s="165">
        <f t="shared" si="123"/>
        <v>0</v>
      </c>
      <c r="T140" s="244">
        <v>51.0</v>
      </c>
      <c r="U140" s="169">
        <f t="shared" si="124"/>
        <v>668.304</v>
      </c>
      <c r="V140" s="38" t="str">
        <f t="shared" si="131"/>
        <v/>
      </c>
      <c r="W140" s="38" t="str">
        <f t="shared" si="13"/>
        <v/>
      </c>
      <c r="X140" s="11"/>
      <c r="Y140" s="11"/>
      <c r="Z140" s="11"/>
      <c r="AA140" s="11"/>
    </row>
    <row r="141" ht="13.5" customHeight="1" outlineLevel="1">
      <c r="A141" s="315"/>
      <c r="B141" s="85"/>
      <c r="C141" s="238">
        <v>0.05</v>
      </c>
      <c r="D141" s="239">
        <v>0.2</v>
      </c>
      <c r="E141" s="245">
        <v>4.9</v>
      </c>
      <c r="F141" s="156">
        <f t="shared" si="116"/>
        <v>0.049</v>
      </c>
      <c r="G141" s="156">
        <f t="shared" si="117"/>
        <v>0.98</v>
      </c>
      <c r="H141" s="332">
        <v>240.0</v>
      </c>
      <c r="I141" s="158">
        <f t="shared" si="135"/>
        <v>280</v>
      </c>
      <c r="J141" s="159">
        <f t="shared" si="136"/>
        <v>16.464</v>
      </c>
      <c r="K141" s="344">
        <f t="shared" si="118"/>
        <v>16.8</v>
      </c>
      <c r="L141" s="161">
        <f t="shared" si="134"/>
        <v>197</v>
      </c>
      <c r="M141" s="241">
        <f t="shared" si="120"/>
        <v>9.653</v>
      </c>
      <c r="N141" s="163">
        <f t="shared" si="121"/>
        <v>193.06</v>
      </c>
      <c r="O141" s="246"/>
      <c r="P141" s="165" t="str">
        <f t="shared" si="122"/>
        <v/>
      </c>
      <c r="Q141" s="166"/>
      <c r="R141" s="247"/>
      <c r="S141" s="165">
        <f t="shared" si="123"/>
        <v>0</v>
      </c>
      <c r="T141" s="244">
        <v>197.0</v>
      </c>
      <c r="U141" s="169">
        <f t="shared" si="124"/>
        <v>3243.408</v>
      </c>
      <c r="V141" s="38" t="str">
        <f t="shared" si="131"/>
        <v/>
      </c>
      <c r="W141" s="38" t="str">
        <f t="shared" si="13"/>
        <v/>
      </c>
      <c r="X141" s="11"/>
      <c r="Y141" s="11"/>
      <c r="Z141" s="11"/>
      <c r="AA141" s="11"/>
    </row>
    <row r="142" ht="13.5" customHeight="1" outlineLevel="1">
      <c r="A142" s="315"/>
      <c r="B142" s="85"/>
      <c r="C142" s="238">
        <v>0.05</v>
      </c>
      <c r="D142" s="239">
        <v>0.2</v>
      </c>
      <c r="E142" s="245">
        <v>6.0</v>
      </c>
      <c r="F142" s="156">
        <f t="shared" si="116"/>
        <v>0.06</v>
      </c>
      <c r="G142" s="156">
        <f t="shared" si="117"/>
        <v>1.2</v>
      </c>
      <c r="H142" s="240">
        <v>240.0</v>
      </c>
      <c r="I142" s="158">
        <f t="shared" si="135"/>
        <v>280</v>
      </c>
      <c r="J142" s="159">
        <f t="shared" si="136"/>
        <v>20.16</v>
      </c>
      <c r="K142" s="344">
        <f t="shared" si="118"/>
        <v>16.8</v>
      </c>
      <c r="L142" s="161">
        <f t="shared" si="134"/>
        <v>459</v>
      </c>
      <c r="M142" s="241">
        <f t="shared" si="120"/>
        <v>27.54</v>
      </c>
      <c r="N142" s="163">
        <f t="shared" si="121"/>
        <v>550.8</v>
      </c>
      <c r="O142" s="246"/>
      <c r="P142" s="165" t="str">
        <f t="shared" si="122"/>
        <v/>
      </c>
      <c r="Q142" s="166"/>
      <c r="R142" s="247"/>
      <c r="S142" s="165">
        <f t="shared" si="123"/>
        <v>0</v>
      </c>
      <c r="T142" s="244">
        <v>459.0</v>
      </c>
      <c r="U142" s="169">
        <f t="shared" si="124"/>
        <v>9253.44</v>
      </c>
      <c r="V142" s="38" t="str">
        <f t="shared" si="131"/>
        <v/>
      </c>
      <c r="W142" s="38" t="str">
        <f t="shared" si="13"/>
        <v/>
      </c>
      <c r="X142" s="11"/>
      <c r="Y142" s="11"/>
      <c r="Z142" s="11"/>
      <c r="AA142" s="11"/>
    </row>
    <row r="143" ht="13.5" customHeight="1" outlineLevel="1">
      <c r="A143" s="315"/>
      <c r="B143" s="85"/>
      <c r="C143" s="238">
        <v>0.05</v>
      </c>
      <c r="D143" s="239">
        <v>0.25</v>
      </c>
      <c r="E143" s="245">
        <v>6.0</v>
      </c>
      <c r="F143" s="156">
        <f t="shared" si="116"/>
        <v>0.075</v>
      </c>
      <c r="G143" s="156">
        <f t="shared" si="117"/>
        <v>1.5</v>
      </c>
      <c r="H143" s="332">
        <v>240.0</v>
      </c>
      <c r="I143" s="158">
        <f t="shared" si="135"/>
        <v>280</v>
      </c>
      <c r="J143" s="159">
        <f t="shared" si="136"/>
        <v>25.2</v>
      </c>
      <c r="K143" s="160">
        <f t="shared" si="118"/>
        <v>16.8</v>
      </c>
      <c r="L143" s="161">
        <f t="shared" si="134"/>
        <v>0</v>
      </c>
      <c r="M143" s="241">
        <f t="shared" si="120"/>
        <v>0</v>
      </c>
      <c r="N143" s="206">
        <f t="shared" si="121"/>
        <v>0</v>
      </c>
      <c r="O143" s="246"/>
      <c r="P143" s="165" t="str">
        <f t="shared" si="122"/>
        <v/>
      </c>
      <c r="Q143" s="166"/>
      <c r="R143" s="243"/>
      <c r="S143" s="165">
        <f t="shared" si="123"/>
        <v>0</v>
      </c>
      <c r="T143" s="244">
        <v>0.0</v>
      </c>
      <c r="U143" s="169">
        <f t="shared" si="124"/>
        <v>0</v>
      </c>
      <c r="V143" s="38" t="str">
        <f t="shared" si="131"/>
        <v/>
      </c>
      <c r="W143" s="38" t="str">
        <f t="shared" si="13"/>
        <v/>
      </c>
      <c r="X143" s="11"/>
      <c r="Y143" s="11"/>
      <c r="Z143" s="11"/>
      <c r="AA143" s="11"/>
    </row>
    <row r="144" ht="13.5" customHeight="1" outlineLevel="1">
      <c r="A144" s="315"/>
      <c r="B144" s="248"/>
      <c r="C144" s="238">
        <v>0.075</v>
      </c>
      <c r="D144" s="239">
        <v>0.15</v>
      </c>
      <c r="E144" s="245">
        <v>6.0</v>
      </c>
      <c r="F144" s="156">
        <f t="shared" si="116"/>
        <v>0.0675</v>
      </c>
      <c r="G144" s="156">
        <f t="shared" si="117"/>
        <v>0.9</v>
      </c>
      <c r="H144" s="332">
        <v>240.0</v>
      </c>
      <c r="I144" s="158">
        <f t="shared" si="135"/>
        <v>280</v>
      </c>
      <c r="J144" s="159">
        <f t="shared" si="136"/>
        <v>22.68</v>
      </c>
      <c r="K144" s="160">
        <f t="shared" si="118"/>
        <v>25.2</v>
      </c>
      <c r="L144" s="161">
        <f t="shared" si="134"/>
        <v>43</v>
      </c>
      <c r="M144" s="241">
        <f t="shared" si="120"/>
        <v>2.9025</v>
      </c>
      <c r="N144" s="163">
        <f t="shared" si="121"/>
        <v>38.7</v>
      </c>
      <c r="O144" s="246"/>
      <c r="P144" s="165" t="str">
        <f t="shared" si="122"/>
        <v/>
      </c>
      <c r="Q144" s="166"/>
      <c r="R144" s="243"/>
      <c r="S144" s="165">
        <f t="shared" si="123"/>
        <v>0</v>
      </c>
      <c r="T144" s="244">
        <v>43.0</v>
      </c>
      <c r="U144" s="169">
        <f t="shared" si="124"/>
        <v>975.24</v>
      </c>
      <c r="V144" s="38" t="str">
        <f t="shared" si="131"/>
        <v/>
      </c>
      <c r="W144" s="38" t="str">
        <f t="shared" si="13"/>
        <v/>
      </c>
      <c r="X144" s="11"/>
      <c r="Y144" s="11"/>
      <c r="Z144" s="11"/>
      <c r="AA144" s="11"/>
    </row>
    <row r="145" ht="13.5" customHeight="1" outlineLevel="1">
      <c r="A145" s="315"/>
      <c r="B145" s="248"/>
      <c r="C145" s="238">
        <v>0.075</v>
      </c>
      <c r="D145" s="239">
        <v>0.2</v>
      </c>
      <c r="E145" s="245">
        <v>3.8</v>
      </c>
      <c r="F145" s="156">
        <f t="shared" si="116"/>
        <v>0.057</v>
      </c>
      <c r="G145" s="156">
        <f t="shared" si="117"/>
        <v>0.76</v>
      </c>
      <c r="H145" s="332">
        <v>240.0</v>
      </c>
      <c r="I145" s="158">
        <f t="shared" si="135"/>
        <v>280</v>
      </c>
      <c r="J145" s="159">
        <f t="shared" si="136"/>
        <v>19.152</v>
      </c>
      <c r="K145" s="160">
        <f t="shared" si="118"/>
        <v>25.2</v>
      </c>
      <c r="L145" s="161">
        <f t="shared" si="134"/>
        <v>1</v>
      </c>
      <c r="M145" s="241">
        <f t="shared" si="120"/>
        <v>0.057</v>
      </c>
      <c r="N145" s="206">
        <f t="shared" si="121"/>
        <v>0.76</v>
      </c>
      <c r="O145" s="275"/>
      <c r="P145" s="165" t="str">
        <f t="shared" si="122"/>
        <v/>
      </c>
      <c r="Q145" s="166"/>
      <c r="R145" s="243"/>
      <c r="S145" s="165">
        <f t="shared" si="123"/>
        <v>0</v>
      </c>
      <c r="T145" s="244">
        <v>1.0</v>
      </c>
      <c r="U145" s="169">
        <f t="shared" si="124"/>
        <v>19.152</v>
      </c>
      <c r="V145" s="38" t="str">
        <f t="shared" si="131"/>
        <v/>
      </c>
      <c r="W145" s="38" t="str">
        <f t="shared" si="13"/>
        <v/>
      </c>
      <c r="X145" s="11"/>
      <c r="Y145" s="11"/>
      <c r="Z145" s="11"/>
      <c r="AA145" s="11"/>
    </row>
    <row r="146" ht="13.5" customHeight="1" outlineLevel="1">
      <c r="A146" s="315"/>
      <c r="B146" s="248"/>
      <c r="C146" s="238">
        <v>0.075</v>
      </c>
      <c r="D146" s="239">
        <v>0.2</v>
      </c>
      <c r="E146" s="245">
        <v>4.3</v>
      </c>
      <c r="F146" s="156">
        <f t="shared" si="116"/>
        <v>0.0645</v>
      </c>
      <c r="G146" s="156">
        <f t="shared" si="117"/>
        <v>0.86</v>
      </c>
      <c r="H146" s="332">
        <v>240.0</v>
      </c>
      <c r="I146" s="158">
        <f t="shared" si="135"/>
        <v>280</v>
      </c>
      <c r="J146" s="159">
        <f t="shared" si="136"/>
        <v>21.672</v>
      </c>
      <c r="K146" s="160">
        <f t="shared" si="118"/>
        <v>25.2</v>
      </c>
      <c r="L146" s="161">
        <f t="shared" si="134"/>
        <v>10</v>
      </c>
      <c r="M146" s="241">
        <f t="shared" si="120"/>
        <v>0.645</v>
      </c>
      <c r="N146" s="206">
        <f t="shared" si="121"/>
        <v>8.6</v>
      </c>
      <c r="O146" s="345"/>
      <c r="P146" s="165" t="str">
        <f t="shared" si="122"/>
        <v/>
      </c>
      <c r="Q146" s="166"/>
      <c r="R146" s="243"/>
      <c r="S146" s="165">
        <f t="shared" si="123"/>
        <v>0</v>
      </c>
      <c r="T146" s="244">
        <v>10.0</v>
      </c>
      <c r="U146" s="169">
        <f t="shared" si="124"/>
        <v>216.72</v>
      </c>
      <c r="V146" s="38" t="str">
        <f t="shared" si="131"/>
        <v/>
      </c>
      <c r="W146" s="38" t="str">
        <f t="shared" si="13"/>
        <v/>
      </c>
      <c r="X146" s="11"/>
      <c r="Y146" s="11"/>
      <c r="Z146" s="11"/>
      <c r="AA146" s="11"/>
    </row>
    <row r="147" ht="13.5" customHeight="1" outlineLevel="1">
      <c r="A147" s="315"/>
      <c r="B147" s="248"/>
      <c r="C147" s="238">
        <v>0.075</v>
      </c>
      <c r="D147" s="239">
        <v>0.2</v>
      </c>
      <c r="E147" s="245">
        <v>4.9</v>
      </c>
      <c r="F147" s="156">
        <f t="shared" si="116"/>
        <v>0.0735</v>
      </c>
      <c r="G147" s="156">
        <f t="shared" si="117"/>
        <v>0.98</v>
      </c>
      <c r="H147" s="332">
        <v>240.0</v>
      </c>
      <c r="I147" s="158">
        <f t="shared" si="135"/>
        <v>280</v>
      </c>
      <c r="J147" s="159">
        <f t="shared" si="136"/>
        <v>24.696</v>
      </c>
      <c r="K147" s="160">
        <f t="shared" si="118"/>
        <v>25.2</v>
      </c>
      <c r="L147" s="161">
        <f t="shared" si="134"/>
        <v>5</v>
      </c>
      <c r="M147" s="241">
        <f t="shared" si="120"/>
        <v>0.3675</v>
      </c>
      <c r="N147" s="206">
        <f t="shared" si="121"/>
        <v>4.9</v>
      </c>
      <c r="O147" s="246"/>
      <c r="P147" s="165" t="str">
        <f t="shared" si="122"/>
        <v/>
      </c>
      <c r="Q147" s="166"/>
      <c r="R147" s="243"/>
      <c r="S147" s="165">
        <f t="shared" si="123"/>
        <v>0</v>
      </c>
      <c r="T147" s="244">
        <v>5.0</v>
      </c>
      <c r="U147" s="169">
        <f t="shared" si="124"/>
        <v>123.48</v>
      </c>
      <c r="V147" s="38" t="str">
        <f t="shared" si="131"/>
        <v/>
      </c>
      <c r="W147" s="38" t="str">
        <f t="shared" si="13"/>
        <v/>
      </c>
      <c r="X147" s="11"/>
      <c r="Y147" s="11"/>
      <c r="Z147" s="11"/>
      <c r="AA147" s="11"/>
    </row>
    <row r="148" ht="13.5" customHeight="1" outlineLevel="1">
      <c r="A148" s="315"/>
      <c r="B148" s="248"/>
      <c r="C148" s="238">
        <v>0.075</v>
      </c>
      <c r="D148" s="239">
        <v>0.2</v>
      </c>
      <c r="E148" s="245">
        <v>6.0</v>
      </c>
      <c r="F148" s="156">
        <f t="shared" si="116"/>
        <v>0.09</v>
      </c>
      <c r="G148" s="156">
        <f t="shared" si="117"/>
        <v>1.2</v>
      </c>
      <c r="H148" s="332">
        <v>240.0</v>
      </c>
      <c r="I148" s="158">
        <f t="shared" si="135"/>
        <v>280</v>
      </c>
      <c r="J148" s="159">
        <f t="shared" si="136"/>
        <v>30.24</v>
      </c>
      <c r="K148" s="160">
        <f t="shared" si="118"/>
        <v>25.2</v>
      </c>
      <c r="L148" s="161">
        <f t="shared" si="134"/>
        <v>1</v>
      </c>
      <c r="M148" s="241">
        <f t="shared" si="120"/>
        <v>0.09</v>
      </c>
      <c r="N148" s="206">
        <f t="shared" si="121"/>
        <v>1.2</v>
      </c>
      <c r="O148" s="246"/>
      <c r="P148" s="165" t="str">
        <f t="shared" si="122"/>
        <v/>
      </c>
      <c r="Q148" s="166"/>
      <c r="R148" s="243"/>
      <c r="S148" s="165">
        <f t="shared" si="123"/>
        <v>0</v>
      </c>
      <c r="T148" s="244">
        <v>1.0</v>
      </c>
      <c r="U148" s="169">
        <f t="shared" si="124"/>
        <v>30.24</v>
      </c>
      <c r="V148" s="38" t="str">
        <f t="shared" si="131"/>
        <v/>
      </c>
      <c r="W148" s="38" t="str">
        <f t="shared" si="13"/>
        <v/>
      </c>
      <c r="X148" s="11"/>
      <c r="Y148" s="11"/>
      <c r="Z148" s="11"/>
      <c r="AA148" s="11"/>
    </row>
    <row r="149" ht="13.5" customHeight="1" outlineLevel="1">
      <c r="A149" s="315"/>
      <c r="B149" s="248"/>
      <c r="C149" s="238">
        <v>0.1</v>
      </c>
      <c r="D149" s="239">
        <v>0.1</v>
      </c>
      <c r="E149" s="245">
        <v>3.6</v>
      </c>
      <c r="F149" s="156">
        <f t="shared" si="116"/>
        <v>0.036</v>
      </c>
      <c r="G149" s="156">
        <f t="shared" si="117"/>
        <v>0.36</v>
      </c>
      <c r="H149" s="332">
        <v>240.0</v>
      </c>
      <c r="I149" s="158">
        <f t="shared" si="135"/>
        <v>280</v>
      </c>
      <c r="J149" s="159">
        <f t="shared" si="136"/>
        <v>12.096</v>
      </c>
      <c r="K149" s="160">
        <f t="shared" si="118"/>
        <v>33.6</v>
      </c>
      <c r="L149" s="161">
        <f t="shared" si="134"/>
        <v>275</v>
      </c>
      <c r="M149" s="241">
        <f t="shared" si="120"/>
        <v>9.9</v>
      </c>
      <c r="N149" s="163">
        <f t="shared" si="121"/>
        <v>99</v>
      </c>
      <c r="O149" s="246"/>
      <c r="P149" s="165" t="str">
        <f t="shared" si="122"/>
        <v/>
      </c>
      <c r="Q149" s="166"/>
      <c r="R149" s="243"/>
      <c r="S149" s="165">
        <f t="shared" si="123"/>
        <v>0</v>
      </c>
      <c r="T149" s="244">
        <v>275.0</v>
      </c>
      <c r="U149" s="169">
        <f t="shared" si="124"/>
        <v>3326.4</v>
      </c>
      <c r="V149" s="38" t="str">
        <f t="shared" si="131"/>
        <v/>
      </c>
      <c r="W149" s="38" t="str">
        <f t="shared" si="13"/>
        <v/>
      </c>
      <c r="X149" s="11"/>
      <c r="Y149" s="11"/>
      <c r="Z149" s="11"/>
      <c r="AA149" s="11"/>
    </row>
    <row r="150" ht="13.5" customHeight="1" outlineLevel="1">
      <c r="A150" s="315"/>
      <c r="B150" s="248"/>
      <c r="C150" s="238">
        <v>0.1</v>
      </c>
      <c r="D150" s="239">
        <v>0.1</v>
      </c>
      <c r="E150" s="245">
        <v>3.9</v>
      </c>
      <c r="F150" s="156">
        <f t="shared" si="116"/>
        <v>0.039</v>
      </c>
      <c r="G150" s="156">
        <f t="shared" si="117"/>
        <v>0.39</v>
      </c>
      <c r="H150" s="332">
        <v>240.0</v>
      </c>
      <c r="I150" s="158">
        <f t="shared" si="135"/>
        <v>280</v>
      </c>
      <c r="J150" s="159">
        <f t="shared" si="136"/>
        <v>13.104</v>
      </c>
      <c r="K150" s="160">
        <f t="shared" si="118"/>
        <v>33.6</v>
      </c>
      <c r="L150" s="161">
        <f t="shared" si="134"/>
        <v>12</v>
      </c>
      <c r="M150" s="241">
        <f t="shared" si="120"/>
        <v>0.468</v>
      </c>
      <c r="N150" s="163">
        <f t="shared" si="121"/>
        <v>4.68</v>
      </c>
      <c r="O150" s="246"/>
      <c r="P150" s="165" t="str">
        <f t="shared" si="122"/>
        <v/>
      </c>
      <c r="Q150" s="166"/>
      <c r="R150" s="243"/>
      <c r="S150" s="165">
        <f t="shared" si="123"/>
        <v>0</v>
      </c>
      <c r="T150" s="244">
        <v>12.0</v>
      </c>
      <c r="U150" s="169">
        <f t="shared" si="124"/>
        <v>157.248</v>
      </c>
      <c r="V150" s="38" t="str">
        <f t="shared" si="131"/>
        <v/>
      </c>
      <c r="W150" s="38" t="str">
        <f t="shared" si="13"/>
        <v/>
      </c>
      <c r="X150" s="11"/>
      <c r="Y150" s="11"/>
      <c r="Z150" s="11"/>
      <c r="AA150" s="11"/>
    </row>
    <row r="151" ht="13.5" customHeight="1" outlineLevel="1">
      <c r="A151" s="315"/>
      <c r="B151" s="248"/>
      <c r="C151" s="238">
        <v>0.1</v>
      </c>
      <c r="D151" s="239">
        <v>0.1</v>
      </c>
      <c r="E151" s="245">
        <v>4.9</v>
      </c>
      <c r="F151" s="156">
        <f t="shared" si="116"/>
        <v>0.049</v>
      </c>
      <c r="G151" s="156">
        <f t="shared" si="117"/>
        <v>0.49</v>
      </c>
      <c r="H151" s="332">
        <v>240.0</v>
      </c>
      <c r="I151" s="158">
        <f t="shared" si="135"/>
        <v>280</v>
      </c>
      <c r="J151" s="159">
        <f t="shared" si="136"/>
        <v>16.464</v>
      </c>
      <c r="K151" s="160">
        <f t="shared" si="118"/>
        <v>33.6</v>
      </c>
      <c r="L151" s="161">
        <f t="shared" si="134"/>
        <v>5</v>
      </c>
      <c r="M151" s="241">
        <f t="shared" si="120"/>
        <v>0.245</v>
      </c>
      <c r="N151" s="206">
        <f t="shared" si="121"/>
        <v>2.45</v>
      </c>
      <c r="O151" s="246"/>
      <c r="P151" s="165" t="str">
        <f t="shared" si="122"/>
        <v/>
      </c>
      <c r="Q151" s="166"/>
      <c r="R151" s="243"/>
      <c r="S151" s="165">
        <f t="shared" si="123"/>
        <v>0</v>
      </c>
      <c r="T151" s="244">
        <v>5.0</v>
      </c>
      <c r="U151" s="169">
        <f t="shared" si="124"/>
        <v>82.32</v>
      </c>
      <c r="V151" s="38" t="str">
        <f t="shared" si="131"/>
        <v/>
      </c>
      <c r="W151" s="38" t="str">
        <f t="shared" si="13"/>
        <v/>
      </c>
      <c r="X151" s="11"/>
      <c r="Y151" s="11"/>
      <c r="Z151" s="11"/>
      <c r="AA151" s="11"/>
    </row>
    <row r="152" ht="13.5" customHeight="1" outlineLevel="1">
      <c r="A152" s="315"/>
      <c r="B152" s="248"/>
      <c r="C152" s="238">
        <v>0.1</v>
      </c>
      <c r="D152" s="239">
        <v>0.1</v>
      </c>
      <c r="E152" s="245">
        <v>6.0</v>
      </c>
      <c r="F152" s="156">
        <f t="shared" si="116"/>
        <v>0.06</v>
      </c>
      <c r="G152" s="156">
        <f t="shared" si="117"/>
        <v>0.6</v>
      </c>
      <c r="H152" s="332">
        <v>240.0</v>
      </c>
      <c r="I152" s="158">
        <f t="shared" si="135"/>
        <v>280</v>
      </c>
      <c r="J152" s="159">
        <f t="shared" si="136"/>
        <v>20.16</v>
      </c>
      <c r="K152" s="160">
        <f t="shared" si="118"/>
        <v>33.6</v>
      </c>
      <c r="L152" s="161">
        <f t="shared" si="134"/>
        <v>121</v>
      </c>
      <c r="M152" s="241">
        <f t="shared" si="120"/>
        <v>7.26</v>
      </c>
      <c r="N152" s="163">
        <f t="shared" si="121"/>
        <v>72.6</v>
      </c>
      <c r="O152" s="246"/>
      <c r="P152" s="165" t="str">
        <f t="shared" si="122"/>
        <v/>
      </c>
      <c r="Q152" s="166"/>
      <c r="R152" s="243"/>
      <c r="S152" s="165">
        <f t="shared" si="123"/>
        <v>0</v>
      </c>
      <c r="T152" s="244">
        <v>121.0</v>
      </c>
      <c r="U152" s="169">
        <f t="shared" si="124"/>
        <v>2439.36</v>
      </c>
      <c r="V152" s="38" t="str">
        <f t="shared" si="131"/>
        <v/>
      </c>
      <c r="W152" s="38" t="str">
        <f t="shared" si="13"/>
        <v/>
      </c>
      <c r="X152" s="11"/>
      <c r="Y152" s="11"/>
      <c r="Z152" s="11"/>
      <c r="AA152" s="11"/>
    </row>
    <row r="153" ht="13.5" customHeight="1" outlineLevel="1">
      <c r="A153" s="315"/>
      <c r="B153" s="248"/>
      <c r="C153" s="238">
        <v>0.1</v>
      </c>
      <c r="D153" s="239">
        <v>0.15</v>
      </c>
      <c r="E153" s="245">
        <v>3.6</v>
      </c>
      <c r="F153" s="156">
        <f t="shared" si="116"/>
        <v>0.054</v>
      </c>
      <c r="G153" s="156">
        <f t="shared" si="117"/>
        <v>0.54</v>
      </c>
      <c r="H153" s="332">
        <v>240.0</v>
      </c>
      <c r="I153" s="158">
        <f t="shared" si="135"/>
        <v>280</v>
      </c>
      <c r="J153" s="159">
        <f t="shared" si="136"/>
        <v>18.144</v>
      </c>
      <c r="K153" s="160">
        <f t="shared" si="118"/>
        <v>33.6</v>
      </c>
      <c r="L153" s="161">
        <f t="shared" si="134"/>
        <v>47</v>
      </c>
      <c r="M153" s="241">
        <f t="shared" si="120"/>
        <v>2.538</v>
      </c>
      <c r="N153" s="163">
        <f t="shared" si="121"/>
        <v>25.38</v>
      </c>
      <c r="O153" s="246">
        <v>1.0</v>
      </c>
      <c r="P153" s="165">
        <f t="shared" si="122"/>
        <v>0.054</v>
      </c>
      <c r="Q153" s="166">
        <v>18.0</v>
      </c>
      <c r="R153" s="243"/>
      <c r="S153" s="165">
        <f t="shared" si="123"/>
        <v>0</v>
      </c>
      <c r="T153" s="244">
        <v>48.0</v>
      </c>
      <c r="U153" s="169">
        <f t="shared" si="124"/>
        <v>852.768</v>
      </c>
      <c r="V153" s="38">
        <f t="shared" si="131"/>
        <v>5.04</v>
      </c>
      <c r="W153" s="38">
        <f t="shared" si="13"/>
        <v>12.96</v>
      </c>
      <c r="X153" s="11"/>
      <c r="Y153" s="11"/>
      <c r="Z153" s="11"/>
      <c r="AA153" s="11"/>
    </row>
    <row r="154" ht="13.5" customHeight="1" outlineLevel="1">
      <c r="A154" s="315"/>
      <c r="B154" s="248"/>
      <c r="C154" s="238">
        <v>0.1</v>
      </c>
      <c r="D154" s="239">
        <v>0.15</v>
      </c>
      <c r="E154" s="245">
        <v>4.9</v>
      </c>
      <c r="F154" s="156">
        <f t="shared" si="116"/>
        <v>0.0735</v>
      </c>
      <c r="G154" s="156">
        <f t="shared" si="117"/>
        <v>0.735</v>
      </c>
      <c r="H154" s="332">
        <v>240.0</v>
      </c>
      <c r="I154" s="158">
        <f t="shared" si="135"/>
        <v>280</v>
      </c>
      <c r="J154" s="159">
        <f t="shared" si="136"/>
        <v>24.696</v>
      </c>
      <c r="K154" s="160">
        <f t="shared" si="118"/>
        <v>33.6</v>
      </c>
      <c r="L154" s="161">
        <f t="shared" si="134"/>
        <v>135</v>
      </c>
      <c r="M154" s="241">
        <f t="shared" si="120"/>
        <v>9.9225</v>
      </c>
      <c r="N154" s="163">
        <f t="shared" si="121"/>
        <v>99.225</v>
      </c>
      <c r="O154" s="246">
        <v>1.0</v>
      </c>
      <c r="P154" s="165">
        <f t="shared" si="122"/>
        <v>0.0735</v>
      </c>
      <c r="Q154" s="166">
        <v>25.0</v>
      </c>
      <c r="R154" s="243"/>
      <c r="S154" s="165">
        <f t="shared" si="123"/>
        <v>0</v>
      </c>
      <c r="T154" s="244">
        <v>136.0</v>
      </c>
      <c r="U154" s="169">
        <f t="shared" si="124"/>
        <v>3333.96</v>
      </c>
      <c r="V154" s="38">
        <f t="shared" si="131"/>
        <v>7.36</v>
      </c>
      <c r="W154" s="38">
        <f t="shared" si="13"/>
        <v>17.64</v>
      </c>
      <c r="X154" s="11"/>
      <c r="Y154" s="11"/>
      <c r="Z154" s="11"/>
      <c r="AA154" s="11"/>
    </row>
    <row r="155" ht="13.5" customHeight="1" outlineLevel="1">
      <c r="A155" s="315"/>
      <c r="B155" s="248"/>
      <c r="C155" s="238">
        <v>0.1</v>
      </c>
      <c r="D155" s="239">
        <v>0.15</v>
      </c>
      <c r="E155" s="245">
        <v>6.0</v>
      </c>
      <c r="F155" s="156">
        <f t="shared" si="116"/>
        <v>0.09</v>
      </c>
      <c r="G155" s="156">
        <f t="shared" si="117"/>
        <v>0.9</v>
      </c>
      <c r="H155" s="332">
        <v>240.0</v>
      </c>
      <c r="I155" s="158">
        <f t="shared" si="135"/>
        <v>280</v>
      </c>
      <c r="J155" s="159">
        <f t="shared" si="136"/>
        <v>30.24</v>
      </c>
      <c r="K155" s="160">
        <f t="shared" si="118"/>
        <v>33.6</v>
      </c>
      <c r="L155" s="161">
        <f t="shared" si="134"/>
        <v>168</v>
      </c>
      <c r="M155" s="241">
        <f t="shared" si="120"/>
        <v>15.12</v>
      </c>
      <c r="N155" s="163">
        <f t="shared" si="121"/>
        <v>151.2</v>
      </c>
      <c r="O155" s="246"/>
      <c r="P155" s="165" t="str">
        <f t="shared" si="122"/>
        <v/>
      </c>
      <c r="Q155" s="166"/>
      <c r="R155" s="243"/>
      <c r="S155" s="165">
        <f t="shared" si="123"/>
        <v>0</v>
      </c>
      <c r="T155" s="244">
        <v>168.0</v>
      </c>
      <c r="U155" s="169">
        <f t="shared" si="124"/>
        <v>5080.32</v>
      </c>
      <c r="V155" s="38" t="str">
        <f t="shared" si="131"/>
        <v/>
      </c>
      <c r="W155" s="38" t="str">
        <f t="shared" si="13"/>
        <v/>
      </c>
      <c r="X155" s="11"/>
      <c r="Y155" s="11"/>
      <c r="Z155" s="11"/>
      <c r="AA155" s="11"/>
    </row>
    <row r="156" ht="13.5" customHeight="1" outlineLevel="1">
      <c r="A156" s="315"/>
      <c r="B156" s="248"/>
      <c r="C156" s="238">
        <v>0.1</v>
      </c>
      <c r="D156" s="239">
        <v>0.2</v>
      </c>
      <c r="E156" s="245">
        <v>4.9</v>
      </c>
      <c r="F156" s="156">
        <f t="shared" si="116"/>
        <v>0.098</v>
      </c>
      <c r="G156" s="156">
        <f t="shared" si="117"/>
        <v>0.98</v>
      </c>
      <c r="H156" s="332">
        <v>240.0</v>
      </c>
      <c r="I156" s="158">
        <f t="shared" si="135"/>
        <v>280</v>
      </c>
      <c r="J156" s="159">
        <f t="shared" si="136"/>
        <v>32.928</v>
      </c>
      <c r="K156" s="160">
        <f t="shared" si="118"/>
        <v>33.6</v>
      </c>
      <c r="L156" s="161">
        <f t="shared" si="134"/>
        <v>33</v>
      </c>
      <c r="M156" s="241">
        <f t="shared" si="120"/>
        <v>3.234</v>
      </c>
      <c r="N156" s="163">
        <f t="shared" si="121"/>
        <v>32.34</v>
      </c>
      <c r="O156" s="246"/>
      <c r="P156" s="165" t="str">
        <f t="shared" si="122"/>
        <v/>
      </c>
      <c r="Q156" s="166"/>
      <c r="R156" s="243"/>
      <c r="S156" s="165">
        <f t="shared" si="123"/>
        <v>0</v>
      </c>
      <c r="T156" s="244">
        <v>33.0</v>
      </c>
      <c r="U156" s="169">
        <f t="shared" si="124"/>
        <v>1086.624</v>
      </c>
      <c r="V156" s="38" t="str">
        <f t="shared" si="131"/>
        <v/>
      </c>
      <c r="W156" s="38" t="str">
        <f t="shared" si="13"/>
        <v/>
      </c>
      <c r="X156" s="11"/>
      <c r="Y156" s="11"/>
      <c r="Z156" s="11"/>
      <c r="AA156" s="11"/>
    </row>
    <row r="157" ht="13.5" customHeight="1" outlineLevel="1">
      <c r="A157" s="315"/>
      <c r="B157" s="248"/>
      <c r="C157" s="238">
        <v>0.1</v>
      </c>
      <c r="D157" s="239">
        <v>0.2</v>
      </c>
      <c r="E157" s="245">
        <v>6.0</v>
      </c>
      <c r="F157" s="156">
        <f t="shared" si="116"/>
        <v>0.12</v>
      </c>
      <c r="G157" s="156">
        <f t="shared" si="117"/>
        <v>1.2</v>
      </c>
      <c r="H157" s="332">
        <v>240.0</v>
      </c>
      <c r="I157" s="158">
        <f t="shared" si="135"/>
        <v>280</v>
      </c>
      <c r="J157" s="159">
        <f t="shared" si="136"/>
        <v>40.32</v>
      </c>
      <c r="K157" s="160">
        <f t="shared" si="118"/>
        <v>33.6</v>
      </c>
      <c r="L157" s="161">
        <f t="shared" si="134"/>
        <v>89</v>
      </c>
      <c r="M157" s="241">
        <f t="shared" si="120"/>
        <v>10.68</v>
      </c>
      <c r="N157" s="163">
        <f t="shared" si="121"/>
        <v>106.8</v>
      </c>
      <c r="O157" s="252"/>
      <c r="P157" s="165" t="str">
        <f t="shared" si="122"/>
        <v/>
      </c>
      <c r="Q157" s="166"/>
      <c r="R157" s="243"/>
      <c r="S157" s="165">
        <f t="shared" si="123"/>
        <v>0</v>
      </c>
      <c r="T157" s="244">
        <v>89.0</v>
      </c>
      <c r="U157" s="169">
        <f t="shared" si="124"/>
        <v>3588.48</v>
      </c>
      <c r="V157" s="38" t="str">
        <f t="shared" si="131"/>
        <v/>
      </c>
      <c r="W157" s="38" t="str">
        <f t="shared" si="13"/>
        <v/>
      </c>
      <c r="X157" s="11"/>
      <c r="Y157" s="11"/>
      <c r="Z157" s="11"/>
      <c r="AA157" s="11"/>
    </row>
    <row r="158" ht="13.5" customHeight="1" outlineLevel="1">
      <c r="A158" s="315"/>
      <c r="B158" s="85" t="s">
        <v>98</v>
      </c>
      <c r="C158" s="238">
        <v>0.15</v>
      </c>
      <c r="D158" s="239">
        <v>0.15</v>
      </c>
      <c r="E158" s="245">
        <v>3.1</v>
      </c>
      <c r="F158" s="156">
        <f t="shared" si="116"/>
        <v>0.06975</v>
      </c>
      <c r="G158" s="156">
        <f t="shared" si="117"/>
        <v>0.465</v>
      </c>
      <c r="H158" s="332">
        <v>240.0</v>
      </c>
      <c r="I158" s="158">
        <f>ROUND(H158*1.1667,0)*0.9</f>
        <v>252</v>
      </c>
      <c r="J158" s="159">
        <f>ROUND((I158*0.873)*1.21,0)*(C158*D158*E158)</f>
        <v>18.5535</v>
      </c>
      <c r="K158" s="160">
        <f t="shared" si="118"/>
        <v>39.9</v>
      </c>
      <c r="L158" s="161">
        <f t="shared" si="134"/>
        <v>8</v>
      </c>
      <c r="M158" s="241">
        <f t="shared" si="120"/>
        <v>0.558</v>
      </c>
      <c r="N158" s="163">
        <f t="shared" si="121"/>
        <v>3.72</v>
      </c>
      <c r="O158" s="246">
        <v>1.0</v>
      </c>
      <c r="P158" s="165">
        <f t="shared" si="122"/>
        <v>0.06975</v>
      </c>
      <c r="Q158" s="166">
        <v>18.0</v>
      </c>
      <c r="R158" s="243"/>
      <c r="S158" s="165">
        <f t="shared" si="123"/>
        <v>0</v>
      </c>
      <c r="T158" s="244">
        <v>9.0</v>
      </c>
      <c r="U158" s="169">
        <f t="shared" si="124"/>
        <v>148.428</v>
      </c>
      <c r="V158" s="38">
        <f t="shared" si="131"/>
        <v>1.26</v>
      </c>
      <c r="W158" s="38">
        <f t="shared" si="13"/>
        <v>16.74</v>
      </c>
      <c r="X158" s="11"/>
      <c r="Y158" s="11"/>
      <c r="Z158" s="11"/>
      <c r="AA158" s="11"/>
    </row>
    <row r="159" ht="13.5" customHeight="1" outlineLevel="1">
      <c r="A159" s="315"/>
      <c r="B159" s="85"/>
      <c r="C159" s="238">
        <v>0.15</v>
      </c>
      <c r="D159" s="239">
        <v>0.15</v>
      </c>
      <c r="E159" s="245">
        <v>4.9</v>
      </c>
      <c r="F159" s="156">
        <f t="shared" si="116"/>
        <v>0.11025</v>
      </c>
      <c r="G159" s="156">
        <f t="shared" si="117"/>
        <v>0.735</v>
      </c>
      <c r="H159" s="332">
        <v>240.0</v>
      </c>
      <c r="I159" s="158">
        <f t="shared" ref="I159:I161" si="137">ROUND(H159*1.1667,0)</f>
        <v>280</v>
      </c>
      <c r="J159" s="159">
        <f t="shared" ref="J159:J161" si="138">ROUND((I159*0.992)*1.21,0)*(C159*D159*E159)</f>
        <v>37.044</v>
      </c>
      <c r="K159" s="160">
        <f t="shared" si="118"/>
        <v>50.4</v>
      </c>
      <c r="L159" s="161">
        <f t="shared" si="134"/>
        <v>20</v>
      </c>
      <c r="M159" s="241">
        <f t="shared" si="120"/>
        <v>2.205</v>
      </c>
      <c r="N159" s="163">
        <f t="shared" si="121"/>
        <v>14.7</v>
      </c>
      <c r="O159" s="246"/>
      <c r="P159" s="165" t="str">
        <f t="shared" si="122"/>
        <v/>
      </c>
      <c r="Q159" s="166"/>
      <c r="R159" s="243"/>
      <c r="S159" s="165">
        <f t="shared" si="123"/>
        <v>0</v>
      </c>
      <c r="T159" s="244">
        <v>20.0</v>
      </c>
      <c r="U159" s="169">
        <f t="shared" si="124"/>
        <v>740.88</v>
      </c>
      <c r="V159" s="38" t="str">
        <f t="shared" si="131"/>
        <v/>
      </c>
      <c r="W159" s="38" t="str">
        <f t="shared" si="13"/>
        <v/>
      </c>
      <c r="X159" s="11"/>
      <c r="Y159" s="11"/>
      <c r="Z159" s="11"/>
      <c r="AA159" s="11"/>
    </row>
    <row r="160" ht="13.5" customHeight="1" outlineLevel="1">
      <c r="A160" s="315"/>
      <c r="B160" s="85"/>
      <c r="C160" s="238">
        <v>0.15</v>
      </c>
      <c r="D160" s="239">
        <v>0.15</v>
      </c>
      <c r="E160" s="245">
        <v>6.0</v>
      </c>
      <c r="F160" s="156">
        <f t="shared" si="116"/>
        <v>0.135</v>
      </c>
      <c r="G160" s="156">
        <f t="shared" si="117"/>
        <v>0.9</v>
      </c>
      <c r="H160" s="240">
        <v>240.0</v>
      </c>
      <c r="I160" s="158">
        <f t="shared" si="137"/>
        <v>280</v>
      </c>
      <c r="J160" s="159">
        <f t="shared" si="138"/>
        <v>45.36</v>
      </c>
      <c r="K160" s="160">
        <f t="shared" si="118"/>
        <v>50.4</v>
      </c>
      <c r="L160" s="161">
        <f t="shared" si="134"/>
        <v>18</v>
      </c>
      <c r="M160" s="241">
        <f t="shared" si="120"/>
        <v>2.43</v>
      </c>
      <c r="N160" s="163">
        <f t="shared" si="121"/>
        <v>16.2</v>
      </c>
      <c r="O160" s="246">
        <v>1.0</v>
      </c>
      <c r="P160" s="165">
        <f t="shared" si="122"/>
        <v>0.135</v>
      </c>
      <c r="Q160" s="166">
        <v>45.0</v>
      </c>
      <c r="R160" s="247"/>
      <c r="S160" s="165">
        <f t="shared" si="123"/>
        <v>0</v>
      </c>
      <c r="T160" s="244">
        <v>19.0</v>
      </c>
      <c r="U160" s="169">
        <f t="shared" si="124"/>
        <v>816.48</v>
      </c>
      <c r="V160" s="38">
        <f t="shared" si="131"/>
        <v>12.6</v>
      </c>
      <c r="W160" s="38">
        <f t="shared" si="13"/>
        <v>32.4</v>
      </c>
      <c r="X160" s="11"/>
      <c r="Y160" s="11"/>
      <c r="Z160" s="11"/>
      <c r="AA160" s="11"/>
    </row>
    <row r="161" ht="13.5" customHeight="1" outlineLevel="1">
      <c r="A161" s="315"/>
      <c r="B161" s="85"/>
      <c r="C161" s="238">
        <v>0.15</v>
      </c>
      <c r="D161" s="239">
        <v>0.2</v>
      </c>
      <c r="E161" s="245">
        <v>4.9</v>
      </c>
      <c r="F161" s="156">
        <f t="shared" si="116"/>
        <v>0.147</v>
      </c>
      <c r="G161" s="156">
        <f t="shared" si="117"/>
        <v>0.98</v>
      </c>
      <c r="H161" s="240">
        <v>240.0</v>
      </c>
      <c r="I161" s="158">
        <f t="shared" si="137"/>
        <v>280</v>
      </c>
      <c r="J161" s="159">
        <f t="shared" si="138"/>
        <v>49.392</v>
      </c>
      <c r="K161" s="160">
        <f t="shared" si="118"/>
        <v>50.4</v>
      </c>
      <c r="L161" s="161">
        <f t="shared" si="134"/>
        <v>26</v>
      </c>
      <c r="M161" s="241">
        <f t="shared" si="120"/>
        <v>3.822</v>
      </c>
      <c r="N161" s="163">
        <f t="shared" si="121"/>
        <v>25.48</v>
      </c>
      <c r="O161" s="246"/>
      <c r="P161" s="165" t="str">
        <f t="shared" si="122"/>
        <v/>
      </c>
      <c r="Q161" s="166"/>
      <c r="R161" s="243"/>
      <c r="S161" s="165">
        <f t="shared" si="123"/>
        <v>0</v>
      </c>
      <c r="T161" s="244">
        <v>26.0</v>
      </c>
      <c r="U161" s="169">
        <f t="shared" si="124"/>
        <v>1284.192</v>
      </c>
      <c r="V161" s="38" t="str">
        <f t="shared" si="131"/>
        <v/>
      </c>
      <c r="W161" s="38" t="str">
        <f t="shared" si="13"/>
        <v/>
      </c>
      <c r="X161" s="11"/>
      <c r="Y161" s="11"/>
      <c r="Z161" s="11"/>
      <c r="AA161" s="11"/>
    </row>
    <row r="162" ht="13.5" customHeight="1" outlineLevel="1">
      <c r="A162" s="315"/>
      <c r="B162" s="85" t="s">
        <v>98</v>
      </c>
      <c r="C162" s="238">
        <v>0.15</v>
      </c>
      <c r="D162" s="239">
        <v>0.2</v>
      </c>
      <c r="E162" s="245">
        <v>6.0</v>
      </c>
      <c r="F162" s="156">
        <f t="shared" si="116"/>
        <v>0.18</v>
      </c>
      <c r="G162" s="156">
        <f t="shared" si="117"/>
        <v>1.2</v>
      </c>
      <c r="H162" s="240">
        <v>240.0</v>
      </c>
      <c r="I162" s="158">
        <f>ROUND(H162*1.1667,0)*0.9</f>
        <v>252</v>
      </c>
      <c r="J162" s="159">
        <f>ROUND((I162*0.873)*1.21,0)*(C162*D162*E162)</f>
        <v>47.88</v>
      </c>
      <c r="K162" s="160">
        <f t="shared" si="118"/>
        <v>39.9</v>
      </c>
      <c r="L162" s="161">
        <f t="shared" si="134"/>
        <v>2</v>
      </c>
      <c r="M162" s="241">
        <f t="shared" si="120"/>
        <v>0.36</v>
      </c>
      <c r="N162" s="163">
        <f t="shared" si="121"/>
        <v>2.4</v>
      </c>
      <c r="O162" s="252"/>
      <c r="P162" s="165" t="str">
        <f t="shared" si="122"/>
        <v/>
      </c>
      <c r="Q162" s="172"/>
      <c r="R162" s="243"/>
      <c r="S162" s="165">
        <f t="shared" si="123"/>
        <v>0</v>
      </c>
      <c r="T162" s="244">
        <v>2.0</v>
      </c>
      <c r="U162" s="169">
        <f t="shared" si="124"/>
        <v>95.76</v>
      </c>
      <c r="V162" s="38" t="str">
        <f t="shared" si="131"/>
        <v/>
      </c>
      <c r="W162" s="38" t="str">
        <f t="shared" si="13"/>
        <v/>
      </c>
      <c r="X162" s="11"/>
      <c r="Y162" s="11"/>
      <c r="Z162" s="11"/>
      <c r="AA162" s="11"/>
    </row>
    <row r="163" ht="13.5" customHeight="1" outlineLevel="1">
      <c r="A163" s="315"/>
      <c r="B163" s="85"/>
      <c r="C163" s="238">
        <v>0.15</v>
      </c>
      <c r="D163" s="239">
        <v>0.25</v>
      </c>
      <c r="E163" s="245">
        <v>6.0</v>
      </c>
      <c r="F163" s="156">
        <f t="shared" si="116"/>
        <v>0.225</v>
      </c>
      <c r="G163" s="156">
        <f t="shared" si="117"/>
        <v>1.5</v>
      </c>
      <c r="H163" s="240">
        <v>240.0</v>
      </c>
      <c r="I163" s="158">
        <f t="shared" ref="I163:I170" si="139">ROUND(H163*1.1667,0)</f>
        <v>280</v>
      </c>
      <c r="J163" s="159">
        <f t="shared" ref="J163:J165" si="140">ROUND((I163*0.992)*1.21,0)*(C163*D163*E163)</f>
        <v>75.6</v>
      </c>
      <c r="K163" s="160">
        <f t="shared" si="118"/>
        <v>50.4</v>
      </c>
      <c r="L163" s="161">
        <f t="shared" si="134"/>
        <v>20</v>
      </c>
      <c r="M163" s="241">
        <f t="shared" si="120"/>
        <v>4.5</v>
      </c>
      <c r="N163" s="163">
        <f t="shared" si="121"/>
        <v>30</v>
      </c>
      <c r="O163" s="252"/>
      <c r="P163" s="165" t="str">
        <f t="shared" si="122"/>
        <v/>
      </c>
      <c r="Q163" s="172"/>
      <c r="R163" s="243"/>
      <c r="S163" s="165">
        <f t="shared" si="123"/>
        <v>0</v>
      </c>
      <c r="T163" s="244">
        <v>20.0</v>
      </c>
      <c r="U163" s="169">
        <f t="shared" si="124"/>
        <v>1512</v>
      </c>
      <c r="V163" s="38" t="str">
        <f t="shared" si="131"/>
        <v/>
      </c>
      <c r="W163" s="38" t="str">
        <f t="shared" si="13"/>
        <v/>
      </c>
      <c r="X163" s="11"/>
      <c r="Y163" s="11"/>
      <c r="Z163" s="11"/>
      <c r="AA163" s="11"/>
    </row>
    <row r="164" ht="13.5" customHeight="1" outlineLevel="1">
      <c r="A164" s="315"/>
      <c r="B164" s="85"/>
      <c r="C164" s="238">
        <v>0.2</v>
      </c>
      <c r="D164" s="239">
        <v>0.2</v>
      </c>
      <c r="E164" s="245">
        <v>6.0</v>
      </c>
      <c r="F164" s="156">
        <f t="shared" si="116"/>
        <v>0.24</v>
      </c>
      <c r="G164" s="156">
        <f t="shared" si="117"/>
        <v>1.2</v>
      </c>
      <c r="H164" s="240">
        <v>240.0</v>
      </c>
      <c r="I164" s="158">
        <f t="shared" si="139"/>
        <v>280</v>
      </c>
      <c r="J164" s="159">
        <f t="shared" si="140"/>
        <v>80.64</v>
      </c>
      <c r="K164" s="160">
        <f t="shared" si="118"/>
        <v>67.2</v>
      </c>
      <c r="L164" s="161">
        <f t="shared" si="134"/>
        <v>17</v>
      </c>
      <c r="M164" s="241">
        <f t="shared" si="120"/>
        <v>4.08</v>
      </c>
      <c r="N164" s="163">
        <f t="shared" si="121"/>
        <v>20.4</v>
      </c>
      <c r="O164" s="252"/>
      <c r="P164" s="165" t="str">
        <f t="shared" si="122"/>
        <v/>
      </c>
      <c r="Q164" s="172"/>
      <c r="R164" s="243"/>
      <c r="S164" s="165">
        <f t="shared" si="123"/>
        <v>0</v>
      </c>
      <c r="T164" s="244">
        <v>17.0</v>
      </c>
      <c r="U164" s="169">
        <f t="shared" si="124"/>
        <v>1370.88</v>
      </c>
      <c r="V164" s="38" t="str">
        <f t="shared" si="131"/>
        <v/>
      </c>
      <c r="W164" s="38" t="str">
        <f t="shared" si="13"/>
        <v/>
      </c>
      <c r="X164" s="11"/>
      <c r="Y164" s="11"/>
      <c r="Z164" s="11"/>
      <c r="AA164" s="11"/>
    </row>
    <row r="165" ht="13.5" customHeight="1" outlineLevel="1">
      <c r="A165" s="315"/>
      <c r="B165" s="85" t="s">
        <v>99</v>
      </c>
      <c r="C165" s="238">
        <v>0.05</v>
      </c>
      <c r="D165" s="239">
        <v>0.05</v>
      </c>
      <c r="E165" s="245">
        <v>1.5</v>
      </c>
      <c r="F165" s="156">
        <f t="shared" si="116"/>
        <v>0.00375</v>
      </c>
      <c r="G165" s="156">
        <f t="shared" si="117"/>
        <v>0.075</v>
      </c>
      <c r="H165" s="240">
        <v>255.0</v>
      </c>
      <c r="I165" s="158">
        <f t="shared" si="139"/>
        <v>298</v>
      </c>
      <c r="J165" s="159">
        <f t="shared" si="140"/>
        <v>1.3425</v>
      </c>
      <c r="K165" s="160">
        <f t="shared" si="118"/>
        <v>17.9</v>
      </c>
      <c r="L165" s="161">
        <f t="shared" si="134"/>
        <v>127</v>
      </c>
      <c r="M165" s="241">
        <f t="shared" si="120"/>
        <v>0.47625</v>
      </c>
      <c r="N165" s="163">
        <f t="shared" si="121"/>
        <v>9.525</v>
      </c>
      <c r="O165" s="275"/>
      <c r="P165" s="165" t="str">
        <f t="shared" si="122"/>
        <v/>
      </c>
      <c r="Q165" s="172"/>
      <c r="R165" s="243"/>
      <c r="S165" s="165">
        <f t="shared" si="123"/>
        <v>0</v>
      </c>
      <c r="T165" s="244">
        <v>127.0</v>
      </c>
      <c r="U165" s="169">
        <f t="shared" si="124"/>
        <v>170.4975</v>
      </c>
      <c r="V165" s="38" t="str">
        <f t="shared" si="131"/>
        <v/>
      </c>
      <c r="W165" s="38" t="str">
        <f t="shared" si="13"/>
        <v/>
      </c>
      <c r="X165" s="11"/>
      <c r="Y165" s="11"/>
      <c r="Z165" s="11"/>
      <c r="AA165" s="11"/>
    </row>
    <row r="166" ht="13.5" customHeight="1" outlineLevel="1">
      <c r="A166" s="315"/>
      <c r="B166" s="85" t="s">
        <v>99</v>
      </c>
      <c r="C166" s="238">
        <v>0.07</v>
      </c>
      <c r="D166" s="239">
        <v>0.07</v>
      </c>
      <c r="E166" s="245">
        <v>1.8</v>
      </c>
      <c r="F166" s="156">
        <f t="shared" si="116"/>
        <v>0.00882</v>
      </c>
      <c r="G166" s="156">
        <f t="shared" si="117"/>
        <v>0.126</v>
      </c>
      <c r="H166" s="240">
        <v>255.0</v>
      </c>
      <c r="I166" s="158">
        <f t="shared" si="139"/>
        <v>298</v>
      </c>
      <c r="J166" s="159">
        <f t="shared" ref="J166:J170" si="141">ROUND((I166*0.855)*1.21,0)*(C166*D166*E166)</f>
        <v>2.71656</v>
      </c>
      <c r="K166" s="160">
        <f t="shared" si="118"/>
        <v>21.56</v>
      </c>
      <c r="L166" s="161">
        <f t="shared" si="134"/>
        <v>69</v>
      </c>
      <c r="M166" s="241">
        <f t="shared" si="120"/>
        <v>0.60858</v>
      </c>
      <c r="N166" s="163">
        <f t="shared" si="121"/>
        <v>8.694</v>
      </c>
      <c r="O166" s="345"/>
      <c r="P166" s="165" t="str">
        <f t="shared" si="122"/>
        <v/>
      </c>
      <c r="Q166" s="166"/>
      <c r="R166" s="243"/>
      <c r="S166" s="165">
        <f t="shared" si="123"/>
        <v>0</v>
      </c>
      <c r="T166" s="244">
        <v>69.0</v>
      </c>
      <c r="U166" s="169">
        <f t="shared" si="124"/>
        <v>187.44264</v>
      </c>
      <c r="V166" s="38" t="str">
        <f t="shared" si="131"/>
        <v/>
      </c>
      <c r="W166" s="38" t="str">
        <f t="shared" si="13"/>
        <v/>
      </c>
      <c r="X166" s="11"/>
      <c r="Y166" s="11"/>
      <c r="Z166" s="11"/>
      <c r="AA166" s="11"/>
    </row>
    <row r="167" ht="13.5" customHeight="1" outlineLevel="1">
      <c r="A167" s="315"/>
      <c r="B167" s="85" t="s">
        <v>99</v>
      </c>
      <c r="C167" s="238">
        <v>0.085</v>
      </c>
      <c r="D167" s="239">
        <v>0.085</v>
      </c>
      <c r="E167" s="245">
        <v>1.8</v>
      </c>
      <c r="F167" s="156">
        <f t="shared" si="116"/>
        <v>0.013005</v>
      </c>
      <c r="G167" s="156">
        <f t="shared" si="117"/>
        <v>0.153</v>
      </c>
      <c r="H167" s="240">
        <v>255.0</v>
      </c>
      <c r="I167" s="158">
        <f t="shared" si="139"/>
        <v>298</v>
      </c>
      <c r="J167" s="159">
        <f t="shared" si="141"/>
        <v>4.00554</v>
      </c>
      <c r="K167" s="160">
        <f t="shared" si="118"/>
        <v>26.18</v>
      </c>
      <c r="L167" s="161">
        <f t="shared" si="134"/>
        <v>78</v>
      </c>
      <c r="M167" s="241">
        <f t="shared" si="120"/>
        <v>1.01439</v>
      </c>
      <c r="N167" s="163">
        <f t="shared" si="121"/>
        <v>11.934</v>
      </c>
      <c r="O167" s="275"/>
      <c r="P167" s="165" t="str">
        <f t="shared" si="122"/>
        <v/>
      </c>
      <c r="Q167" s="172"/>
      <c r="R167" s="243"/>
      <c r="S167" s="165">
        <f t="shared" si="123"/>
        <v>0</v>
      </c>
      <c r="T167" s="244">
        <v>78.0</v>
      </c>
      <c r="U167" s="169">
        <f t="shared" si="124"/>
        <v>312.43212</v>
      </c>
      <c r="V167" s="38" t="str">
        <f t="shared" si="131"/>
        <v/>
      </c>
      <c r="W167" s="38" t="str">
        <f t="shared" si="13"/>
        <v/>
      </c>
      <c r="X167" s="11"/>
      <c r="Y167" s="11"/>
      <c r="Z167" s="11"/>
      <c r="AA167" s="11"/>
    </row>
    <row r="168" ht="13.5" customHeight="1" outlineLevel="1">
      <c r="A168" s="315"/>
      <c r="B168" s="85" t="s">
        <v>99</v>
      </c>
      <c r="C168" s="238">
        <v>0.09</v>
      </c>
      <c r="D168" s="239">
        <v>0.09</v>
      </c>
      <c r="E168" s="245">
        <v>1.8</v>
      </c>
      <c r="F168" s="156">
        <f t="shared" si="116"/>
        <v>0.01458</v>
      </c>
      <c r="G168" s="156">
        <f t="shared" si="117"/>
        <v>0.162</v>
      </c>
      <c r="H168" s="240">
        <v>255.0</v>
      </c>
      <c r="I168" s="158">
        <f t="shared" si="139"/>
        <v>298</v>
      </c>
      <c r="J168" s="159">
        <f t="shared" si="141"/>
        <v>4.49064</v>
      </c>
      <c r="K168" s="160">
        <f t="shared" si="118"/>
        <v>27.72</v>
      </c>
      <c r="L168" s="161">
        <f t="shared" si="134"/>
        <v>85</v>
      </c>
      <c r="M168" s="241">
        <f t="shared" si="120"/>
        <v>1.2393</v>
      </c>
      <c r="N168" s="163">
        <f t="shared" si="121"/>
        <v>13.77</v>
      </c>
      <c r="O168" s="275"/>
      <c r="P168" s="165" t="str">
        <f t="shared" si="122"/>
        <v/>
      </c>
      <c r="Q168" s="172"/>
      <c r="R168" s="243"/>
      <c r="S168" s="165">
        <f t="shared" si="123"/>
        <v>0</v>
      </c>
      <c r="T168" s="244">
        <v>85.0</v>
      </c>
      <c r="U168" s="169">
        <f t="shared" si="124"/>
        <v>381.7044</v>
      </c>
      <c r="V168" s="38" t="str">
        <f t="shared" si="131"/>
        <v/>
      </c>
      <c r="W168" s="38" t="str">
        <f t="shared" si="13"/>
        <v/>
      </c>
      <c r="X168" s="11"/>
      <c r="Y168" s="11"/>
      <c r="Z168" s="11"/>
      <c r="AA168" s="11"/>
    </row>
    <row r="169" ht="13.5" customHeight="1" outlineLevel="1">
      <c r="A169" s="315"/>
      <c r="B169" s="85" t="s">
        <v>99</v>
      </c>
      <c r="C169" s="238">
        <v>0.1</v>
      </c>
      <c r="D169" s="239">
        <v>0.1</v>
      </c>
      <c r="E169" s="245">
        <v>1.8</v>
      </c>
      <c r="F169" s="156">
        <f t="shared" si="116"/>
        <v>0.018</v>
      </c>
      <c r="G169" s="156">
        <f t="shared" si="117"/>
        <v>0.18</v>
      </c>
      <c r="H169" s="240">
        <v>255.0</v>
      </c>
      <c r="I169" s="158">
        <f t="shared" si="139"/>
        <v>298</v>
      </c>
      <c r="J169" s="159">
        <f t="shared" si="141"/>
        <v>5.544</v>
      </c>
      <c r="K169" s="160">
        <f t="shared" si="118"/>
        <v>30.8</v>
      </c>
      <c r="L169" s="161">
        <f t="shared" si="134"/>
        <v>303</v>
      </c>
      <c r="M169" s="241">
        <f t="shared" si="120"/>
        <v>5.454</v>
      </c>
      <c r="N169" s="163">
        <f t="shared" si="121"/>
        <v>54.54</v>
      </c>
      <c r="O169" s="275"/>
      <c r="P169" s="165" t="str">
        <f t="shared" si="122"/>
        <v/>
      </c>
      <c r="Q169" s="172"/>
      <c r="R169" s="243"/>
      <c r="S169" s="165">
        <f t="shared" si="123"/>
        <v>0</v>
      </c>
      <c r="T169" s="244">
        <v>303.0</v>
      </c>
      <c r="U169" s="169">
        <f t="shared" si="124"/>
        <v>1679.832</v>
      </c>
      <c r="V169" s="38" t="str">
        <f t="shared" si="131"/>
        <v/>
      </c>
      <c r="W169" s="38" t="str">
        <f t="shared" si="13"/>
        <v/>
      </c>
      <c r="X169" s="11"/>
      <c r="Y169" s="11"/>
      <c r="Z169" s="11"/>
      <c r="AA169" s="11"/>
    </row>
    <row r="170" ht="13.5" customHeight="1" outlineLevel="1">
      <c r="A170" s="315"/>
      <c r="B170" s="251" t="s">
        <v>100</v>
      </c>
      <c r="C170" s="238">
        <v>0.05</v>
      </c>
      <c r="D170" s="239">
        <v>0.1</v>
      </c>
      <c r="E170" s="245">
        <v>3.6</v>
      </c>
      <c r="F170" s="156">
        <f t="shared" si="116"/>
        <v>0.018</v>
      </c>
      <c r="G170" s="156">
        <f t="shared" si="117"/>
        <v>0.36</v>
      </c>
      <c r="H170" s="240">
        <v>255.0</v>
      </c>
      <c r="I170" s="158">
        <f t="shared" si="139"/>
        <v>298</v>
      </c>
      <c r="J170" s="159">
        <f t="shared" si="141"/>
        <v>5.544</v>
      </c>
      <c r="K170" s="160">
        <f t="shared" si="118"/>
        <v>15.4</v>
      </c>
      <c r="L170" s="161">
        <f t="shared" si="134"/>
        <v>292</v>
      </c>
      <c r="M170" s="241">
        <f t="shared" si="120"/>
        <v>5.256</v>
      </c>
      <c r="N170" s="163">
        <f t="shared" si="121"/>
        <v>105.12</v>
      </c>
      <c r="O170" s="275"/>
      <c r="P170" s="165" t="str">
        <f t="shared" si="122"/>
        <v/>
      </c>
      <c r="Q170" s="172"/>
      <c r="R170" s="243"/>
      <c r="S170" s="165">
        <f t="shared" si="123"/>
        <v>0</v>
      </c>
      <c r="T170" s="244">
        <v>292.0</v>
      </c>
      <c r="U170" s="169">
        <f t="shared" si="124"/>
        <v>1618.848</v>
      </c>
      <c r="V170" s="38" t="str">
        <f t="shared" si="131"/>
        <v/>
      </c>
      <c r="W170" s="38" t="str">
        <f t="shared" si="13"/>
        <v/>
      </c>
      <c r="X170" s="11"/>
      <c r="Y170" s="11"/>
      <c r="Z170" s="11"/>
      <c r="AA170" s="11"/>
    </row>
    <row r="171" ht="13.5" customHeight="1" outlineLevel="1">
      <c r="A171" s="315"/>
      <c r="B171" s="85" t="s">
        <v>101</v>
      </c>
      <c r="C171" s="238">
        <v>0.025</v>
      </c>
      <c r="D171" s="239">
        <v>0.05</v>
      </c>
      <c r="E171" s="245">
        <v>1.0</v>
      </c>
      <c r="F171" s="156">
        <f t="shared" si="116"/>
        <v>0.00125</v>
      </c>
      <c r="G171" s="156">
        <f t="shared" si="117"/>
        <v>0.05</v>
      </c>
      <c r="H171" s="240">
        <v>240.0</v>
      </c>
      <c r="I171" s="158">
        <f>ROUND(H171*0.6,0)</f>
        <v>144</v>
      </c>
      <c r="J171" s="159">
        <f>ROUND((I171*0.992)*1.21,0)*(C171*D171*E171)</f>
        <v>0.21625</v>
      </c>
      <c r="K171" s="160">
        <f t="shared" si="118"/>
        <v>4.325</v>
      </c>
      <c r="L171" s="161">
        <f t="shared" si="134"/>
        <v>995</v>
      </c>
      <c r="M171" s="241">
        <f t="shared" si="120"/>
        <v>1.24375</v>
      </c>
      <c r="N171" s="163">
        <f t="shared" si="121"/>
        <v>49.75</v>
      </c>
      <c r="O171" s="246"/>
      <c r="P171" s="165" t="str">
        <f t="shared" si="122"/>
        <v/>
      </c>
      <c r="Q171" s="166"/>
      <c r="R171" s="243"/>
      <c r="S171" s="165">
        <f t="shared" si="123"/>
        <v>0</v>
      </c>
      <c r="T171" s="244">
        <v>995.0</v>
      </c>
      <c r="U171" s="169">
        <f t="shared" si="124"/>
        <v>215.16875</v>
      </c>
      <c r="V171" s="38" t="str">
        <f t="shared" si="131"/>
        <v/>
      </c>
      <c r="W171" s="38" t="str">
        <f t="shared" si="13"/>
        <v/>
      </c>
      <c r="X171" s="11"/>
      <c r="Y171" s="11"/>
      <c r="Z171" s="11"/>
      <c r="AA171" s="11"/>
    </row>
    <row r="172" ht="13.5" customHeight="1">
      <c r="A172" s="315"/>
      <c r="B172" s="211" t="s">
        <v>56</v>
      </c>
      <c r="C172" s="298"/>
      <c r="D172" s="298"/>
      <c r="E172" s="298"/>
      <c r="F172" s="298"/>
      <c r="G172" s="298"/>
      <c r="H172" s="215">
        <f t="shared" ref="H172:I172" si="142">AVERAGE(H110:H171)</f>
        <v>250.565339</v>
      </c>
      <c r="I172" s="215">
        <f t="shared" si="142"/>
        <v>287.7580645</v>
      </c>
      <c r="J172" s="216"/>
      <c r="K172" s="214">
        <f>AVERAGE(K110:K171)</f>
        <v>21.529</v>
      </c>
      <c r="L172" s="217"/>
      <c r="M172" s="211">
        <f>SUM(M110:M171)</f>
        <v>292.65839</v>
      </c>
      <c r="N172" s="301"/>
      <c r="O172" s="346"/>
      <c r="P172" s="214">
        <f t="shared" ref="P172:Q172" si="143">SUM(P110:P171)</f>
        <v>2.41118</v>
      </c>
      <c r="Q172" s="216">
        <f t="shared" si="143"/>
        <v>704</v>
      </c>
      <c r="R172" s="347"/>
      <c r="S172" s="214">
        <f>SUM(S110:S171)</f>
        <v>0</v>
      </c>
      <c r="T172" s="224"/>
      <c r="U172" s="348">
        <f>SUM(U110:U171)</f>
        <v>97875.10843</v>
      </c>
      <c r="V172" s="38"/>
      <c r="W172" s="38" t="str">
        <f t="shared" si="13"/>
        <v/>
      </c>
      <c r="X172" s="11"/>
      <c r="Y172" s="11"/>
      <c r="Z172" s="11"/>
      <c r="AA172" s="11"/>
    </row>
    <row r="173" ht="13.5" customHeight="1">
      <c r="A173" s="315"/>
      <c r="B173" s="264" t="s">
        <v>102</v>
      </c>
      <c r="C173" s="226"/>
      <c r="D173" s="226"/>
      <c r="E173" s="226"/>
      <c r="F173" s="226"/>
      <c r="G173" s="226"/>
      <c r="H173" s="226"/>
      <c r="I173" s="230"/>
      <c r="J173" s="231"/>
      <c r="K173" s="226"/>
      <c r="L173" s="226"/>
      <c r="M173" s="226"/>
      <c r="N173" s="232"/>
      <c r="O173" s="260"/>
      <c r="P173" s="226"/>
      <c r="Q173" s="261"/>
      <c r="R173" s="236"/>
      <c r="S173" s="226"/>
      <c r="T173" s="226"/>
      <c r="U173" s="237"/>
      <c r="V173" s="38"/>
      <c r="W173" s="38" t="str">
        <f t="shared" si="13"/>
        <v/>
      </c>
      <c r="X173" s="11"/>
      <c r="Y173" s="11"/>
      <c r="Z173" s="11"/>
      <c r="AA173" s="11"/>
    </row>
    <row r="174" ht="13.5" customHeight="1" outlineLevel="1">
      <c r="A174" s="315"/>
      <c r="B174" s="85"/>
      <c r="C174" s="238">
        <v>0.021</v>
      </c>
      <c r="D174" s="239">
        <v>0.038</v>
      </c>
      <c r="E174" s="245">
        <v>4.8</v>
      </c>
      <c r="F174" s="156">
        <f t="shared" ref="F174:F178" si="144">C174*D174*E174</f>
        <v>0.0038304</v>
      </c>
      <c r="G174" s="156">
        <f t="shared" ref="G174:G178" si="145">D174*E174</f>
        <v>0.1824</v>
      </c>
      <c r="H174" s="240">
        <v>343.0</v>
      </c>
      <c r="I174" s="158">
        <f t="shared" ref="I174:I178" si="146">ROUND(H174*1.1667,0)</f>
        <v>400</v>
      </c>
      <c r="J174" s="159">
        <f t="shared" ref="J174:J178" si="147">ROUND((I174*0.992)*1.21,0)*(C174*D174*E174)</f>
        <v>1.838592</v>
      </c>
      <c r="K174" s="160">
        <f t="shared" ref="K174:K178" si="148">J174/(D174*E174)</f>
        <v>10.08</v>
      </c>
      <c r="L174" s="161">
        <f t="shared" ref="L174:L178" si="149">T174+R174-O174</f>
        <v>1036</v>
      </c>
      <c r="M174" s="241">
        <f t="shared" ref="M174:M178" si="150">L174*F174</f>
        <v>3.9682944</v>
      </c>
      <c r="N174" s="163">
        <f t="shared" ref="N174:N178" si="151">L174*G174</f>
        <v>188.9664</v>
      </c>
      <c r="O174" s="246"/>
      <c r="P174" s="165" t="str">
        <f t="shared" ref="P174:P191" si="152">IF(O174="","",(O174*F174))</f>
        <v/>
      </c>
      <c r="Q174" s="166"/>
      <c r="R174" s="243"/>
      <c r="S174" s="165">
        <f t="shared" ref="S174:S178" si="153">R174*F174</f>
        <v>0</v>
      </c>
      <c r="T174" s="244">
        <v>1036.0</v>
      </c>
      <c r="U174" s="169">
        <f t="shared" ref="U174:U178" si="154">J174*L174</f>
        <v>1904.781312</v>
      </c>
      <c r="V174" s="38" t="str">
        <f t="shared" ref="V174:V178" si="155">IF(O174="","",Q174-(O174*(H174*F174)))</f>
        <v/>
      </c>
      <c r="W174" s="38" t="str">
        <f t="shared" si="13"/>
        <v/>
      </c>
      <c r="X174" s="11"/>
      <c r="Y174" s="11"/>
      <c r="Z174" s="11"/>
      <c r="AA174" s="11"/>
    </row>
    <row r="175" ht="13.5" customHeight="1" outlineLevel="1">
      <c r="A175" s="315"/>
      <c r="B175" s="85"/>
      <c r="C175" s="238">
        <v>0.025</v>
      </c>
      <c r="D175" s="239">
        <v>0.045</v>
      </c>
      <c r="E175" s="245">
        <v>2.0</v>
      </c>
      <c r="F175" s="156">
        <f t="shared" si="144"/>
        <v>0.00225</v>
      </c>
      <c r="G175" s="156">
        <f t="shared" si="145"/>
        <v>0.09</v>
      </c>
      <c r="H175" s="240">
        <v>343.0</v>
      </c>
      <c r="I175" s="158">
        <f t="shared" si="146"/>
        <v>400</v>
      </c>
      <c r="J175" s="159">
        <f t="shared" si="147"/>
        <v>1.08</v>
      </c>
      <c r="K175" s="160">
        <f t="shared" si="148"/>
        <v>12</v>
      </c>
      <c r="L175" s="161">
        <f t="shared" si="149"/>
        <v>26</v>
      </c>
      <c r="M175" s="241">
        <f t="shared" si="150"/>
        <v>0.0585</v>
      </c>
      <c r="N175" s="163">
        <f t="shared" si="151"/>
        <v>2.34</v>
      </c>
      <c r="O175" s="246"/>
      <c r="P175" s="165" t="str">
        <f t="shared" si="152"/>
        <v/>
      </c>
      <c r="Q175" s="166"/>
      <c r="R175" s="247"/>
      <c r="S175" s="165">
        <f t="shared" si="153"/>
        <v>0</v>
      </c>
      <c r="T175" s="244">
        <v>26.0</v>
      </c>
      <c r="U175" s="169">
        <f t="shared" si="154"/>
        <v>28.08</v>
      </c>
      <c r="V175" s="38" t="str">
        <f t="shared" si="155"/>
        <v/>
      </c>
      <c r="W175" s="38" t="str">
        <f t="shared" si="13"/>
        <v/>
      </c>
      <c r="X175" s="11"/>
      <c r="Y175" s="11"/>
      <c r="Z175" s="11"/>
      <c r="AA175" s="11"/>
    </row>
    <row r="176" ht="13.5" customHeight="1" outlineLevel="1">
      <c r="A176" s="315"/>
      <c r="B176" s="85"/>
      <c r="C176" s="238">
        <v>0.027</v>
      </c>
      <c r="D176" s="239">
        <v>0.027</v>
      </c>
      <c r="E176" s="245">
        <v>2.4</v>
      </c>
      <c r="F176" s="156">
        <f t="shared" si="144"/>
        <v>0.0017496</v>
      </c>
      <c r="G176" s="156">
        <f t="shared" si="145"/>
        <v>0.0648</v>
      </c>
      <c r="H176" s="240">
        <v>400.0</v>
      </c>
      <c r="I176" s="158">
        <f t="shared" si="146"/>
        <v>467</v>
      </c>
      <c r="J176" s="159">
        <f t="shared" si="147"/>
        <v>0.9815256</v>
      </c>
      <c r="K176" s="160">
        <f t="shared" si="148"/>
        <v>15.147</v>
      </c>
      <c r="L176" s="161">
        <f t="shared" si="149"/>
        <v>1410</v>
      </c>
      <c r="M176" s="241">
        <f t="shared" si="150"/>
        <v>2.466936</v>
      </c>
      <c r="N176" s="163">
        <f t="shared" si="151"/>
        <v>91.368</v>
      </c>
      <c r="O176" s="246"/>
      <c r="P176" s="165" t="str">
        <f t="shared" si="152"/>
        <v/>
      </c>
      <c r="Q176" s="166"/>
      <c r="R176" s="243"/>
      <c r="S176" s="165">
        <f t="shared" si="153"/>
        <v>0</v>
      </c>
      <c r="T176" s="244">
        <v>1410.0</v>
      </c>
      <c r="U176" s="169">
        <f t="shared" si="154"/>
        <v>1383.951096</v>
      </c>
      <c r="V176" s="38" t="str">
        <f t="shared" si="155"/>
        <v/>
      </c>
      <c r="W176" s="38" t="str">
        <f t="shared" si="13"/>
        <v/>
      </c>
      <c r="X176" s="11"/>
      <c r="Y176" s="11"/>
      <c r="Z176" s="11"/>
      <c r="AA176" s="11"/>
    </row>
    <row r="177" ht="13.5" customHeight="1" outlineLevel="1">
      <c r="A177" s="315"/>
      <c r="B177" s="85"/>
      <c r="C177" s="238">
        <v>0.045</v>
      </c>
      <c r="D177" s="239">
        <v>0.095</v>
      </c>
      <c r="E177" s="245">
        <v>4.2</v>
      </c>
      <c r="F177" s="156">
        <f t="shared" si="144"/>
        <v>0.017955</v>
      </c>
      <c r="G177" s="156">
        <f t="shared" si="145"/>
        <v>0.399</v>
      </c>
      <c r="H177" s="240">
        <v>343.0</v>
      </c>
      <c r="I177" s="158">
        <f t="shared" si="146"/>
        <v>400</v>
      </c>
      <c r="J177" s="159">
        <f t="shared" si="147"/>
        <v>8.6184</v>
      </c>
      <c r="K177" s="160">
        <f t="shared" si="148"/>
        <v>21.6</v>
      </c>
      <c r="L177" s="161">
        <f t="shared" si="149"/>
        <v>185</v>
      </c>
      <c r="M177" s="241">
        <f t="shared" si="150"/>
        <v>3.321675</v>
      </c>
      <c r="N177" s="163">
        <f t="shared" si="151"/>
        <v>73.815</v>
      </c>
      <c r="O177" s="252"/>
      <c r="P177" s="165" t="str">
        <f t="shared" si="152"/>
        <v/>
      </c>
      <c r="Q177" s="172"/>
      <c r="R177" s="243"/>
      <c r="S177" s="165">
        <f t="shared" si="153"/>
        <v>0</v>
      </c>
      <c r="T177" s="244">
        <v>185.0</v>
      </c>
      <c r="U177" s="169">
        <f t="shared" si="154"/>
        <v>1594.404</v>
      </c>
      <c r="V177" s="38" t="str">
        <f t="shared" si="155"/>
        <v/>
      </c>
      <c r="W177" s="38" t="str">
        <f t="shared" si="13"/>
        <v/>
      </c>
      <c r="X177" s="11"/>
      <c r="Y177" s="11"/>
      <c r="Z177" s="11"/>
      <c r="AA177" s="11"/>
    </row>
    <row r="178" ht="13.5" customHeight="1" outlineLevel="1">
      <c r="A178" s="315"/>
      <c r="B178" s="85" t="s">
        <v>86</v>
      </c>
      <c r="C178" s="238">
        <v>0.045</v>
      </c>
      <c r="D178" s="239">
        <v>0.12</v>
      </c>
      <c r="E178" s="245">
        <v>2.4</v>
      </c>
      <c r="F178" s="156">
        <f t="shared" si="144"/>
        <v>0.01296</v>
      </c>
      <c r="G178" s="156">
        <f t="shared" si="145"/>
        <v>0.288</v>
      </c>
      <c r="H178" s="240">
        <v>343.0</v>
      </c>
      <c r="I178" s="158">
        <f t="shared" si="146"/>
        <v>400</v>
      </c>
      <c r="J178" s="159">
        <f t="shared" si="147"/>
        <v>6.2208</v>
      </c>
      <c r="K178" s="160">
        <f t="shared" si="148"/>
        <v>21.6</v>
      </c>
      <c r="L178" s="161">
        <f t="shared" si="149"/>
        <v>89</v>
      </c>
      <c r="M178" s="241">
        <f t="shared" si="150"/>
        <v>1.15344</v>
      </c>
      <c r="N178" s="163">
        <f t="shared" si="151"/>
        <v>25.632</v>
      </c>
      <c r="O178" s="252"/>
      <c r="P178" s="165" t="str">
        <f t="shared" si="152"/>
        <v/>
      </c>
      <c r="Q178" s="172"/>
      <c r="R178" s="243"/>
      <c r="S178" s="165">
        <f t="shared" si="153"/>
        <v>0</v>
      </c>
      <c r="T178" s="244">
        <v>89.0</v>
      </c>
      <c r="U178" s="169">
        <f t="shared" si="154"/>
        <v>553.6512</v>
      </c>
      <c r="V178" s="38" t="str">
        <f t="shared" si="155"/>
        <v/>
      </c>
      <c r="W178" s="38" t="str">
        <f t="shared" si="13"/>
        <v/>
      </c>
      <c r="X178" s="11"/>
      <c r="Y178" s="11"/>
      <c r="Z178" s="11"/>
      <c r="AA178" s="11"/>
    </row>
    <row r="179" ht="13.5" customHeight="1" outlineLevel="1">
      <c r="A179" s="315"/>
      <c r="B179" s="349" t="s">
        <v>103</v>
      </c>
      <c r="C179" s="238">
        <v>0.045</v>
      </c>
      <c r="D179" s="239">
        <v>0.12</v>
      </c>
      <c r="E179" s="245">
        <v>3.9</v>
      </c>
      <c r="F179" s="156"/>
      <c r="G179" s="156"/>
      <c r="H179" s="240"/>
      <c r="I179" s="158"/>
      <c r="J179" s="159"/>
      <c r="K179" s="160"/>
      <c r="L179" s="161"/>
      <c r="M179" s="241"/>
      <c r="N179" s="163"/>
      <c r="O179" s="252"/>
      <c r="P179" s="165" t="str">
        <f t="shared" si="152"/>
        <v/>
      </c>
      <c r="Q179" s="172"/>
      <c r="R179" s="243"/>
      <c r="S179" s="165"/>
      <c r="T179" s="244"/>
      <c r="U179" s="169"/>
      <c r="V179" s="38"/>
      <c r="W179" s="38" t="str">
        <f t="shared" si="13"/>
        <v/>
      </c>
      <c r="X179" s="11"/>
      <c r="Y179" s="11"/>
      <c r="Z179" s="11"/>
      <c r="AA179" s="11"/>
    </row>
    <row r="180" ht="13.5" customHeight="1" outlineLevel="1">
      <c r="A180" s="315"/>
      <c r="B180" s="349" t="s">
        <v>103</v>
      </c>
      <c r="C180" s="238">
        <v>0.045</v>
      </c>
      <c r="D180" s="239">
        <v>0.12</v>
      </c>
      <c r="E180" s="245">
        <v>4.2</v>
      </c>
      <c r="F180" s="156"/>
      <c r="G180" s="156"/>
      <c r="H180" s="240"/>
      <c r="I180" s="158"/>
      <c r="J180" s="159"/>
      <c r="K180" s="160"/>
      <c r="L180" s="161"/>
      <c r="M180" s="241"/>
      <c r="N180" s="163"/>
      <c r="O180" s="252"/>
      <c r="P180" s="165" t="str">
        <f t="shared" si="152"/>
        <v/>
      </c>
      <c r="Q180" s="172"/>
      <c r="R180" s="243"/>
      <c r="S180" s="165"/>
      <c r="T180" s="244"/>
      <c r="U180" s="169"/>
      <c r="V180" s="38"/>
      <c r="W180" s="38" t="str">
        <f t="shared" si="13"/>
        <v/>
      </c>
      <c r="X180" s="11"/>
      <c r="Y180" s="11"/>
      <c r="Z180" s="11"/>
      <c r="AA180" s="11"/>
    </row>
    <row r="181" ht="13.5" customHeight="1" outlineLevel="1">
      <c r="A181" s="315"/>
      <c r="B181" s="85"/>
      <c r="C181" s="238">
        <v>0.045</v>
      </c>
      <c r="D181" s="239">
        <v>0.12</v>
      </c>
      <c r="E181" s="245">
        <v>5.4</v>
      </c>
      <c r="F181" s="156">
        <f t="shared" ref="F181:F183" si="156">C181*D181*E181</f>
        <v>0.02916</v>
      </c>
      <c r="G181" s="156">
        <f t="shared" ref="G181:G183" si="157">D181*E181</f>
        <v>0.648</v>
      </c>
      <c r="H181" s="240">
        <v>343.0</v>
      </c>
      <c r="I181" s="158">
        <f t="shared" ref="I181:I183" si="158">ROUND(H181*1.1667,0)</f>
        <v>400</v>
      </c>
      <c r="J181" s="159">
        <f t="shared" ref="J181:J183" si="159">ROUND((I181*0.992)*1.21,0)*(C181*D181*E181)</f>
        <v>13.9968</v>
      </c>
      <c r="K181" s="160">
        <f t="shared" ref="K181:K183" si="160">J181/(D181*E181)</f>
        <v>21.6</v>
      </c>
      <c r="L181" s="161">
        <f t="shared" ref="L181:L183" si="161">T181+R181-O181</f>
        <v>57</v>
      </c>
      <c r="M181" s="241">
        <f t="shared" ref="M181:M183" si="162">L181*F181</f>
        <v>1.66212</v>
      </c>
      <c r="N181" s="163">
        <f t="shared" ref="N181:N183" si="163">L181*G181</f>
        <v>36.936</v>
      </c>
      <c r="O181" s="252"/>
      <c r="P181" s="165" t="str">
        <f t="shared" si="152"/>
        <v/>
      </c>
      <c r="Q181" s="172"/>
      <c r="R181" s="243"/>
      <c r="S181" s="165">
        <f t="shared" ref="S181:S183" si="164">R181*F181</f>
        <v>0</v>
      </c>
      <c r="T181" s="244">
        <v>57.0</v>
      </c>
      <c r="U181" s="169">
        <f t="shared" ref="U181:U183" si="165">J181*L181</f>
        <v>797.8176</v>
      </c>
      <c r="V181" s="38" t="str">
        <f t="shared" ref="V181:V183" si="166">IF(O181="","",Q181-(O181*(H181*F181)))</f>
        <v/>
      </c>
      <c r="W181" s="38" t="str">
        <f t="shared" si="13"/>
        <v/>
      </c>
      <c r="X181" s="11"/>
      <c r="Y181" s="11"/>
      <c r="Z181" s="11"/>
      <c r="AA181" s="11"/>
    </row>
    <row r="182" ht="13.5" customHeight="1" outlineLevel="1">
      <c r="A182" s="315"/>
      <c r="B182" s="85" t="s">
        <v>86</v>
      </c>
      <c r="C182" s="238">
        <v>0.045</v>
      </c>
      <c r="D182" s="239">
        <v>0.145</v>
      </c>
      <c r="E182" s="245">
        <v>2.4</v>
      </c>
      <c r="F182" s="156">
        <f t="shared" si="156"/>
        <v>0.01566</v>
      </c>
      <c r="G182" s="156">
        <f t="shared" si="157"/>
        <v>0.348</v>
      </c>
      <c r="H182" s="240">
        <v>343.0</v>
      </c>
      <c r="I182" s="158">
        <f t="shared" si="158"/>
        <v>400</v>
      </c>
      <c r="J182" s="159">
        <f t="shared" si="159"/>
        <v>7.5168</v>
      </c>
      <c r="K182" s="160">
        <f t="shared" si="160"/>
        <v>21.6</v>
      </c>
      <c r="L182" s="161">
        <f t="shared" si="161"/>
        <v>92</v>
      </c>
      <c r="M182" s="241">
        <f t="shared" si="162"/>
        <v>1.44072</v>
      </c>
      <c r="N182" s="163">
        <f t="shared" si="163"/>
        <v>32.016</v>
      </c>
      <c r="O182" s="246"/>
      <c r="P182" s="165" t="str">
        <f t="shared" si="152"/>
        <v/>
      </c>
      <c r="Q182" s="166"/>
      <c r="R182" s="243"/>
      <c r="S182" s="165">
        <f t="shared" si="164"/>
        <v>0</v>
      </c>
      <c r="T182" s="244">
        <v>92.0</v>
      </c>
      <c r="U182" s="169">
        <f t="shared" si="165"/>
        <v>691.5456</v>
      </c>
      <c r="V182" s="38" t="str">
        <f t="shared" si="166"/>
        <v/>
      </c>
      <c r="W182" s="38" t="str">
        <f t="shared" si="13"/>
        <v/>
      </c>
      <c r="X182" s="11"/>
      <c r="Y182" s="11"/>
      <c r="Z182" s="11"/>
      <c r="AA182" s="11"/>
    </row>
    <row r="183" ht="13.5" customHeight="1" outlineLevel="1">
      <c r="A183" s="315"/>
      <c r="B183" s="85"/>
      <c r="C183" s="238">
        <v>0.045</v>
      </c>
      <c r="D183" s="239">
        <v>0.145</v>
      </c>
      <c r="E183" s="245">
        <v>4.8</v>
      </c>
      <c r="F183" s="156">
        <f t="shared" si="156"/>
        <v>0.03132</v>
      </c>
      <c r="G183" s="156">
        <f t="shared" si="157"/>
        <v>0.696</v>
      </c>
      <c r="H183" s="240">
        <v>343.0</v>
      </c>
      <c r="I183" s="158">
        <f t="shared" si="158"/>
        <v>400</v>
      </c>
      <c r="J183" s="159">
        <f t="shared" si="159"/>
        <v>15.0336</v>
      </c>
      <c r="K183" s="160">
        <f t="shared" si="160"/>
        <v>21.6</v>
      </c>
      <c r="L183" s="161">
        <f t="shared" si="161"/>
        <v>1305</v>
      </c>
      <c r="M183" s="241">
        <f t="shared" si="162"/>
        <v>40.8726</v>
      </c>
      <c r="N183" s="163">
        <f t="shared" si="163"/>
        <v>908.28</v>
      </c>
      <c r="O183" s="246"/>
      <c r="P183" s="165" t="str">
        <f t="shared" si="152"/>
        <v/>
      </c>
      <c r="Q183" s="166"/>
      <c r="R183" s="243"/>
      <c r="S183" s="165">
        <f t="shared" si="164"/>
        <v>0</v>
      </c>
      <c r="T183" s="244">
        <v>1305.0</v>
      </c>
      <c r="U183" s="169">
        <f t="shared" si="165"/>
        <v>19618.848</v>
      </c>
      <c r="V183" s="38" t="str">
        <f t="shared" si="166"/>
        <v/>
      </c>
      <c r="W183" s="38" t="str">
        <f t="shared" si="13"/>
        <v/>
      </c>
      <c r="X183" s="11"/>
      <c r="Y183" s="11"/>
      <c r="Z183" s="11"/>
      <c r="AA183" s="11"/>
    </row>
    <row r="184" ht="13.5" customHeight="1" outlineLevel="1">
      <c r="A184" s="315"/>
      <c r="B184" s="349" t="s">
        <v>103</v>
      </c>
      <c r="C184" s="238">
        <v>0.045</v>
      </c>
      <c r="D184" s="239">
        <v>0.145</v>
      </c>
      <c r="E184" s="245">
        <v>4.8</v>
      </c>
      <c r="F184" s="156"/>
      <c r="G184" s="156"/>
      <c r="H184" s="240"/>
      <c r="I184" s="158"/>
      <c r="J184" s="159"/>
      <c r="K184" s="160"/>
      <c r="L184" s="161"/>
      <c r="M184" s="241"/>
      <c r="N184" s="163"/>
      <c r="O184" s="252"/>
      <c r="P184" s="165" t="str">
        <f t="shared" si="152"/>
        <v/>
      </c>
      <c r="Q184" s="166"/>
      <c r="R184" s="243"/>
      <c r="S184" s="165"/>
      <c r="T184" s="244"/>
      <c r="U184" s="169"/>
      <c r="V184" s="38"/>
      <c r="W184" s="38" t="str">
        <f t="shared" si="13"/>
        <v/>
      </c>
      <c r="X184" s="11"/>
      <c r="Y184" s="11"/>
      <c r="Z184" s="11"/>
      <c r="AA184" s="11"/>
    </row>
    <row r="185" ht="13.5" customHeight="1" outlineLevel="1">
      <c r="A185" s="315"/>
      <c r="B185" s="349" t="s">
        <v>103</v>
      </c>
      <c r="C185" s="238">
        <v>0.045</v>
      </c>
      <c r="D185" s="239">
        <v>0.145</v>
      </c>
      <c r="E185" s="245">
        <v>6.0</v>
      </c>
      <c r="F185" s="156"/>
      <c r="G185" s="156"/>
      <c r="H185" s="240"/>
      <c r="I185" s="158"/>
      <c r="J185" s="159"/>
      <c r="K185" s="160"/>
      <c r="L185" s="161"/>
      <c r="M185" s="241"/>
      <c r="N185" s="163"/>
      <c r="O185" s="252"/>
      <c r="P185" s="165" t="str">
        <f t="shared" si="152"/>
        <v/>
      </c>
      <c r="Q185" s="166"/>
      <c r="R185" s="243"/>
      <c r="S185" s="165"/>
      <c r="T185" s="244"/>
      <c r="U185" s="169"/>
      <c r="V185" s="38"/>
      <c r="W185" s="38" t="str">
        <f t="shared" si="13"/>
        <v/>
      </c>
      <c r="X185" s="11"/>
      <c r="Y185" s="11"/>
      <c r="Z185" s="11"/>
      <c r="AA185" s="11"/>
    </row>
    <row r="186" ht="13.5" customHeight="1" outlineLevel="1">
      <c r="A186" s="315"/>
      <c r="B186" s="85" t="s">
        <v>86</v>
      </c>
      <c r="C186" s="238">
        <v>0.045</v>
      </c>
      <c r="D186" s="239">
        <v>0.145</v>
      </c>
      <c r="E186" s="245">
        <v>6.0</v>
      </c>
      <c r="F186" s="156">
        <f>C186*D186*E186</f>
        <v>0.03915</v>
      </c>
      <c r="G186" s="156">
        <f>D186*E186</f>
        <v>0.87</v>
      </c>
      <c r="H186" s="240">
        <v>343.0</v>
      </c>
      <c r="I186" s="158">
        <f>ROUND(H186*1.1667,0)</f>
        <v>400</v>
      </c>
      <c r="J186" s="159">
        <f>ROUND((I186*0.992)*1.21,0)*(C186*D186*E186)</f>
        <v>18.792</v>
      </c>
      <c r="K186" s="160">
        <f>J186/(D186*E186)</f>
        <v>21.6</v>
      </c>
      <c r="L186" s="161">
        <f>T186+R186-O186</f>
        <v>1003</v>
      </c>
      <c r="M186" s="241">
        <f>L186*F186</f>
        <v>39.26745</v>
      </c>
      <c r="N186" s="163">
        <f>L186*G186</f>
        <v>872.61</v>
      </c>
      <c r="O186" s="252"/>
      <c r="P186" s="165" t="str">
        <f t="shared" si="152"/>
        <v/>
      </c>
      <c r="Q186" s="166"/>
      <c r="R186" s="243"/>
      <c r="S186" s="165">
        <f>R186*F186</f>
        <v>0</v>
      </c>
      <c r="T186" s="244">
        <v>1003.0</v>
      </c>
      <c r="U186" s="169">
        <f>J186*L186</f>
        <v>18848.376</v>
      </c>
      <c r="V186" s="38" t="str">
        <f>IF(O186="","",Q186-(O186*(H186*F186)))</f>
        <v/>
      </c>
      <c r="W186" s="38" t="str">
        <f t="shared" si="13"/>
        <v/>
      </c>
      <c r="X186" s="11"/>
      <c r="Y186" s="11"/>
      <c r="Z186" s="11"/>
      <c r="AA186" s="11"/>
    </row>
    <row r="187" ht="13.5" customHeight="1" outlineLevel="1">
      <c r="A187" s="315"/>
      <c r="B187" s="349" t="s">
        <v>103</v>
      </c>
      <c r="C187" s="86">
        <v>0.045</v>
      </c>
      <c r="D187" s="87">
        <v>0.195</v>
      </c>
      <c r="E187" s="88">
        <v>4.8</v>
      </c>
      <c r="F187" s="156"/>
      <c r="G187" s="156"/>
      <c r="H187" s="240"/>
      <c r="I187" s="158"/>
      <c r="J187" s="159"/>
      <c r="K187" s="160"/>
      <c r="L187" s="161"/>
      <c r="M187" s="241"/>
      <c r="N187" s="163"/>
      <c r="O187" s="246"/>
      <c r="P187" s="165" t="str">
        <f t="shared" si="152"/>
        <v/>
      </c>
      <c r="Q187" s="166"/>
      <c r="R187" s="243"/>
      <c r="S187" s="165"/>
      <c r="T187" s="244"/>
      <c r="U187" s="169"/>
      <c r="V187" s="38"/>
      <c r="W187" s="38" t="str">
        <f t="shared" si="13"/>
        <v/>
      </c>
      <c r="X187" s="11"/>
      <c r="Y187" s="11"/>
      <c r="Z187" s="11"/>
      <c r="AA187" s="11"/>
    </row>
    <row r="188" ht="13.5" customHeight="1" outlineLevel="1">
      <c r="A188" s="315"/>
      <c r="B188" s="349" t="s">
        <v>103</v>
      </c>
      <c r="C188" s="238">
        <v>0.045</v>
      </c>
      <c r="D188" s="239">
        <v>0.195</v>
      </c>
      <c r="E188" s="245">
        <v>6.0</v>
      </c>
      <c r="F188" s="156"/>
      <c r="G188" s="156"/>
      <c r="H188" s="240"/>
      <c r="I188" s="158"/>
      <c r="J188" s="159"/>
      <c r="K188" s="160"/>
      <c r="L188" s="161"/>
      <c r="M188" s="241"/>
      <c r="N188" s="163"/>
      <c r="O188" s="246"/>
      <c r="P188" s="165" t="str">
        <f t="shared" si="152"/>
        <v/>
      </c>
      <c r="Q188" s="166"/>
      <c r="R188" s="243"/>
      <c r="S188" s="165"/>
      <c r="T188" s="244"/>
      <c r="U188" s="169"/>
      <c r="V188" s="38"/>
      <c r="W188" s="38" t="str">
        <f t="shared" si="13"/>
        <v/>
      </c>
      <c r="X188" s="11"/>
      <c r="Y188" s="11"/>
      <c r="Z188" s="11"/>
      <c r="AA188" s="11"/>
    </row>
    <row r="189" ht="13.5" customHeight="1" outlineLevel="1">
      <c r="A189" s="315"/>
      <c r="B189" s="349" t="s">
        <v>104</v>
      </c>
      <c r="C189" s="238">
        <v>0.045</v>
      </c>
      <c r="D189" s="239">
        <v>0.195</v>
      </c>
      <c r="E189" s="245">
        <v>6.0</v>
      </c>
      <c r="F189" s="156"/>
      <c r="G189" s="156"/>
      <c r="H189" s="240"/>
      <c r="I189" s="158"/>
      <c r="J189" s="159"/>
      <c r="K189" s="160"/>
      <c r="L189" s="161"/>
      <c r="M189" s="241"/>
      <c r="N189" s="163"/>
      <c r="O189" s="246"/>
      <c r="P189" s="165" t="str">
        <f t="shared" si="152"/>
        <v/>
      </c>
      <c r="Q189" s="166"/>
      <c r="R189" s="243"/>
      <c r="S189" s="165"/>
      <c r="T189" s="244"/>
      <c r="U189" s="169"/>
      <c r="V189" s="38"/>
      <c r="W189" s="38" t="str">
        <f t="shared" si="13"/>
        <v/>
      </c>
      <c r="X189" s="11"/>
      <c r="Y189" s="11"/>
      <c r="Z189" s="11"/>
      <c r="AA189" s="11"/>
    </row>
    <row r="190" ht="13.5" customHeight="1" outlineLevel="1">
      <c r="A190" s="315"/>
      <c r="B190" s="350" t="s">
        <v>105</v>
      </c>
      <c r="C190" s="238">
        <v>0.045</v>
      </c>
      <c r="D190" s="239">
        <v>0.22</v>
      </c>
      <c r="E190" s="245">
        <v>4.8</v>
      </c>
      <c r="F190" s="156"/>
      <c r="G190" s="156"/>
      <c r="H190" s="240"/>
      <c r="I190" s="158"/>
      <c r="J190" s="159"/>
      <c r="K190" s="160"/>
      <c r="L190" s="161"/>
      <c r="M190" s="241"/>
      <c r="N190" s="163"/>
      <c r="O190" s="246"/>
      <c r="P190" s="165" t="str">
        <f t="shared" si="152"/>
        <v/>
      </c>
      <c r="Q190" s="166"/>
      <c r="R190" s="243"/>
      <c r="S190" s="165"/>
      <c r="T190" s="244"/>
      <c r="U190" s="169"/>
      <c r="V190" s="38"/>
      <c r="W190" s="38" t="str">
        <f t="shared" si="13"/>
        <v/>
      </c>
      <c r="X190" s="11"/>
      <c r="Y190" s="11"/>
      <c r="Z190" s="11"/>
      <c r="AA190" s="11"/>
    </row>
    <row r="191" ht="13.5" customHeight="1" outlineLevel="1">
      <c r="A191" s="315"/>
      <c r="B191" s="85"/>
      <c r="C191" s="238">
        <v>0.045</v>
      </c>
      <c r="D191" s="239">
        <v>0.22</v>
      </c>
      <c r="E191" s="245">
        <v>3.6</v>
      </c>
      <c r="F191" s="156">
        <f t="shared" ref="F191:F194" si="167">C191*D191*E191</f>
        <v>0.03564</v>
      </c>
      <c r="G191" s="156">
        <f t="shared" ref="G191:G194" si="168">D191*E191</f>
        <v>0.792</v>
      </c>
      <c r="H191" s="240">
        <v>343.0</v>
      </c>
      <c r="I191" s="158">
        <f t="shared" ref="I191:I194" si="169">ROUND(H191*1.1667,0)</f>
        <v>400</v>
      </c>
      <c r="J191" s="159">
        <f t="shared" ref="J191:J194" si="170">ROUND((I191*0.992)*1.21,0)*(C191*D191*E191)</f>
        <v>17.1072</v>
      </c>
      <c r="K191" s="160">
        <f t="shared" ref="K191:K194" si="171">J191/(D191*E191)</f>
        <v>21.6</v>
      </c>
      <c r="L191" s="161">
        <f t="shared" ref="L191:L194" si="172">T191+R191-O191</f>
        <v>40</v>
      </c>
      <c r="M191" s="241">
        <f t="shared" ref="M191:M194" si="173">L191*F191</f>
        <v>1.4256</v>
      </c>
      <c r="N191" s="163">
        <f t="shared" ref="N191:N194" si="174">L191*G191</f>
        <v>31.68</v>
      </c>
      <c r="O191" s="246"/>
      <c r="P191" s="165" t="str">
        <f t="shared" si="152"/>
        <v/>
      </c>
      <c r="Q191" s="166"/>
      <c r="R191" s="243"/>
      <c r="S191" s="165">
        <f t="shared" ref="S191:S194" si="175">R191*F191</f>
        <v>0</v>
      </c>
      <c r="T191" s="244">
        <v>40.0</v>
      </c>
      <c r="U191" s="169">
        <f t="shared" ref="U191:U194" si="176">J191*L191</f>
        <v>684.288</v>
      </c>
      <c r="V191" s="38" t="str">
        <f t="shared" ref="V191:V194" si="177">IF(O191="","",Q191-(O191*(H191*F191)))</f>
        <v/>
      </c>
      <c r="W191" s="38" t="str">
        <f t="shared" si="13"/>
        <v/>
      </c>
      <c r="X191" s="11"/>
      <c r="Y191" s="11"/>
      <c r="Z191" s="11"/>
      <c r="AA191" s="11"/>
    </row>
    <row r="192" ht="13.5" customHeight="1" outlineLevel="1">
      <c r="A192" s="315"/>
      <c r="B192" s="85"/>
      <c r="C192" s="238">
        <v>0.045</v>
      </c>
      <c r="D192" s="239">
        <v>0.22</v>
      </c>
      <c r="E192" s="245">
        <v>6.0</v>
      </c>
      <c r="F192" s="156">
        <f t="shared" si="167"/>
        <v>0.0594</v>
      </c>
      <c r="G192" s="156">
        <f t="shared" si="168"/>
        <v>1.32</v>
      </c>
      <c r="H192" s="240">
        <v>343.0</v>
      </c>
      <c r="I192" s="158">
        <f t="shared" si="169"/>
        <v>400</v>
      </c>
      <c r="J192" s="159">
        <f t="shared" si="170"/>
        <v>28.512</v>
      </c>
      <c r="K192" s="160">
        <f t="shared" si="171"/>
        <v>21.6</v>
      </c>
      <c r="L192" s="161">
        <f t="shared" si="172"/>
        <v>45</v>
      </c>
      <c r="M192" s="241">
        <f t="shared" si="173"/>
        <v>2.673</v>
      </c>
      <c r="N192" s="163">
        <f t="shared" si="174"/>
        <v>59.4</v>
      </c>
      <c r="O192" s="246"/>
      <c r="P192" s="165"/>
      <c r="Q192" s="166"/>
      <c r="R192" s="243"/>
      <c r="S192" s="165">
        <f t="shared" si="175"/>
        <v>0</v>
      </c>
      <c r="T192" s="263">
        <v>45.0</v>
      </c>
      <c r="U192" s="169">
        <f t="shared" si="176"/>
        <v>1283.04</v>
      </c>
      <c r="V192" s="38" t="str">
        <f t="shared" si="177"/>
        <v/>
      </c>
      <c r="W192" s="38" t="str">
        <f t="shared" si="13"/>
        <v/>
      </c>
      <c r="X192" s="11"/>
      <c r="Y192" s="11"/>
      <c r="Z192" s="11"/>
      <c r="AA192" s="11"/>
    </row>
    <row r="193" ht="13.5" customHeight="1" outlineLevel="1">
      <c r="A193" s="315"/>
      <c r="B193" s="85"/>
      <c r="C193" s="238">
        <v>0.047</v>
      </c>
      <c r="D193" s="239">
        <v>0.2</v>
      </c>
      <c r="E193" s="245">
        <v>6.0</v>
      </c>
      <c r="F193" s="156">
        <f t="shared" si="167"/>
        <v>0.0564</v>
      </c>
      <c r="G193" s="156">
        <f t="shared" si="168"/>
        <v>1.2</v>
      </c>
      <c r="H193" s="240">
        <v>343.0</v>
      </c>
      <c r="I193" s="158">
        <f t="shared" si="169"/>
        <v>400</v>
      </c>
      <c r="J193" s="159">
        <f t="shared" si="170"/>
        <v>27.072</v>
      </c>
      <c r="K193" s="160">
        <f t="shared" si="171"/>
        <v>22.56</v>
      </c>
      <c r="L193" s="161">
        <f t="shared" si="172"/>
        <v>44</v>
      </c>
      <c r="M193" s="241">
        <f t="shared" si="173"/>
        <v>2.4816</v>
      </c>
      <c r="N193" s="163">
        <f t="shared" si="174"/>
        <v>52.8</v>
      </c>
      <c r="O193" s="252"/>
      <c r="P193" s="165" t="str">
        <f t="shared" ref="P193:P194" si="178">IF(O193="","",(O193*F193))</f>
        <v/>
      </c>
      <c r="Q193" s="172"/>
      <c r="R193" s="243"/>
      <c r="S193" s="165">
        <f t="shared" si="175"/>
        <v>0</v>
      </c>
      <c r="T193" s="244">
        <v>44.0</v>
      </c>
      <c r="U193" s="169">
        <f t="shared" si="176"/>
        <v>1191.168</v>
      </c>
      <c r="V193" s="38" t="str">
        <f t="shared" si="177"/>
        <v/>
      </c>
      <c r="W193" s="38" t="str">
        <f t="shared" si="13"/>
        <v/>
      </c>
      <c r="X193" s="11"/>
      <c r="Y193" s="11"/>
      <c r="Z193" s="11"/>
      <c r="AA193" s="11"/>
    </row>
    <row r="194" ht="13.5" customHeight="1" outlineLevel="1">
      <c r="A194" s="315"/>
      <c r="B194" s="85"/>
      <c r="C194" s="238">
        <v>0.075</v>
      </c>
      <c r="D194" s="239">
        <v>0.195</v>
      </c>
      <c r="E194" s="245">
        <v>6.0</v>
      </c>
      <c r="F194" s="156">
        <f t="shared" si="167"/>
        <v>0.08775</v>
      </c>
      <c r="G194" s="156">
        <f t="shared" si="168"/>
        <v>1.17</v>
      </c>
      <c r="H194" s="240">
        <v>343.0</v>
      </c>
      <c r="I194" s="158">
        <f t="shared" si="169"/>
        <v>400</v>
      </c>
      <c r="J194" s="159">
        <f t="shared" si="170"/>
        <v>42.12</v>
      </c>
      <c r="K194" s="160">
        <f t="shared" si="171"/>
        <v>36</v>
      </c>
      <c r="L194" s="161">
        <f t="shared" si="172"/>
        <v>104</v>
      </c>
      <c r="M194" s="241">
        <f t="shared" si="173"/>
        <v>9.126</v>
      </c>
      <c r="N194" s="163">
        <f t="shared" si="174"/>
        <v>121.68</v>
      </c>
      <c r="O194" s="351">
        <v>10.0</v>
      </c>
      <c r="P194" s="165">
        <f t="shared" si="178"/>
        <v>0.8775</v>
      </c>
      <c r="Q194" s="352">
        <v>330.0</v>
      </c>
      <c r="R194" s="243"/>
      <c r="S194" s="165">
        <f t="shared" si="175"/>
        <v>0</v>
      </c>
      <c r="T194" s="244">
        <v>114.0</v>
      </c>
      <c r="U194" s="169">
        <f t="shared" si="176"/>
        <v>4380.48</v>
      </c>
      <c r="V194" s="38">
        <f t="shared" si="177"/>
        <v>29.0175</v>
      </c>
      <c r="W194" s="38">
        <f t="shared" si="13"/>
        <v>300.9825</v>
      </c>
      <c r="X194" s="11"/>
      <c r="Y194" s="11"/>
      <c r="Z194" s="11"/>
      <c r="AA194" s="11"/>
    </row>
    <row r="195" ht="13.5" customHeight="1">
      <c r="A195" s="315"/>
      <c r="B195" s="211" t="s">
        <v>56</v>
      </c>
      <c r="C195" s="298"/>
      <c r="D195" s="298"/>
      <c r="E195" s="298"/>
      <c r="F195" s="298"/>
      <c r="G195" s="298"/>
      <c r="H195" s="215">
        <f t="shared" ref="H195:I195" si="179">AVERAGE(H174:H194)</f>
        <v>347.3846154</v>
      </c>
      <c r="I195" s="215">
        <f t="shared" si="179"/>
        <v>405.1538462</v>
      </c>
      <c r="J195" s="216"/>
      <c r="K195" s="214">
        <f>AVERAGE(K174:K194)</f>
        <v>20.66053846</v>
      </c>
      <c r="L195" s="217"/>
      <c r="M195" s="353">
        <f>SUM(M174:M194)</f>
        <v>109.9179354</v>
      </c>
      <c r="N195" s="301"/>
      <c r="O195" s="219"/>
      <c r="P195" s="278">
        <f t="shared" ref="P195:Q195" si="180">SUM(P174:P194)</f>
        <v>0.8775</v>
      </c>
      <c r="Q195" s="353">
        <f t="shared" si="180"/>
        <v>330</v>
      </c>
      <c r="R195" s="262"/>
      <c r="S195" s="223">
        <f>SUM(S174:S194)</f>
        <v>0</v>
      </c>
      <c r="T195" s="224"/>
      <c r="U195" s="348">
        <f>SUM(U174:U194)</f>
        <v>52960.43081</v>
      </c>
      <c r="V195" s="11"/>
      <c r="W195" s="38" t="str">
        <f t="shared" si="13"/>
        <v/>
      </c>
      <c r="X195" s="11"/>
      <c r="Y195" s="11"/>
      <c r="Z195" s="11"/>
      <c r="AA195" s="11"/>
    </row>
    <row r="196" ht="15.0" customHeight="1">
      <c r="A196" s="315"/>
      <c r="B196" s="354" t="s">
        <v>106</v>
      </c>
      <c r="C196" s="355"/>
      <c r="D196" s="355"/>
      <c r="E196" s="355"/>
      <c r="F196" s="355"/>
      <c r="G196" s="355"/>
      <c r="H196" s="355"/>
      <c r="I196" s="356">
        <f>AVERAGE(I172,I195)</f>
        <v>346.4559553</v>
      </c>
      <c r="J196" s="357"/>
      <c r="K196" s="358">
        <f>AVERAGE(K172,K195)</f>
        <v>21.09476923</v>
      </c>
      <c r="L196" s="359"/>
      <c r="M196" s="360">
        <f>SUM(M172+M195)</f>
        <v>402.5763254</v>
      </c>
      <c r="N196" s="361"/>
      <c r="O196" s="362"/>
      <c r="P196" s="363">
        <f t="shared" ref="P196:Q196" si="181">SUM(P172+P195)</f>
        <v>3.28868</v>
      </c>
      <c r="Q196" s="364">
        <f t="shared" si="181"/>
        <v>1034</v>
      </c>
      <c r="R196" s="365"/>
      <c r="S196" s="366">
        <f>SUM(S172+S195)</f>
        <v>0</v>
      </c>
      <c r="T196" s="367"/>
      <c r="U196" s="368">
        <f>U195+U172</f>
        <v>150835.5392</v>
      </c>
      <c r="V196" s="11"/>
      <c r="W196" s="38" t="str">
        <f t="shared" si="13"/>
        <v/>
      </c>
      <c r="X196" s="11"/>
      <c r="Y196" s="11"/>
      <c r="Z196" s="11"/>
      <c r="AA196" s="11"/>
    </row>
    <row r="197" ht="13.5" customHeight="1">
      <c r="A197" s="369"/>
      <c r="B197" s="370"/>
      <c r="C197" s="370"/>
      <c r="D197" s="371"/>
      <c r="E197" s="371"/>
      <c r="F197" s="372"/>
      <c r="G197" s="372"/>
      <c r="H197" s="370"/>
      <c r="I197" s="373"/>
      <c r="J197" s="374"/>
      <c r="K197" s="375"/>
      <c r="L197" s="376"/>
      <c r="M197" s="377"/>
      <c r="N197" s="370"/>
      <c r="O197" s="378"/>
      <c r="P197" s="371"/>
      <c r="Q197" s="379"/>
      <c r="R197" s="380"/>
      <c r="S197" s="371"/>
      <c r="T197" s="381"/>
      <c r="U197" s="382"/>
      <c r="V197" s="11"/>
      <c r="W197" s="38" t="str">
        <f t="shared" si="13"/>
        <v/>
      </c>
      <c r="X197" s="11"/>
      <c r="Y197" s="11"/>
      <c r="Z197" s="11"/>
      <c r="AA197" s="11"/>
    </row>
    <row r="198" ht="13.5" customHeight="1">
      <c r="A198" s="383"/>
      <c r="B198" s="384" t="s">
        <v>31</v>
      </c>
      <c r="C198" s="92"/>
      <c r="D198" s="93"/>
      <c r="E198" s="92"/>
      <c r="F198" s="385"/>
      <c r="G198" s="385"/>
      <c r="H198" s="92"/>
      <c r="I198" s="386">
        <f>AVERAGE(I100,I108,I196)</f>
        <v>421.5233627</v>
      </c>
      <c r="J198" s="96"/>
      <c r="K198" s="94"/>
      <c r="L198" s="387"/>
      <c r="M198" s="94">
        <f>SUM(M100+M108+M196)</f>
        <v>636.7051138</v>
      </c>
      <c r="N198" s="388"/>
      <c r="O198" s="95"/>
      <c r="P198" s="94">
        <f t="shared" ref="P198:Q198" si="182">SUM(P100+P108+P196)</f>
        <v>5.241314</v>
      </c>
      <c r="Q198" s="389">
        <f t="shared" si="182"/>
        <v>2104.39</v>
      </c>
      <c r="R198" s="390"/>
      <c r="S198" s="94">
        <f>SUM(S100+S108+S196)</f>
        <v>0</v>
      </c>
      <c r="T198" s="391"/>
      <c r="U198" s="392">
        <f>SUM(U100+U108+U196)</f>
        <v>272756.0816</v>
      </c>
      <c r="V198" s="11">
        <f t="shared" ref="V198:W198" si="183">SUM(V2:V197)</f>
        <v>397.9712797</v>
      </c>
      <c r="W198" s="11">
        <f t="shared" si="183"/>
        <v>1706.41872</v>
      </c>
      <c r="X198" s="11"/>
      <c r="Y198" s="11"/>
      <c r="Z198" s="11"/>
      <c r="AA198" s="11"/>
    </row>
    <row r="199" ht="13.5" customHeight="1">
      <c r="A199" s="11"/>
      <c r="B199" s="11"/>
      <c r="C199" s="11"/>
      <c r="D199" s="11"/>
      <c r="E199" s="11"/>
      <c r="F199" s="253"/>
      <c r="G199" s="253"/>
      <c r="H199" s="11"/>
      <c r="I199" s="393"/>
      <c r="J199" s="394"/>
      <c r="K199" s="395"/>
      <c r="L199" s="396"/>
      <c r="M199" s="11"/>
      <c r="N199" s="11"/>
      <c r="O199" s="71"/>
      <c r="P199" s="11"/>
      <c r="Q199" s="72"/>
      <c r="R199" s="397"/>
      <c r="S199" s="395"/>
      <c r="T199" s="398"/>
      <c r="U199" s="399"/>
      <c r="V199" s="11"/>
      <c r="W199" s="38"/>
      <c r="X199" s="11"/>
      <c r="Y199" s="11"/>
      <c r="Z199" s="11"/>
      <c r="AA199" s="11"/>
    </row>
    <row r="200" ht="13.5" customHeight="1">
      <c r="A200" s="11"/>
      <c r="B200" s="38"/>
      <c r="C200" s="400"/>
      <c r="D200" s="400"/>
      <c r="E200" s="400"/>
      <c r="F200" s="400"/>
      <c r="G200" s="400"/>
      <c r="H200" s="400"/>
      <c r="I200" s="400"/>
      <c r="J200" s="400"/>
      <c r="K200" s="400"/>
      <c r="L200" s="400"/>
      <c r="M200" s="400"/>
      <c r="N200" s="400"/>
      <c r="O200" s="400"/>
      <c r="P200" s="401"/>
      <c r="Q200" s="400"/>
      <c r="R200" s="398"/>
      <c r="S200" s="11"/>
      <c r="T200" s="11"/>
      <c r="U200" s="11"/>
      <c r="V200" s="11"/>
      <c r="W200" s="11"/>
      <c r="X200" s="11"/>
      <c r="Y200" s="11"/>
      <c r="Z200" s="402"/>
      <c r="AA200" s="402"/>
    </row>
    <row r="201" ht="13.5" customHeight="1">
      <c r="A201" s="11"/>
      <c r="B201" s="38"/>
      <c r="C201" s="400"/>
      <c r="D201" s="400"/>
      <c r="E201" s="400"/>
      <c r="F201" s="400"/>
      <c r="G201" s="400"/>
      <c r="H201" s="400"/>
      <c r="I201" s="400"/>
      <c r="J201" s="400"/>
      <c r="K201" s="400"/>
      <c r="L201" s="400"/>
      <c r="M201" s="400"/>
      <c r="N201" s="400"/>
      <c r="O201" s="400"/>
      <c r="P201" s="401"/>
      <c r="Q201" s="400"/>
      <c r="R201" s="398"/>
      <c r="S201" s="11"/>
      <c r="T201" s="11"/>
      <c r="U201" s="11"/>
      <c r="V201" s="11"/>
      <c r="W201" s="11"/>
      <c r="X201" s="11"/>
      <c r="Y201" s="11"/>
      <c r="Z201" s="402"/>
      <c r="AA201" s="402"/>
    </row>
    <row r="202" ht="13.5" customHeight="1">
      <c r="A202" s="11"/>
      <c r="B202" s="38"/>
      <c r="C202" s="400"/>
      <c r="D202" s="400"/>
      <c r="E202" s="400"/>
      <c r="F202" s="400"/>
      <c r="G202" s="400"/>
      <c r="H202" s="400"/>
      <c r="I202" s="400"/>
      <c r="J202" s="400"/>
      <c r="K202" s="400"/>
      <c r="L202" s="400"/>
      <c r="M202" s="400"/>
      <c r="N202" s="400"/>
      <c r="O202" s="400"/>
      <c r="P202" s="401"/>
      <c r="Q202" s="400"/>
      <c r="R202" s="398"/>
      <c r="S202" s="11"/>
      <c r="T202" s="11"/>
      <c r="U202" s="11"/>
      <c r="V202" s="11"/>
      <c r="W202" s="11"/>
      <c r="X202" s="11"/>
      <c r="Y202" s="11"/>
      <c r="Z202" s="402"/>
      <c r="AA202" s="402"/>
    </row>
    <row r="203" ht="13.5" customHeight="1">
      <c r="A203" s="11"/>
      <c r="B203" s="11"/>
      <c r="C203" s="400"/>
      <c r="D203" s="400"/>
      <c r="E203" s="400"/>
      <c r="F203" s="400"/>
      <c r="G203" s="400"/>
      <c r="H203" s="400"/>
      <c r="I203" s="400"/>
      <c r="J203" s="400"/>
      <c r="K203" s="400"/>
      <c r="L203" s="400"/>
      <c r="M203" s="400"/>
      <c r="N203" s="400"/>
      <c r="O203" s="400"/>
      <c r="P203" s="401"/>
      <c r="Q203" s="400"/>
      <c r="R203" s="398"/>
      <c r="S203" s="11"/>
      <c r="T203" s="11"/>
      <c r="U203" s="11"/>
      <c r="V203" s="11"/>
      <c r="W203" s="11"/>
      <c r="X203" s="11"/>
      <c r="Y203" s="11"/>
      <c r="Z203" s="402"/>
      <c r="AA203" s="402"/>
    </row>
    <row r="204" ht="13.5" customHeight="1">
      <c r="A204" s="11"/>
      <c r="B204" s="11"/>
      <c r="C204" s="400"/>
      <c r="D204" s="400"/>
      <c r="E204" s="400"/>
      <c r="F204" s="400"/>
      <c r="G204" s="400"/>
      <c r="H204" s="400"/>
      <c r="I204" s="400"/>
      <c r="J204" s="400"/>
      <c r="K204" s="400"/>
      <c r="L204" s="400"/>
      <c r="M204" s="400"/>
      <c r="N204" s="400"/>
      <c r="O204" s="400"/>
      <c r="P204" s="401"/>
      <c r="Q204" s="400"/>
      <c r="R204" s="398"/>
      <c r="S204" s="11"/>
      <c r="T204" s="11"/>
      <c r="U204" s="11"/>
      <c r="V204" s="11"/>
      <c r="W204" s="11"/>
      <c r="X204" s="11"/>
      <c r="Y204" s="11"/>
      <c r="Z204" s="402"/>
      <c r="AA204" s="402"/>
    </row>
    <row r="205" ht="13.5" customHeight="1">
      <c r="A205" s="11"/>
      <c r="B205" s="11"/>
      <c r="C205" s="400"/>
      <c r="D205" s="400"/>
      <c r="E205" s="400"/>
      <c r="F205" s="400"/>
      <c r="G205" s="400"/>
      <c r="H205" s="400"/>
      <c r="I205" s="400"/>
      <c r="J205" s="400"/>
      <c r="K205" s="400"/>
      <c r="L205" s="400"/>
      <c r="M205" s="400"/>
      <c r="N205" s="400"/>
      <c r="O205" s="400"/>
      <c r="P205" s="401"/>
      <c r="Q205" s="400"/>
      <c r="R205" s="398"/>
      <c r="S205" s="11"/>
      <c r="T205" s="11"/>
      <c r="U205" s="11"/>
      <c r="V205" s="11"/>
      <c r="W205" s="11"/>
      <c r="X205" s="11"/>
      <c r="Y205" s="11"/>
      <c r="Z205" s="402"/>
      <c r="AA205" s="402"/>
    </row>
    <row r="206" ht="13.5" customHeight="1">
      <c r="A206" s="11"/>
      <c r="B206" s="11"/>
      <c r="C206" s="400"/>
      <c r="D206" s="400"/>
      <c r="E206" s="400"/>
      <c r="F206" s="400"/>
      <c r="G206" s="400"/>
      <c r="H206" s="400"/>
      <c r="I206" s="400"/>
      <c r="J206" s="400"/>
      <c r="K206" s="400"/>
      <c r="L206" s="400"/>
      <c r="M206" s="400"/>
      <c r="N206" s="400"/>
      <c r="O206" s="400"/>
      <c r="P206" s="401"/>
      <c r="Q206" s="400"/>
      <c r="R206" s="398"/>
      <c r="S206" s="11"/>
      <c r="T206" s="11"/>
      <c r="U206" s="11"/>
      <c r="V206" s="11"/>
      <c r="W206" s="11"/>
      <c r="X206" s="11"/>
      <c r="Y206" s="11"/>
      <c r="Z206" s="402"/>
      <c r="AA206" s="402"/>
    </row>
    <row r="207" ht="13.5" customHeight="1">
      <c r="A207" s="11"/>
      <c r="B207" s="11"/>
      <c r="C207" s="403" t="s">
        <v>107</v>
      </c>
      <c r="D207" s="280"/>
      <c r="E207" s="280"/>
      <c r="F207" s="280"/>
      <c r="G207" s="280"/>
      <c r="H207" s="280"/>
      <c r="I207" s="280"/>
      <c r="J207" s="280"/>
      <c r="K207" s="280"/>
      <c r="L207" s="281"/>
      <c r="M207" s="403" t="s">
        <v>108</v>
      </c>
      <c r="N207" s="280"/>
      <c r="O207" s="280"/>
      <c r="P207" s="280"/>
      <c r="Q207" s="280"/>
      <c r="R207" s="281"/>
      <c r="S207" s="398"/>
      <c r="T207" s="11"/>
      <c r="U207" s="11"/>
      <c r="V207" s="11"/>
      <c r="W207" s="11"/>
      <c r="X207" s="11"/>
      <c r="Y207" s="11"/>
      <c r="Z207" s="402"/>
      <c r="AA207" s="402"/>
    </row>
    <row r="208" ht="13.5" customHeight="1">
      <c r="A208" s="11"/>
      <c r="B208" s="11"/>
      <c r="C208" s="404" t="s">
        <v>35</v>
      </c>
      <c r="D208" s="405" t="s">
        <v>24</v>
      </c>
      <c r="E208" s="405" t="s">
        <v>25</v>
      </c>
      <c r="F208" s="405" t="s">
        <v>36</v>
      </c>
      <c r="G208" s="406" t="s">
        <v>37</v>
      </c>
      <c r="H208" s="405"/>
      <c r="I208" s="407" t="s">
        <v>26</v>
      </c>
      <c r="J208" s="408" t="s">
        <v>27</v>
      </c>
      <c r="K208" s="409" t="s">
        <v>109</v>
      </c>
      <c r="L208" s="409" t="s">
        <v>110</v>
      </c>
      <c r="M208" s="404" t="s">
        <v>35</v>
      </c>
      <c r="N208" s="405" t="s">
        <v>24</v>
      </c>
      <c r="O208" s="405" t="s">
        <v>25</v>
      </c>
      <c r="P208" s="410" t="s">
        <v>111</v>
      </c>
      <c r="Q208" s="281"/>
      <c r="R208" s="409" t="s">
        <v>112</v>
      </c>
      <c r="S208" s="71"/>
      <c r="T208" s="72"/>
      <c r="U208" s="397"/>
      <c r="V208" s="395"/>
      <c r="W208" s="398"/>
      <c r="X208" s="399"/>
      <c r="Y208" s="11"/>
      <c r="Z208" s="11"/>
      <c r="AA208" s="11"/>
    </row>
    <row r="209" ht="13.5" customHeight="1">
      <c r="A209" s="11"/>
      <c r="B209" s="11"/>
      <c r="C209" s="249">
        <v>0.045</v>
      </c>
      <c r="D209" s="170">
        <v>0.045</v>
      </c>
      <c r="E209" s="250">
        <v>6.0</v>
      </c>
      <c r="F209" s="156">
        <f t="shared" ref="F209:F210" si="184">C209*D209*E209</f>
        <v>0.01215</v>
      </c>
      <c r="G209" s="156">
        <f t="shared" ref="G209:G210" si="185">D209*E209</f>
        <v>0.27</v>
      </c>
      <c r="H209" s="240">
        <v>403.13</v>
      </c>
      <c r="I209" s="158">
        <f>ROUND(H209*1.125,0)</f>
        <v>454</v>
      </c>
      <c r="J209" s="159">
        <f t="shared" ref="J209:J210" si="186">ROUND((I209*0.992)*1.21,0)*(C209*D209*E209)</f>
        <v>6.62175</v>
      </c>
      <c r="K209" s="411">
        <v>40.0</v>
      </c>
      <c r="L209" s="412">
        <f t="shared" ref="L209:L217" si="187">IF($P$218&gt;=1,I209*((C209*D209*E209)*K209),J209*K209)</f>
        <v>264.87</v>
      </c>
      <c r="M209" s="412">
        <f t="shared" ref="M209:M217" si="188">IF(C209=0,0,C209*MAX(1,ROUNDUP(K209/INT(1.1/D209),0)))</f>
        <v>0.09</v>
      </c>
      <c r="N209" s="413">
        <f t="shared" ref="N209:N217" si="189">IF(D209=0,0,IF(D209*K209&lt;=1.1,D209*K209,INT(1.1/D209)*D209))</f>
        <v>1.08</v>
      </c>
      <c r="O209" s="412">
        <f t="shared" ref="O209:O217" si="190">E209</f>
        <v>6</v>
      </c>
      <c r="P209" s="414">
        <f t="shared" ref="P209:P217" si="191">ROUND((C209*D209*E209)*K209,2)</f>
        <v>0.49</v>
      </c>
      <c r="Q209" s="281"/>
      <c r="R209" s="412">
        <f t="shared" ref="R209:R217" si="192">P209*480</f>
        <v>235.2</v>
      </c>
      <c r="S209" s="71"/>
      <c r="T209" s="72"/>
      <c r="U209" s="415">
        <v>245.0</v>
      </c>
      <c r="V209" s="395"/>
      <c r="W209" s="38"/>
      <c r="X209" s="416"/>
      <c r="Y209" s="11"/>
      <c r="Z209" s="11"/>
      <c r="AA209" s="11"/>
    </row>
    <row r="210" ht="13.5" customHeight="1">
      <c r="A210" s="11"/>
      <c r="B210" s="11"/>
      <c r="C210" s="334">
        <v>0.023</v>
      </c>
      <c r="D210" s="335">
        <v>0.1</v>
      </c>
      <c r="E210" s="273">
        <v>4.8</v>
      </c>
      <c r="F210" s="184">
        <f t="shared" si="184"/>
        <v>0.01104</v>
      </c>
      <c r="G210" s="184">
        <f t="shared" si="185"/>
        <v>0.48</v>
      </c>
      <c r="H210" s="336">
        <v>228.8</v>
      </c>
      <c r="I210" s="337">
        <f>ROUND(H210*1.225,0)</f>
        <v>280</v>
      </c>
      <c r="J210" s="338">
        <f t="shared" si="186"/>
        <v>3.70944</v>
      </c>
      <c r="K210" s="411">
        <v>40.0</v>
      </c>
      <c r="L210" s="412">
        <f t="shared" si="187"/>
        <v>148.3776</v>
      </c>
      <c r="M210" s="412">
        <f t="shared" si="188"/>
        <v>0.092</v>
      </c>
      <c r="N210" s="413">
        <f t="shared" si="189"/>
        <v>1.1</v>
      </c>
      <c r="O210" s="412">
        <f t="shared" si="190"/>
        <v>4.8</v>
      </c>
      <c r="P210" s="414">
        <f t="shared" si="191"/>
        <v>0.44</v>
      </c>
      <c r="Q210" s="281"/>
      <c r="R210" s="412">
        <f t="shared" si="192"/>
        <v>211.2</v>
      </c>
      <c r="S210" s="71"/>
      <c r="T210" s="72"/>
      <c r="U210" s="415">
        <v>145.0</v>
      </c>
      <c r="V210" s="395"/>
      <c r="W210" s="38"/>
      <c r="X210" s="416"/>
      <c r="Y210" s="11"/>
      <c r="Z210" s="11"/>
      <c r="AA210" s="11"/>
    </row>
    <row r="211" ht="13.5" customHeight="1">
      <c r="A211" s="11"/>
      <c r="B211" s="11"/>
      <c r="C211" s="238"/>
      <c r="D211" s="239"/>
      <c r="E211" s="245"/>
      <c r="F211" s="156"/>
      <c r="G211" s="156"/>
      <c r="H211" s="240"/>
      <c r="I211" s="158"/>
      <c r="J211" s="159"/>
      <c r="K211" s="411"/>
      <c r="L211" s="412">
        <f t="shared" si="187"/>
        <v>0</v>
      </c>
      <c r="M211" s="412">
        <f t="shared" si="188"/>
        <v>0</v>
      </c>
      <c r="N211" s="413">
        <f t="shared" si="189"/>
        <v>0</v>
      </c>
      <c r="O211" s="412" t="str">
        <f t="shared" si="190"/>
        <v/>
      </c>
      <c r="P211" s="414">
        <f t="shared" si="191"/>
        <v>0</v>
      </c>
      <c r="Q211" s="281"/>
      <c r="R211" s="412">
        <f t="shared" si="192"/>
        <v>0</v>
      </c>
      <c r="S211" s="71"/>
      <c r="T211" s="72"/>
      <c r="U211" s="415">
        <f>U209+U210</f>
        <v>390</v>
      </c>
      <c r="V211" s="395"/>
      <c r="W211" s="11"/>
      <c r="X211" s="416"/>
      <c r="Y211" s="11"/>
      <c r="Z211" s="11"/>
      <c r="AA211" s="11"/>
    </row>
    <row r="212" ht="13.5" customHeight="1">
      <c r="A212" s="11"/>
      <c r="B212" s="11"/>
      <c r="C212" s="249"/>
      <c r="D212" s="87"/>
      <c r="E212" s="155"/>
      <c r="F212" s="156"/>
      <c r="G212" s="156"/>
      <c r="H212" s="240"/>
      <c r="I212" s="158"/>
      <c r="J212" s="159"/>
      <c r="K212" s="411"/>
      <c r="L212" s="412">
        <f t="shared" si="187"/>
        <v>0</v>
      </c>
      <c r="M212" s="412">
        <f t="shared" si="188"/>
        <v>0</v>
      </c>
      <c r="N212" s="413">
        <f t="shared" si="189"/>
        <v>0</v>
      </c>
      <c r="O212" s="412" t="str">
        <f t="shared" si="190"/>
        <v/>
      </c>
      <c r="P212" s="414">
        <f t="shared" si="191"/>
        <v>0</v>
      </c>
      <c r="Q212" s="281"/>
      <c r="R212" s="412">
        <f t="shared" si="192"/>
        <v>0</v>
      </c>
      <c r="S212" s="71"/>
      <c r="T212" s="72"/>
      <c r="U212" s="415"/>
      <c r="V212" s="395"/>
      <c r="W212" s="11"/>
      <c r="X212" s="399"/>
      <c r="Y212" s="11"/>
      <c r="Z212" s="11"/>
      <c r="AA212" s="11"/>
    </row>
    <row r="213" ht="13.5" customHeight="1">
      <c r="A213" s="11"/>
      <c r="B213" s="11"/>
      <c r="C213" s="334"/>
      <c r="D213" s="335"/>
      <c r="E213" s="273"/>
      <c r="F213" s="184"/>
      <c r="G213" s="184"/>
      <c r="H213" s="336"/>
      <c r="I213" s="337"/>
      <c r="J213" s="338"/>
      <c r="K213" s="411"/>
      <c r="L213" s="412">
        <f t="shared" si="187"/>
        <v>0</v>
      </c>
      <c r="M213" s="412">
        <f t="shared" si="188"/>
        <v>0</v>
      </c>
      <c r="N213" s="413">
        <f t="shared" si="189"/>
        <v>0</v>
      </c>
      <c r="O213" s="412" t="str">
        <f t="shared" si="190"/>
        <v/>
      </c>
      <c r="P213" s="414">
        <f t="shared" si="191"/>
        <v>0</v>
      </c>
      <c r="Q213" s="281"/>
      <c r="R213" s="412">
        <f t="shared" si="192"/>
        <v>0</v>
      </c>
      <c r="S213" s="71"/>
      <c r="T213" s="72"/>
      <c r="U213" s="415"/>
      <c r="V213" s="395"/>
      <c r="W213" s="11"/>
      <c r="X213" s="399"/>
      <c r="Y213" s="11"/>
      <c r="Z213" s="11"/>
      <c r="AA213" s="11"/>
    </row>
    <row r="214" ht="13.5" customHeight="1">
      <c r="A214" s="11"/>
      <c r="B214" s="11"/>
      <c r="C214" s="86"/>
      <c r="D214" s="87"/>
      <c r="E214" s="88"/>
      <c r="F214" s="417"/>
      <c r="G214" s="417"/>
      <c r="H214" s="417"/>
      <c r="I214" s="417"/>
      <c r="J214" s="288"/>
      <c r="K214" s="411"/>
      <c r="L214" s="412">
        <f t="shared" si="187"/>
        <v>0</v>
      </c>
      <c r="M214" s="412">
        <f t="shared" si="188"/>
        <v>0</v>
      </c>
      <c r="N214" s="413">
        <f t="shared" si="189"/>
        <v>0</v>
      </c>
      <c r="O214" s="412" t="str">
        <f t="shared" si="190"/>
        <v/>
      </c>
      <c r="P214" s="414">
        <f t="shared" si="191"/>
        <v>0</v>
      </c>
      <c r="Q214" s="281"/>
      <c r="R214" s="412">
        <f t="shared" si="192"/>
        <v>0</v>
      </c>
      <c r="S214" s="71"/>
      <c r="T214" s="72"/>
      <c r="U214" s="397"/>
      <c r="V214" s="395"/>
      <c r="W214" s="11"/>
      <c r="X214" s="399"/>
      <c r="Y214" s="11"/>
      <c r="Z214" s="11"/>
      <c r="AA214" s="11"/>
    </row>
    <row r="215" ht="13.5" customHeight="1">
      <c r="A215" s="11"/>
      <c r="B215" s="11"/>
      <c r="C215" s="418"/>
      <c r="D215" s="182"/>
      <c r="E215" s="183"/>
      <c r="F215" s="417"/>
      <c r="G215" s="417"/>
      <c r="H215" s="417"/>
      <c r="I215" s="417"/>
      <c r="J215" s="288"/>
      <c r="K215" s="411"/>
      <c r="L215" s="412">
        <f t="shared" si="187"/>
        <v>0</v>
      </c>
      <c r="M215" s="412">
        <f t="shared" si="188"/>
        <v>0</v>
      </c>
      <c r="N215" s="413">
        <f t="shared" si="189"/>
        <v>0</v>
      </c>
      <c r="O215" s="412" t="str">
        <f t="shared" si="190"/>
        <v/>
      </c>
      <c r="P215" s="414">
        <f t="shared" si="191"/>
        <v>0</v>
      </c>
      <c r="Q215" s="281"/>
      <c r="R215" s="412">
        <f t="shared" si="192"/>
        <v>0</v>
      </c>
      <c r="S215" s="71"/>
      <c r="T215" s="72"/>
      <c r="U215" s="397"/>
      <c r="V215" s="395"/>
      <c r="W215" s="11"/>
      <c r="X215" s="399"/>
      <c r="Y215" s="11"/>
      <c r="Z215" s="11"/>
      <c r="AA215" s="11"/>
    </row>
    <row r="216" ht="13.5" customHeight="1">
      <c r="A216" s="11"/>
      <c r="B216" s="11"/>
      <c r="C216" s="86"/>
      <c r="D216" s="87"/>
      <c r="E216" s="88"/>
      <c r="F216" s="173"/>
      <c r="G216" s="173"/>
      <c r="H216" s="157"/>
      <c r="I216" s="419"/>
      <c r="J216" s="288"/>
      <c r="K216" s="420"/>
      <c r="L216" s="412">
        <f t="shared" si="187"/>
        <v>0</v>
      </c>
      <c r="M216" s="412">
        <f t="shared" si="188"/>
        <v>0</v>
      </c>
      <c r="N216" s="413">
        <f t="shared" si="189"/>
        <v>0</v>
      </c>
      <c r="O216" s="412" t="str">
        <f t="shared" si="190"/>
        <v/>
      </c>
      <c r="P216" s="414">
        <f t="shared" si="191"/>
        <v>0</v>
      </c>
      <c r="Q216" s="281"/>
      <c r="R216" s="412">
        <f t="shared" si="192"/>
        <v>0</v>
      </c>
      <c r="S216" s="71"/>
      <c r="T216" s="72"/>
      <c r="U216" s="397"/>
      <c r="V216" s="395"/>
      <c r="W216" s="11"/>
      <c r="X216" s="399"/>
      <c r="Y216" s="11"/>
      <c r="Z216" s="11"/>
      <c r="AA216" s="11"/>
    </row>
    <row r="217" ht="13.5" customHeight="1">
      <c r="A217" s="11"/>
      <c r="B217" s="11"/>
      <c r="C217" s="195"/>
      <c r="D217" s="87"/>
      <c r="E217" s="88"/>
      <c r="F217" s="419"/>
      <c r="G217" s="419"/>
      <c r="H217" s="419"/>
      <c r="I217" s="419"/>
      <c r="J217" s="288"/>
      <c r="K217" s="420"/>
      <c r="L217" s="412">
        <f t="shared" si="187"/>
        <v>0</v>
      </c>
      <c r="M217" s="412">
        <f t="shared" si="188"/>
        <v>0</v>
      </c>
      <c r="N217" s="413">
        <f t="shared" si="189"/>
        <v>0</v>
      </c>
      <c r="O217" s="412" t="str">
        <f t="shared" si="190"/>
        <v/>
      </c>
      <c r="P217" s="414">
        <f t="shared" si="191"/>
        <v>0</v>
      </c>
      <c r="Q217" s="281"/>
      <c r="R217" s="412">
        <f t="shared" si="192"/>
        <v>0</v>
      </c>
      <c r="S217" s="71"/>
      <c r="T217" s="72"/>
      <c r="U217" s="397"/>
      <c r="V217" s="395"/>
      <c r="W217" s="11"/>
      <c r="X217" s="399"/>
      <c r="Y217" s="11"/>
      <c r="Z217" s="11"/>
      <c r="AA217" s="11"/>
    </row>
    <row r="218" ht="13.5" customHeight="1">
      <c r="A218" s="11"/>
      <c r="B218" s="11"/>
      <c r="C218" s="421" t="s">
        <v>13</v>
      </c>
      <c r="D218" s="280"/>
      <c r="E218" s="280"/>
      <c r="F218" s="280"/>
      <c r="G218" s="280"/>
      <c r="H218" s="280"/>
      <c r="I218" s="280"/>
      <c r="J218" s="280"/>
      <c r="K218" s="281"/>
      <c r="L218" s="422">
        <f t="shared" ref="L218:M218" si="193">SUM(L209:L217)</f>
        <v>413.2476</v>
      </c>
      <c r="M218" s="422">
        <f t="shared" si="193"/>
        <v>0.182</v>
      </c>
      <c r="N218" s="423">
        <f t="shared" ref="N218:O218" si="194">MAX(N209:N217)</f>
        <v>1.1</v>
      </c>
      <c r="O218" s="422">
        <f t="shared" si="194"/>
        <v>6</v>
      </c>
      <c r="P218" s="424">
        <f>SUM(P209:P217)</f>
        <v>0.93</v>
      </c>
      <c r="Q218" s="281"/>
      <c r="R218" s="422">
        <f>SUM(R209:R217)</f>
        <v>446.4</v>
      </c>
      <c r="S218" s="71"/>
      <c r="T218" s="72"/>
      <c r="U218" s="397"/>
      <c r="V218" s="395"/>
      <c r="W218" s="398"/>
      <c r="X218" s="399"/>
      <c r="Y218" s="11"/>
      <c r="Z218" s="11"/>
      <c r="AA218" s="11"/>
    </row>
    <row r="219" ht="13.5" customHeight="1">
      <c r="A219" s="11"/>
      <c r="B219" s="11"/>
      <c r="C219" s="425" t="s">
        <v>113</v>
      </c>
      <c r="L219" s="426"/>
      <c r="M219" s="11"/>
      <c r="N219" s="11"/>
      <c r="O219" s="71"/>
      <c r="P219" s="427"/>
      <c r="Q219" s="397"/>
      <c r="R219" s="395"/>
      <c r="S219" s="398"/>
      <c r="T219" s="399"/>
      <c r="U219" s="11"/>
      <c r="V219" s="11"/>
      <c r="W219" s="428"/>
      <c r="X219" s="11"/>
      <c r="Y219" s="11"/>
      <c r="Z219" s="402"/>
      <c r="AA219" s="402"/>
    </row>
    <row r="220" ht="13.5" customHeight="1">
      <c r="A220" s="11"/>
      <c r="B220" s="11"/>
      <c r="C220" s="11"/>
      <c r="D220" s="11"/>
      <c r="E220" s="11"/>
      <c r="F220" s="253"/>
      <c r="G220" s="253"/>
      <c r="H220" s="11"/>
      <c r="I220" s="429"/>
      <c r="J220" s="427"/>
      <c r="K220" s="430" t="s">
        <v>13</v>
      </c>
      <c r="L220" s="431">
        <f>L218+L219</f>
        <v>413.2476</v>
      </c>
      <c r="M220" s="11"/>
      <c r="N220" s="11"/>
      <c r="O220" s="71"/>
      <c r="P220" s="427"/>
      <c r="Q220" s="395"/>
      <c r="R220" s="395"/>
      <c r="S220" s="398"/>
      <c r="T220" s="399"/>
      <c r="U220" s="11"/>
      <c r="V220" s="11"/>
      <c r="W220" s="398"/>
      <c r="X220" s="11"/>
      <c r="Y220" s="11"/>
      <c r="Z220" s="402"/>
      <c r="AA220" s="402"/>
    </row>
    <row r="221" ht="13.5" customHeight="1">
      <c r="A221" s="11"/>
      <c r="B221" s="11"/>
      <c r="C221" s="11"/>
      <c r="D221" s="11"/>
      <c r="E221" s="11"/>
      <c r="F221" s="253"/>
      <c r="G221" s="253"/>
      <c r="H221" s="11"/>
      <c r="I221" s="429"/>
      <c r="J221" s="427"/>
      <c r="K221" s="395"/>
      <c r="L221" s="431"/>
      <c r="M221" s="11"/>
      <c r="N221" s="11"/>
      <c r="O221" s="71"/>
      <c r="P221" s="427"/>
      <c r="Q221" s="397"/>
      <c r="R221" s="395"/>
      <c r="S221" s="398"/>
      <c r="T221" s="399"/>
      <c r="U221" s="11"/>
      <c r="V221" s="11"/>
      <c r="W221" s="11"/>
      <c r="X221" s="11"/>
      <c r="Y221" s="11"/>
      <c r="Z221" s="402"/>
      <c r="AA221" s="402"/>
    </row>
    <row r="222" ht="13.5" customHeight="1">
      <c r="A222" s="11"/>
      <c r="B222" s="11"/>
      <c r="C222" s="403" t="s">
        <v>114</v>
      </c>
      <c r="D222" s="280"/>
      <c r="E222" s="280"/>
      <c r="F222" s="280"/>
      <c r="G222" s="280"/>
      <c r="H222" s="280"/>
      <c r="I222" s="280"/>
      <c r="J222" s="280"/>
      <c r="K222" s="280"/>
      <c r="L222" s="281"/>
      <c r="M222" s="403" t="s">
        <v>108</v>
      </c>
      <c r="N222" s="280"/>
      <c r="O222" s="280"/>
      <c r="P222" s="280"/>
      <c r="Q222" s="280"/>
      <c r="R222" s="281"/>
      <c r="S222" s="398"/>
      <c r="T222" s="399"/>
      <c r="U222" s="11"/>
      <c r="V222" s="11"/>
      <c r="W222" s="11"/>
      <c r="X222" s="11"/>
      <c r="Y222" s="11"/>
      <c r="Z222" s="402"/>
      <c r="AA222" s="402"/>
    </row>
    <row r="223" ht="13.5" customHeight="1">
      <c r="A223" s="11"/>
      <c r="B223" s="11"/>
      <c r="C223" s="404" t="s">
        <v>35</v>
      </c>
      <c r="D223" s="405" t="s">
        <v>24</v>
      </c>
      <c r="E223" s="405" t="s">
        <v>25</v>
      </c>
      <c r="F223" s="405" t="s">
        <v>36</v>
      </c>
      <c r="G223" s="406" t="s">
        <v>37</v>
      </c>
      <c r="H223" s="405"/>
      <c r="I223" s="407" t="s">
        <v>26</v>
      </c>
      <c r="J223" s="408" t="s">
        <v>27</v>
      </c>
      <c r="K223" s="409" t="s">
        <v>109</v>
      </c>
      <c r="L223" s="409" t="s">
        <v>110</v>
      </c>
      <c r="M223" s="404" t="s">
        <v>35</v>
      </c>
      <c r="N223" s="405" t="s">
        <v>24</v>
      </c>
      <c r="O223" s="405" t="s">
        <v>25</v>
      </c>
      <c r="P223" s="410" t="s">
        <v>111</v>
      </c>
      <c r="Q223" s="281"/>
      <c r="R223" s="409" t="s">
        <v>112</v>
      </c>
      <c r="S223" s="398"/>
      <c r="T223" s="399"/>
      <c r="U223" s="11"/>
      <c r="V223" s="11"/>
      <c r="W223" s="11"/>
      <c r="X223" s="11"/>
      <c r="Y223" s="11"/>
      <c r="Z223" s="402"/>
      <c r="AA223" s="402"/>
    </row>
    <row r="224" ht="13.5" customHeight="1">
      <c r="A224" s="11"/>
      <c r="B224" s="11"/>
      <c r="C224" s="86">
        <v>0.018</v>
      </c>
      <c r="D224" s="87">
        <v>0.145</v>
      </c>
      <c r="E224" s="88">
        <v>6.0</v>
      </c>
      <c r="F224" s="156">
        <f>C224*D224*E224</f>
        <v>0.01566</v>
      </c>
      <c r="G224" s="156">
        <f>D224*E224</f>
        <v>0.87</v>
      </c>
      <c r="H224" s="240">
        <v>427.02</v>
      </c>
      <c r="I224" s="158">
        <f>ROUND(H224*1.063,0)</f>
        <v>454</v>
      </c>
      <c r="J224" s="159">
        <f>ROUND((I224*0.992)*1.21,0)*(C224*D224*E224)</f>
        <v>8.5347</v>
      </c>
      <c r="K224" s="411">
        <v>24.0</v>
      </c>
      <c r="L224" s="412">
        <f t="shared" ref="L224:L232" si="195">I224*((C224*D224*E224)*K224)</f>
        <v>170.63136</v>
      </c>
      <c r="M224" s="412">
        <f t="shared" ref="M224:M232" si="196">IF(C224=0,0,C224*MAX(1,ROUNDUP(K224/INT(1.1/D224),0)))</f>
        <v>0.072</v>
      </c>
      <c r="N224" s="413">
        <f t="shared" ref="N224:N232" si="197">IF(D224=0,0,IF(D224*K224&lt;=1.1,D224*K224,INT(1.1/D224)*D224))</f>
        <v>1.015</v>
      </c>
      <c r="O224" s="412">
        <f t="shared" ref="O224:O232" si="198">E224</f>
        <v>6</v>
      </c>
      <c r="P224" s="414">
        <f t="shared" ref="P224:P232" si="199">ROUND((C224*D224*E224)*K224,2)</f>
        <v>0.38</v>
      </c>
      <c r="Q224" s="281"/>
      <c r="R224" s="412">
        <f t="shared" ref="R224:R232" si="200">P224*480</f>
        <v>182.4</v>
      </c>
      <c r="S224" s="398"/>
      <c r="T224" s="399"/>
      <c r="U224" s="38"/>
      <c r="V224" s="11"/>
      <c r="W224" s="38"/>
      <c r="X224" s="11"/>
      <c r="Y224" s="11"/>
      <c r="Z224" s="402"/>
      <c r="AA224" s="402"/>
    </row>
    <row r="225" ht="13.5" customHeight="1">
      <c r="A225" s="11"/>
      <c r="B225" s="11"/>
      <c r="C225" s="238"/>
      <c r="D225" s="239"/>
      <c r="E225" s="245"/>
      <c r="F225" s="156"/>
      <c r="G225" s="156"/>
      <c r="H225" s="332"/>
      <c r="I225" s="158"/>
      <c r="J225" s="159"/>
      <c r="K225" s="411"/>
      <c r="L225" s="412">
        <f t="shared" si="195"/>
        <v>0</v>
      </c>
      <c r="M225" s="412">
        <f t="shared" si="196"/>
        <v>0</v>
      </c>
      <c r="N225" s="413">
        <f t="shared" si="197"/>
        <v>0</v>
      </c>
      <c r="O225" s="412" t="str">
        <f t="shared" si="198"/>
        <v/>
      </c>
      <c r="P225" s="414">
        <f t="shared" si="199"/>
        <v>0</v>
      </c>
      <c r="Q225" s="281"/>
      <c r="R225" s="412">
        <f t="shared" si="200"/>
        <v>0</v>
      </c>
      <c r="S225" s="398"/>
      <c r="T225" s="399"/>
      <c r="U225" s="38"/>
      <c r="V225" s="11"/>
      <c r="W225" s="38"/>
      <c r="X225" s="11"/>
      <c r="Y225" s="11"/>
      <c r="Z225" s="402"/>
      <c r="AA225" s="402"/>
    </row>
    <row r="226" ht="13.5" customHeight="1">
      <c r="A226" s="11"/>
      <c r="B226" s="11"/>
      <c r="C226" s="334"/>
      <c r="D226" s="335"/>
      <c r="E226" s="273"/>
      <c r="F226" s="184"/>
      <c r="G226" s="184"/>
      <c r="H226" s="336"/>
      <c r="I226" s="337"/>
      <c r="J226" s="338"/>
      <c r="K226" s="411"/>
      <c r="L226" s="412">
        <f t="shared" si="195"/>
        <v>0</v>
      </c>
      <c r="M226" s="412">
        <f t="shared" si="196"/>
        <v>0</v>
      </c>
      <c r="N226" s="413">
        <f t="shared" si="197"/>
        <v>0</v>
      </c>
      <c r="O226" s="412" t="str">
        <f t="shared" si="198"/>
        <v/>
      </c>
      <c r="P226" s="414">
        <f t="shared" si="199"/>
        <v>0</v>
      </c>
      <c r="Q226" s="281"/>
      <c r="R226" s="412">
        <f t="shared" si="200"/>
        <v>0</v>
      </c>
      <c r="S226" s="398"/>
      <c r="T226" s="399"/>
      <c r="U226" s="11"/>
      <c r="V226" s="11"/>
      <c r="W226" s="11"/>
      <c r="X226" s="11"/>
      <c r="Y226" s="11"/>
      <c r="Z226" s="402"/>
      <c r="AA226" s="402"/>
    </row>
    <row r="227" ht="13.5" customHeight="1">
      <c r="A227" s="11"/>
      <c r="B227" s="11"/>
      <c r="C227" s="249"/>
      <c r="D227" s="87"/>
      <c r="E227" s="155"/>
      <c r="F227" s="156"/>
      <c r="G227" s="156"/>
      <c r="H227" s="240"/>
      <c r="I227" s="158"/>
      <c r="J227" s="159"/>
      <c r="K227" s="411"/>
      <c r="L227" s="412">
        <f t="shared" si="195"/>
        <v>0</v>
      </c>
      <c r="M227" s="412">
        <f t="shared" si="196"/>
        <v>0</v>
      </c>
      <c r="N227" s="413">
        <f t="shared" si="197"/>
        <v>0</v>
      </c>
      <c r="O227" s="412" t="str">
        <f t="shared" si="198"/>
        <v/>
      </c>
      <c r="P227" s="414">
        <f t="shared" si="199"/>
        <v>0</v>
      </c>
      <c r="Q227" s="281"/>
      <c r="R227" s="412">
        <f t="shared" si="200"/>
        <v>0</v>
      </c>
      <c r="S227" s="398"/>
      <c r="T227" s="399"/>
      <c r="U227" s="11"/>
      <c r="V227" s="11"/>
      <c r="W227" s="11"/>
      <c r="X227" s="11"/>
      <c r="Y227" s="11"/>
      <c r="Z227" s="402"/>
      <c r="AA227" s="402"/>
    </row>
    <row r="228" ht="13.5" customHeight="1">
      <c r="A228" s="11"/>
      <c r="B228" s="11"/>
      <c r="C228" s="86"/>
      <c r="D228" s="170"/>
      <c r="E228" s="155"/>
      <c r="F228" s="156"/>
      <c r="G228" s="156"/>
      <c r="H228" s="240"/>
      <c r="I228" s="158"/>
      <c r="J228" s="159"/>
      <c r="K228" s="411"/>
      <c r="L228" s="412">
        <f t="shared" si="195"/>
        <v>0</v>
      </c>
      <c r="M228" s="412">
        <f t="shared" si="196"/>
        <v>0</v>
      </c>
      <c r="N228" s="413">
        <f t="shared" si="197"/>
        <v>0</v>
      </c>
      <c r="O228" s="412" t="str">
        <f t="shared" si="198"/>
        <v/>
      </c>
      <c r="P228" s="414">
        <f t="shared" si="199"/>
        <v>0</v>
      </c>
      <c r="Q228" s="281"/>
      <c r="R228" s="412">
        <f t="shared" si="200"/>
        <v>0</v>
      </c>
      <c r="S228" s="398"/>
      <c r="T228" s="399"/>
      <c r="U228" s="11"/>
      <c r="V228" s="11"/>
      <c r="W228" s="11"/>
      <c r="X228" s="11"/>
      <c r="Y228" s="11"/>
      <c r="Z228" s="402"/>
      <c r="AA228" s="402"/>
    </row>
    <row r="229" ht="13.5" customHeight="1">
      <c r="A229" s="11"/>
      <c r="B229" s="11"/>
      <c r="C229" s="86"/>
      <c r="D229" s="87"/>
      <c r="E229" s="88"/>
      <c r="F229" s="156"/>
      <c r="G229" s="156"/>
      <c r="H229" s="240"/>
      <c r="I229" s="158"/>
      <c r="J229" s="159"/>
      <c r="K229" s="411"/>
      <c r="L229" s="412">
        <f t="shared" si="195"/>
        <v>0</v>
      </c>
      <c r="M229" s="412">
        <f t="shared" si="196"/>
        <v>0</v>
      </c>
      <c r="N229" s="413">
        <f t="shared" si="197"/>
        <v>0</v>
      </c>
      <c r="O229" s="412" t="str">
        <f t="shared" si="198"/>
        <v/>
      </c>
      <c r="P229" s="414">
        <f t="shared" si="199"/>
        <v>0</v>
      </c>
      <c r="Q229" s="281"/>
      <c r="R229" s="412">
        <f t="shared" si="200"/>
        <v>0</v>
      </c>
      <c r="S229" s="398"/>
      <c r="T229" s="399"/>
      <c r="U229" s="11"/>
      <c r="V229" s="11"/>
      <c r="W229" s="11"/>
      <c r="X229" s="11"/>
      <c r="Y229" s="11"/>
      <c r="Z229" s="402"/>
      <c r="AA229" s="402"/>
    </row>
    <row r="230" ht="13.5" customHeight="1">
      <c r="A230" s="11"/>
      <c r="B230" s="11"/>
      <c r="C230" s="238"/>
      <c r="D230" s="239"/>
      <c r="E230" s="245"/>
      <c r="F230" s="156"/>
      <c r="G230" s="156"/>
      <c r="H230" s="157"/>
      <c r="I230" s="158"/>
      <c r="J230" s="159"/>
      <c r="K230" s="411"/>
      <c r="L230" s="412">
        <f t="shared" si="195"/>
        <v>0</v>
      </c>
      <c r="M230" s="412">
        <f t="shared" si="196"/>
        <v>0</v>
      </c>
      <c r="N230" s="413">
        <f t="shared" si="197"/>
        <v>0</v>
      </c>
      <c r="O230" s="412" t="str">
        <f t="shared" si="198"/>
        <v/>
      </c>
      <c r="P230" s="414">
        <f t="shared" si="199"/>
        <v>0</v>
      </c>
      <c r="Q230" s="281"/>
      <c r="R230" s="412">
        <f t="shared" si="200"/>
        <v>0</v>
      </c>
      <c r="S230" s="398"/>
      <c r="T230" s="399"/>
      <c r="U230" s="11"/>
      <c r="V230" s="11"/>
      <c r="W230" s="11"/>
      <c r="X230" s="11"/>
      <c r="Y230" s="11"/>
      <c r="Z230" s="402"/>
      <c r="AA230" s="402"/>
    </row>
    <row r="231" ht="13.5" customHeight="1">
      <c r="A231" s="11"/>
      <c r="B231" s="11"/>
      <c r="C231" s="249"/>
      <c r="D231" s="170"/>
      <c r="E231" s="155"/>
      <c r="F231" s="156"/>
      <c r="G231" s="156"/>
      <c r="H231" s="240"/>
      <c r="I231" s="158"/>
      <c r="J231" s="159"/>
      <c r="K231" s="420"/>
      <c r="L231" s="412">
        <f t="shared" si="195"/>
        <v>0</v>
      </c>
      <c r="M231" s="412">
        <f t="shared" si="196"/>
        <v>0</v>
      </c>
      <c r="N231" s="413">
        <f t="shared" si="197"/>
        <v>0</v>
      </c>
      <c r="O231" s="412" t="str">
        <f t="shared" si="198"/>
        <v/>
      </c>
      <c r="P231" s="414">
        <f t="shared" si="199"/>
        <v>0</v>
      </c>
      <c r="Q231" s="281"/>
      <c r="R231" s="412">
        <f t="shared" si="200"/>
        <v>0</v>
      </c>
      <c r="S231" s="398"/>
      <c r="T231" s="399"/>
      <c r="U231" s="11"/>
      <c r="V231" s="11"/>
      <c r="W231" s="11"/>
      <c r="X231" s="11"/>
      <c r="Y231" s="11"/>
      <c r="Z231" s="402"/>
      <c r="AA231" s="402"/>
    </row>
    <row r="232" ht="13.5" customHeight="1">
      <c r="A232" s="11"/>
      <c r="B232" s="11"/>
      <c r="C232" s="249"/>
      <c r="D232" s="170"/>
      <c r="E232" s="155"/>
      <c r="F232" s="156"/>
      <c r="G232" s="156"/>
      <c r="H232" s="240"/>
      <c r="I232" s="158"/>
      <c r="J232" s="159"/>
      <c r="K232" s="420"/>
      <c r="L232" s="412">
        <f t="shared" si="195"/>
        <v>0</v>
      </c>
      <c r="M232" s="412">
        <f t="shared" si="196"/>
        <v>0</v>
      </c>
      <c r="N232" s="413">
        <f t="shared" si="197"/>
        <v>0</v>
      </c>
      <c r="O232" s="412" t="str">
        <f t="shared" si="198"/>
        <v/>
      </c>
      <c r="P232" s="414">
        <f t="shared" si="199"/>
        <v>0</v>
      </c>
      <c r="Q232" s="281"/>
      <c r="R232" s="412">
        <f t="shared" si="200"/>
        <v>0</v>
      </c>
      <c r="S232" s="398"/>
      <c r="T232" s="399"/>
      <c r="U232" s="11"/>
      <c r="V232" s="11"/>
      <c r="W232" s="11"/>
      <c r="X232" s="11"/>
      <c r="Y232" s="11"/>
      <c r="Z232" s="402"/>
      <c r="AA232" s="402"/>
    </row>
    <row r="233" ht="13.5" customHeight="1">
      <c r="A233" s="11"/>
      <c r="B233" s="11"/>
      <c r="C233" s="421" t="s">
        <v>13</v>
      </c>
      <c r="D233" s="280"/>
      <c r="E233" s="280"/>
      <c r="F233" s="280"/>
      <c r="G233" s="280"/>
      <c r="H233" s="280"/>
      <c r="I233" s="280"/>
      <c r="J233" s="280"/>
      <c r="K233" s="281"/>
      <c r="L233" s="422">
        <f t="shared" ref="L233:M233" si="201">SUM(L224:L232)</f>
        <v>170.63136</v>
      </c>
      <c r="M233" s="422">
        <f t="shared" si="201"/>
        <v>0.072</v>
      </c>
      <c r="N233" s="423">
        <f t="shared" ref="N233:O233" si="202">MAX(N224:N232)</f>
        <v>1.015</v>
      </c>
      <c r="O233" s="422">
        <f t="shared" si="202"/>
        <v>6</v>
      </c>
      <c r="P233" s="424">
        <f>SUM(P224:P232)</f>
        <v>0.38</v>
      </c>
      <c r="Q233" s="281"/>
      <c r="R233" s="422">
        <f>SUM(R224:R232)</f>
        <v>182.4</v>
      </c>
      <c r="S233" s="398"/>
      <c r="T233" s="399"/>
      <c r="U233" s="11"/>
      <c r="V233" s="11"/>
      <c r="W233" s="11"/>
      <c r="X233" s="11"/>
      <c r="Y233" s="11"/>
      <c r="Z233" s="402"/>
      <c r="AA233" s="402"/>
    </row>
    <row r="234" ht="13.5" customHeight="1">
      <c r="A234" s="11"/>
      <c r="B234" s="11"/>
      <c r="C234" s="11"/>
      <c r="D234" s="11"/>
      <c r="E234" s="11"/>
      <c r="F234" s="253"/>
      <c r="G234" s="253"/>
      <c r="H234" s="11"/>
      <c r="I234" s="429"/>
      <c r="J234" s="427"/>
      <c r="K234" s="430" t="s">
        <v>113</v>
      </c>
      <c r="L234" s="426"/>
      <c r="M234" s="11"/>
      <c r="N234" s="11"/>
      <c r="O234" s="71"/>
      <c r="P234" s="427"/>
      <c r="Q234" s="397"/>
      <c r="R234" s="395"/>
      <c r="S234" s="398"/>
      <c r="T234" s="399"/>
      <c r="U234" s="11"/>
      <c r="V234" s="11"/>
      <c r="W234" s="11"/>
      <c r="X234" s="11"/>
      <c r="Y234" s="11"/>
      <c r="Z234" s="402"/>
      <c r="AA234" s="402"/>
    </row>
    <row r="235" ht="13.5" customHeight="1">
      <c r="A235" s="11"/>
      <c r="B235" s="11"/>
      <c r="C235" s="11"/>
      <c r="D235" s="11"/>
      <c r="E235" s="11"/>
      <c r="F235" s="253"/>
      <c r="G235" s="253"/>
      <c r="H235" s="11"/>
      <c r="I235" s="429"/>
      <c r="J235" s="427"/>
      <c r="K235" s="430" t="s">
        <v>115</v>
      </c>
      <c r="L235" s="431">
        <f>L233+L234</f>
        <v>170.63136</v>
      </c>
      <c r="M235" s="11"/>
      <c r="N235" s="11"/>
      <c r="O235" s="71"/>
      <c r="P235" s="427"/>
      <c r="Q235" s="397"/>
      <c r="R235" s="395"/>
      <c r="S235" s="398"/>
      <c r="T235" s="399"/>
      <c r="U235" s="11"/>
      <c r="V235" s="11"/>
      <c r="W235" s="11"/>
      <c r="X235" s="11"/>
      <c r="Y235" s="11"/>
      <c r="Z235" s="402"/>
      <c r="AA235" s="402"/>
    </row>
    <row r="236" ht="13.5" customHeight="1">
      <c r="A236" s="11"/>
      <c r="B236" s="11"/>
      <c r="C236" s="11"/>
      <c r="D236" s="11"/>
      <c r="E236" s="11"/>
      <c r="F236" s="253"/>
      <c r="G236" s="253"/>
      <c r="H236" s="11"/>
      <c r="I236" s="429"/>
      <c r="J236" s="427"/>
      <c r="K236" s="395"/>
      <c r="L236" s="431"/>
      <c r="M236" s="11"/>
      <c r="N236" s="11"/>
      <c r="O236" s="71"/>
      <c r="P236" s="427"/>
      <c r="Q236" s="397"/>
      <c r="R236" s="395"/>
      <c r="S236" s="398"/>
      <c r="T236" s="399"/>
      <c r="U236" s="11"/>
      <c r="V236" s="11"/>
      <c r="W236" s="11"/>
      <c r="X236" s="11"/>
      <c r="Y236" s="11"/>
      <c r="Z236" s="402"/>
      <c r="AA236" s="402"/>
    </row>
    <row r="237" ht="13.5" customHeight="1">
      <c r="A237" s="11"/>
      <c r="B237" s="11"/>
      <c r="C237" s="403" t="s">
        <v>107</v>
      </c>
      <c r="D237" s="280"/>
      <c r="E237" s="280"/>
      <c r="F237" s="280"/>
      <c r="G237" s="280"/>
      <c r="H237" s="280"/>
      <c r="I237" s="280"/>
      <c r="J237" s="280"/>
      <c r="K237" s="280"/>
      <c r="L237" s="281"/>
      <c r="M237" s="403" t="s">
        <v>108</v>
      </c>
      <c r="N237" s="280"/>
      <c r="O237" s="280"/>
      <c r="P237" s="280"/>
      <c r="Q237" s="280"/>
      <c r="R237" s="281"/>
      <c r="S237" s="398"/>
      <c r="T237" s="399"/>
      <c r="U237" s="11"/>
      <c r="V237" s="11"/>
      <c r="W237" s="11"/>
      <c r="X237" s="11"/>
      <c r="Y237" s="11"/>
      <c r="Z237" s="402"/>
      <c r="AA237" s="402"/>
    </row>
    <row r="238" ht="13.5" customHeight="1">
      <c r="A238" s="11"/>
      <c r="B238" s="11"/>
      <c r="C238" s="404" t="s">
        <v>35</v>
      </c>
      <c r="D238" s="405" t="s">
        <v>24</v>
      </c>
      <c r="E238" s="405" t="s">
        <v>25</v>
      </c>
      <c r="F238" s="405" t="s">
        <v>36</v>
      </c>
      <c r="G238" s="406" t="s">
        <v>37</v>
      </c>
      <c r="H238" s="405"/>
      <c r="I238" s="407" t="s">
        <v>26</v>
      </c>
      <c r="J238" s="408" t="s">
        <v>27</v>
      </c>
      <c r="K238" s="409" t="s">
        <v>109</v>
      </c>
      <c r="L238" s="409" t="s">
        <v>110</v>
      </c>
      <c r="M238" s="404" t="s">
        <v>35</v>
      </c>
      <c r="N238" s="405" t="s">
        <v>24</v>
      </c>
      <c r="O238" s="405" t="s">
        <v>25</v>
      </c>
      <c r="P238" s="410" t="s">
        <v>111</v>
      </c>
      <c r="Q238" s="281"/>
      <c r="R238" s="409" t="s">
        <v>112</v>
      </c>
      <c r="S238" s="398"/>
      <c r="T238" s="399"/>
      <c r="U238" s="11"/>
      <c r="V238" s="11"/>
      <c r="W238" s="11"/>
      <c r="X238" s="11"/>
      <c r="Y238" s="11"/>
      <c r="Z238" s="402"/>
      <c r="AA238" s="402"/>
    </row>
    <row r="239" ht="13.5" customHeight="1">
      <c r="A239" s="11"/>
      <c r="B239" s="11"/>
      <c r="C239" s="238"/>
      <c r="D239" s="239"/>
      <c r="E239" s="245"/>
      <c r="F239" s="156"/>
      <c r="G239" s="156"/>
      <c r="H239" s="240"/>
      <c r="I239" s="158"/>
      <c r="J239" s="159"/>
      <c r="K239" s="411"/>
      <c r="L239" s="412">
        <f t="shared" ref="L239:L247" si="203">IF($P$248&gt;=1,I239*((C239*D239*E239)*K239),J239*K239)</f>
        <v>0</v>
      </c>
      <c r="M239" s="412">
        <f t="shared" ref="M239:M247" si="204">IF(C239=0,0,C239*MAX(1,ROUNDUP(K239/INT(1.1/D239),0)))</f>
        <v>0</v>
      </c>
      <c r="N239" s="413">
        <f t="shared" ref="N239:N247" si="205">IF(D239=0,0,IF(D239*K239&lt;=1.1,D239*K239,INT(1.1/D239)*D239))</f>
        <v>0</v>
      </c>
      <c r="O239" s="412" t="str">
        <f t="shared" ref="O239:O247" si="206">E239</f>
        <v/>
      </c>
      <c r="P239" s="414">
        <f t="shared" ref="P239:P247" si="207">ROUND((C239*D239*E239)*K239,2)</f>
        <v>0</v>
      </c>
      <c r="Q239" s="281"/>
      <c r="R239" s="412">
        <f t="shared" ref="R239:R247" si="208">P239*480</f>
        <v>0</v>
      </c>
      <c r="S239" s="398"/>
      <c r="T239" s="399"/>
      <c r="U239" s="11"/>
      <c r="V239" s="11"/>
      <c r="W239" s="11"/>
      <c r="X239" s="11"/>
      <c r="Y239" s="11"/>
      <c r="Z239" s="402"/>
      <c r="AA239" s="402"/>
    </row>
    <row r="240" ht="13.5" customHeight="1">
      <c r="A240" s="11"/>
      <c r="B240" s="11"/>
      <c r="C240" s="238"/>
      <c r="D240" s="239"/>
      <c r="E240" s="245"/>
      <c r="F240" s="156"/>
      <c r="G240" s="156"/>
      <c r="H240" s="240"/>
      <c r="I240" s="158"/>
      <c r="J240" s="159"/>
      <c r="K240" s="411"/>
      <c r="L240" s="412">
        <f t="shared" si="203"/>
        <v>0</v>
      </c>
      <c r="M240" s="412">
        <f t="shared" si="204"/>
        <v>0</v>
      </c>
      <c r="N240" s="413">
        <f t="shared" si="205"/>
        <v>0</v>
      </c>
      <c r="O240" s="412" t="str">
        <f t="shared" si="206"/>
        <v/>
      </c>
      <c r="P240" s="414">
        <f t="shared" si="207"/>
        <v>0</v>
      </c>
      <c r="Q240" s="281"/>
      <c r="R240" s="412">
        <f t="shared" si="208"/>
        <v>0</v>
      </c>
      <c r="S240" s="398"/>
      <c r="T240" s="399"/>
      <c r="U240" s="11"/>
      <c r="V240" s="11"/>
      <c r="W240" s="11"/>
      <c r="X240" s="11"/>
      <c r="Y240" s="11"/>
      <c r="Z240" s="402"/>
      <c r="AA240" s="402"/>
    </row>
    <row r="241" ht="13.5" customHeight="1">
      <c r="A241" s="11"/>
      <c r="B241" s="11"/>
      <c r="C241" s="238"/>
      <c r="D241" s="239"/>
      <c r="E241" s="245"/>
      <c r="F241" s="156"/>
      <c r="G241" s="156"/>
      <c r="H241" s="240"/>
      <c r="I241" s="158"/>
      <c r="J241" s="159"/>
      <c r="K241" s="411"/>
      <c r="L241" s="412">
        <f t="shared" si="203"/>
        <v>0</v>
      </c>
      <c r="M241" s="412">
        <f t="shared" si="204"/>
        <v>0</v>
      </c>
      <c r="N241" s="413">
        <f t="shared" si="205"/>
        <v>0</v>
      </c>
      <c r="O241" s="412" t="str">
        <f t="shared" si="206"/>
        <v/>
      </c>
      <c r="P241" s="414">
        <f t="shared" si="207"/>
        <v>0</v>
      </c>
      <c r="Q241" s="281"/>
      <c r="R241" s="412">
        <f t="shared" si="208"/>
        <v>0</v>
      </c>
      <c r="S241" s="398"/>
      <c r="T241" s="399"/>
      <c r="U241" s="11"/>
      <c r="V241" s="11"/>
      <c r="W241" s="11"/>
      <c r="X241" s="11"/>
      <c r="Y241" s="11"/>
      <c r="Z241" s="402"/>
      <c r="AA241" s="402"/>
    </row>
    <row r="242" ht="13.5" customHeight="1">
      <c r="A242" s="11"/>
      <c r="B242" s="11"/>
      <c r="C242" s="238"/>
      <c r="D242" s="239"/>
      <c r="E242" s="245"/>
      <c r="F242" s="156"/>
      <c r="G242" s="156"/>
      <c r="H242" s="240"/>
      <c r="I242" s="316"/>
      <c r="J242" s="159"/>
      <c r="K242" s="411"/>
      <c r="L242" s="412">
        <f t="shared" si="203"/>
        <v>0</v>
      </c>
      <c r="M242" s="412">
        <f t="shared" si="204"/>
        <v>0</v>
      </c>
      <c r="N242" s="413">
        <f t="shared" si="205"/>
        <v>0</v>
      </c>
      <c r="O242" s="412" t="str">
        <f t="shared" si="206"/>
        <v/>
      </c>
      <c r="P242" s="414">
        <f t="shared" si="207"/>
        <v>0</v>
      </c>
      <c r="Q242" s="281"/>
      <c r="R242" s="412">
        <f t="shared" si="208"/>
        <v>0</v>
      </c>
      <c r="S242" s="398"/>
      <c r="T242" s="399"/>
      <c r="U242" s="11"/>
      <c r="V242" s="11"/>
      <c r="W242" s="11"/>
      <c r="X242" s="11"/>
      <c r="Y242" s="11"/>
      <c r="Z242" s="402"/>
      <c r="AA242" s="402"/>
    </row>
    <row r="243" ht="13.5" customHeight="1">
      <c r="A243" s="11"/>
      <c r="B243" s="11"/>
      <c r="C243" s="238"/>
      <c r="D243" s="239"/>
      <c r="E243" s="245"/>
      <c r="F243" s="156"/>
      <c r="G243" s="156"/>
      <c r="H243" s="240"/>
      <c r="I243" s="316"/>
      <c r="J243" s="159"/>
      <c r="K243" s="411"/>
      <c r="L243" s="412">
        <f t="shared" si="203"/>
        <v>0</v>
      </c>
      <c r="M243" s="412">
        <f t="shared" si="204"/>
        <v>0</v>
      </c>
      <c r="N243" s="413">
        <f t="shared" si="205"/>
        <v>0</v>
      </c>
      <c r="O243" s="412" t="str">
        <f t="shared" si="206"/>
        <v/>
      </c>
      <c r="P243" s="414">
        <f t="shared" si="207"/>
        <v>0</v>
      </c>
      <c r="Q243" s="281"/>
      <c r="R243" s="412">
        <f t="shared" si="208"/>
        <v>0</v>
      </c>
      <c r="S243" s="398"/>
      <c r="T243" s="399"/>
      <c r="U243" s="11"/>
      <c r="V243" s="11"/>
      <c r="W243" s="11"/>
      <c r="X243" s="11"/>
      <c r="Y243" s="11"/>
      <c r="Z243" s="402"/>
      <c r="AA243" s="402"/>
    </row>
    <row r="244" ht="13.5" customHeight="1">
      <c r="A244" s="11"/>
      <c r="B244" s="11"/>
      <c r="C244" s="238"/>
      <c r="D244" s="239"/>
      <c r="E244" s="245"/>
      <c r="F244" s="156"/>
      <c r="G244" s="156"/>
      <c r="H244" s="240"/>
      <c r="I244" s="158"/>
      <c r="J244" s="159"/>
      <c r="K244" s="411"/>
      <c r="L244" s="412">
        <f t="shared" si="203"/>
        <v>0</v>
      </c>
      <c r="M244" s="412">
        <f t="shared" si="204"/>
        <v>0</v>
      </c>
      <c r="N244" s="413">
        <f t="shared" si="205"/>
        <v>0</v>
      </c>
      <c r="O244" s="412" t="str">
        <f t="shared" si="206"/>
        <v/>
      </c>
      <c r="P244" s="414">
        <f t="shared" si="207"/>
        <v>0</v>
      </c>
      <c r="Q244" s="281"/>
      <c r="R244" s="412">
        <f t="shared" si="208"/>
        <v>0</v>
      </c>
      <c r="S244" s="398"/>
      <c r="T244" s="399"/>
      <c r="U244" s="11"/>
      <c r="V244" s="11"/>
      <c r="W244" s="11"/>
      <c r="X244" s="11"/>
      <c r="Y244" s="11"/>
      <c r="Z244" s="402"/>
      <c r="AA244" s="402"/>
    </row>
    <row r="245" ht="13.5" customHeight="1">
      <c r="A245" s="11"/>
      <c r="B245" s="11"/>
      <c r="C245" s="238"/>
      <c r="D245" s="239"/>
      <c r="E245" s="245"/>
      <c r="F245" s="156"/>
      <c r="G245" s="156"/>
      <c r="H245" s="240"/>
      <c r="I245" s="158"/>
      <c r="J245" s="159"/>
      <c r="K245" s="411"/>
      <c r="L245" s="412">
        <f t="shared" si="203"/>
        <v>0</v>
      </c>
      <c r="M245" s="412">
        <f t="shared" si="204"/>
        <v>0</v>
      </c>
      <c r="N245" s="413">
        <f t="shared" si="205"/>
        <v>0</v>
      </c>
      <c r="O245" s="412" t="str">
        <f t="shared" si="206"/>
        <v/>
      </c>
      <c r="P245" s="414">
        <f t="shared" si="207"/>
        <v>0</v>
      </c>
      <c r="Q245" s="281"/>
      <c r="R245" s="412">
        <f t="shared" si="208"/>
        <v>0</v>
      </c>
      <c r="S245" s="398"/>
      <c r="T245" s="399"/>
      <c r="U245" s="11"/>
      <c r="V245" s="11"/>
      <c r="W245" s="11"/>
      <c r="X245" s="11"/>
      <c r="Y245" s="11"/>
      <c r="Z245" s="402"/>
      <c r="AA245" s="402"/>
    </row>
    <row r="246" ht="13.5" customHeight="1">
      <c r="A246" s="11"/>
      <c r="B246" s="11"/>
      <c r="C246" s="238"/>
      <c r="D246" s="239"/>
      <c r="E246" s="245"/>
      <c r="F246" s="156"/>
      <c r="G246" s="156"/>
      <c r="H246" s="240"/>
      <c r="I246" s="158"/>
      <c r="J246" s="159"/>
      <c r="K246" s="411"/>
      <c r="L246" s="412">
        <f t="shared" si="203"/>
        <v>0</v>
      </c>
      <c r="M246" s="412">
        <f t="shared" si="204"/>
        <v>0</v>
      </c>
      <c r="N246" s="413">
        <f t="shared" si="205"/>
        <v>0</v>
      </c>
      <c r="O246" s="412" t="str">
        <f t="shared" si="206"/>
        <v/>
      </c>
      <c r="P246" s="414">
        <f t="shared" si="207"/>
        <v>0</v>
      </c>
      <c r="Q246" s="281"/>
      <c r="R246" s="412">
        <f t="shared" si="208"/>
        <v>0</v>
      </c>
      <c r="S246" s="398"/>
      <c r="T246" s="399"/>
      <c r="U246" s="11"/>
      <c r="V246" s="11"/>
      <c r="W246" s="11"/>
      <c r="X246" s="11"/>
      <c r="Y246" s="11"/>
      <c r="Z246" s="402"/>
      <c r="AA246" s="402"/>
    </row>
    <row r="247" ht="13.5" customHeight="1">
      <c r="A247" s="11"/>
      <c r="B247" s="11"/>
      <c r="C247" s="238"/>
      <c r="D247" s="239"/>
      <c r="E247" s="245"/>
      <c r="F247" s="156"/>
      <c r="G247" s="156"/>
      <c r="H247" s="240"/>
      <c r="I247" s="158"/>
      <c r="J247" s="159"/>
      <c r="K247" s="411"/>
      <c r="L247" s="412">
        <f t="shared" si="203"/>
        <v>0</v>
      </c>
      <c r="M247" s="412">
        <f t="shared" si="204"/>
        <v>0</v>
      </c>
      <c r="N247" s="413">
        <f t="shared" si="205"/>
        <v>0</v>
      </c>
      <c r="O247" s="412" t="str">
        <f t="shared" si="206"/>
        <v/>
      </c>
      <c r="P247" s="414">
        <f t="shared" si="207"/>
        <v>0</v>
      </c>
      <c r="Q247" s="281"/>
      <c r="R247" s="412">
        <f t="shared" si="208"/>
        <v>0</v>
      </c>
      <c r="S247" s="398"/>
      <c r="T247" s="399"/>
      <c r="U247" s="11"/>
      <c r="V247" s="11"/>
      <c r="W247" s="11"/>
      <c r="X247" s="11"/>
      <c r="Y247" s="11"/>
      <c r="Z247" s="402"/>
      <c r="AA247" s="402"/>
    </row>
    <row r="248" ht="13.5" customHeight="1">
      <c r="A248" s="11"/>
      <c r="B248" s="11"/>
      <c r="C248" s="421" t="s">
        <v>13</v>
      </c>
      <c r="D248" s="280"/>
      <c r="E248" s="280"/>
      <c r="F248" s="280"/>
      <c r="G248" s="280"/>
      <c r="H248" s="280"/>
      <c r="I248" s="280"/>
      <c r="J248" s="280"/>
      <c r="K248" s="281"/>
      <c r="L248" s="422">
        <f t="shared" ref="L248:M248" si="209">SUM(L239:L247)</f>
        <v>0</v>
      </c>
      <c r="M248" s="422">
        <f t="shared" si="209"/>
        <v>0</v>
      </c>
      <c r="N248" s="423">
        <f t="shared" ref="N248:O248" si="210">MAX(N239:N247)</f>
        <v>0</v>
      </c>
      <c r="O248" s="422">
        <f t="shared" si="210"/>
        <v>0</v>
      </c>
      <c r="P248" s="424">
        <f>SUM(P239:P247)</f>
        <v>0</v>
      </c>
      <c r="Q248" s="281"/>
      <c r="R248" s="422">
        <f>SUM(R239:R247)</f>
        <v>0</v>
      </c>
      <c r="S248" s="398"/>
      <c r="T248" s="399"/>
      <c r="U248" s="11"/>
      <c r="V248" s="11"/>
      <c r="W248" s="11"/>
      <c r="X248" s="11"/>
      <c r="Y248" s="11"/>
      <c r="Z248" s="402"/>
      <c r="AA248" s="402"/>
    </row>
    <row r="249" ht="13.5" customHeight="1">
      <c r="A249" s="11"/>
      <c r="B249" s="11"/>
      <c r="C249" s="11"/>
      <c r="D249" s="11"/>
      <c r="E249" s="11"/>
      <c r="F249" s="253"/>
      <c r="G249" s="253"/>
      <c r="H249" s="11"/>
      <c r="I249" s="429"/>
      <c r="J249" s="427"/>
      <c r="K249" s="430" t="s">
        <v>113</v>
      </c>
      <c r="L249" s="426"/>
      <c r="M249" s="11"/>
      <c r="N249" s="11"/>
      <c r="O249" s="71"/>
      <c r="P249" s="427"/>
      <c r="Q249" s="397"/>
      <c r="R249" s="395"/>
      <c r="S249" s="398"/>
      <c r="T249" s="399"/>
      <c r="U249" s="11"/>
      <c r="V249" s="11"/>
      <c r="W249" s="11"/>
      <c r="X249" s="11"/>
      <c r="Y249" s="11"/>
      <c r="Z249" s="402"/>
      <c r="AA249" s="402"/>
    </row>
    <row r="250" ht="13.5" customHeight="1">
      <c r="A250" s="11"/>
      <c r="B250" s="11"/>
      <c r="C250" s="11"/>
      <c r="D250" s="11"/>
      <c r="E250" s="11"/>
      <c r="F250" s="253"/>
      <c r="G250" s="253"/>
      <c r="H250" s="38"/>
      <c r="I250" s="432"/>
      <c r="J250" s="433"/>
      <c r="K250" s="430" t="s">
        <v>115</v>
      </c>
      <c r="L250" s="431">
        <f>L248+L249</f>
        <v>0</v>
      </c>
      <c r="M250" s="38"/>
      <c r="N250" s="11"/>
      <c r="O250" s="71"/>
      <c r="P250" s="427"/>
      <c r="Q250" s="397"/>
      <c r="R250" s="395"/>
      <c r="S250" s="398"/>
      <c r="T250" s="399"/>
      <c r="U250" s="11"/>
      <c r="V250" s="11"/>
      <c r="W250" s="11"/>
      <c r="X250" s="11"/>
      <c r="Y250" s="11"/>
      <c r="Z250" s="402"/>
      <c r="AA250" s="402"/>
    </row>
    <row r="251" ht="13.5" customHeight="1">
      <c r="A251" s="11"/>
      <c r="B251" s="11"/>
      <c r="C251" s="434"/>
      <c r="D251" s="434"/>
      <c r="E251" s="435"/>
      <c r="F251" s="436"/>
      <c r="G251" s="436"/>
      <c r="H251" s="437"/>
      <c r="I251" s="438"/>
      <c r="J251" s="439"/>
      <c r="K251" s="440"/>
      <c r="L251" s="426"/>
      <c r="M251" s="11"/>
      <c r="N251" s="11"/>
      <c r="O251" s="71"/>
      <c r="P251" s="427"/>
      <c r="Q251" s="397"/>
      <c r="R251" s="395"/>
      <c r="S251" s="398"/>
      <c r="T251" s="399"/>
      <c r="U251" s="11"/>
      <c r="V251" s="11"/>
      <c r="W251" s="11"/>
      <c r="X251" s="11"/>
      <c r="Y251" s="11"/>
      <c r="Z251" s="402"/>
      <c r="AA251" s="402"/>
    </row>
    <row r="252" ht="13.5" customHeight="1">
      <c r="A252" s="11"/>
      <c r="B252" s="11"/>
      <c r="C252" s="434"/>
      <c r="D252" s="434"/>
      <c r="E252" s="435"/>
      <c r="F252" s="436"/>
      <c r="G252" s="436"/>
      <c r="H252" s="437"/>
      <c r="I252" s="438"/>
      <c r="J252" s="439"/>
      <c r="K252" s="440"/>
      <c r="L252" s="426"/>
      <c r="M252" s="11"/>
      <c r="N252" s="11"/>
      <c r="O252" s="71"/>
      <c r="P252" s="427"/>
      <c r="Q252" s="397"/>
      <c r="R252" s="395"/>
      <c r="S252" s="398"/>
      <c r="T252" s="399"/>
      <c r="U252" s="11"/>
      <c r="V252" s="11"/>
      <c r="W252" s="11"/>
      <c r="X252" s="11"/>
      <c r="Y252" s="11"/>
      <c r="Z252" s="402"/>
      <c r="AA252" s="402"/>
    </row>
    <row r="253" ht="13.5" customHeight="1">
      <c r="A253" s="11"/>
      <c r="B253" s="11"/>
      <c r="C253" s="434"/>
      <c r="D253" s="434"/>
      <c r="E253" s="435"/>
      <c r="F253" s="436"/>
      <c r="G253" s="436"/>
      <c r="H253" s="437"/>
      <c r="I253" s="438"/>
      <c r="J253" s="439"/>
      <c r="K253" s="440"/>
      <c r="L253" s="426"/>
      <c r="M253" s="11"/>
      <c r="N253" s="11"/>
      <c r="O253" s="71"/>
      <c r="P253" s="427"/>
      <c r="Q253" s="397"/>
      <c r="R253" s="395"/>
      <c r="S253" s="398"/>
      <c r="T253" s="399"/>
      <c r="U253" s="11"/>
      <c r="V253" s="11"/>
      <c r="W253" s="11"/>
      <c r="X253" s="11"/>
      <c r="Y253" s="11"/>
      <c r="Z253" s="402"/>
      <c r="AA253" s="402"/>
    </row>
    <row r="254" ht="13.5" customHeight="1">
      <c r="A254" s="11"/>
      <c r="B254" s="11"/>
      <c r="C254" s="434"/>
      <c r="D254" s="434"/>
      <c r="E254" s="435"/>
      <c r="F254" s="436"/>
      <c r="G254" s="436"/>
      <c r="H254" s="437"/>
      <c r="I254" s="438" t="s">
        <v>116</v>
      </c>
      <c r="J254" s="439" t="s">
        <v>117</v>
      </c>
      <c r="K254" s="440"/>
      <c r="L254" s="426"/>
      <c r="M254" s="11"/>
      <c r="N254" s="11"/>
      <c r="O254" s="71"/>
      <c r="P254" s="427"/>
      <c r="Q254" s="397"/>
      <c r="R254" s="395"/>
      <c r="S254" s="398"/>
      <c r="T254" s="399"/>
      <c r="U254" s="11"/>
      <c r="V254" s="11"/>
      <c r="W254" s="11"/>
      <c r="X254" s="11"/>
      <c r="Y254" s="11"/>
      <c r="Z254" s="402"/>
      <c r="AA254" s="402"/>
    </row>
    <row r="255" ht="13.5" customHeight="1">
      <c r="A255" s="11"/>
      <c r="B255" s="11"/>
      <c r="C255" s="195">
        <f t="shared" ref="C255:D255" si="211">C257+0.004</f>
        <v>0.049</v>
      </c>
      <c r="D255" s="195">
        <f t="shared" si="211"/>
        <v>0.049</v>
      </c>
      <c r="E255" s="155">
        <f>E257</f>
        <v>6</v>
      </c>
      <c r="F255" s="156"/>
      <c r="G255" s="156"/>
      <c r="H255" s="157"/>
      <c r="I255" s="441">
        <v>300.0</v>
      </c>
      <c r="J255" s="442">
        <f>J257</f>
        <v>82.30452675</v>
      </c>
      <c r="K255" s="160">
        <f>J255*(C255*D255*E255)</f>
        <v>1.185679012</v>
      </c>
      <c r="L255" s="426">
        <f>I255*K255</f>
        <v>355.7037037</v>
      </c>
      <c r="M255" s="11"/>
      <c r="N255" s="11"/>
      <c r="O255" s="71"/>
      <c r="P255" s="427"/>
      <c r="Q255" s="397"/>
      <c r="R255" s="395"/>
      <c r="S255" s="398"/>
      <c r="T255" s="399"/>
      <c r="U255" s="11"/>
      <c r="V255" s="11"/>
      <c r="W255" s="11"/>
      <c r="X255" s="11"/>
      <c r="Y255" s="11"/>
      <c r="Z255" s="402"/>
      <c r="AA255" s="402"/>
    </row>
    <row r="256" ht="13.5" customHeight="1">
      <c r="A256" s="11"/>
      <c r="B256" s="11"/>
      <c r="C256" s="443"/>
      <c r="D256" s="444"/>
      <c r="E256" s="435"/>
      <c r="F256" s="436"/>
      <c r="G256" s="436"/>
      <c r="H256" s="437"/>
      <c r="I256" s="445"/>
      <c r="J256" s="446"/>
      <c r="K256" s="440"/>
      <c r="L256" s="431"/>
      <c r="M256" s="11"/>
      <c r="N256" s="11"/>
      <c r="O256" s="71"/>
      <c r="P256" s="427"/>
      <c r="Q256" s="397"/>
      <c r="R256" s="395"/>
      <c r="S256" s="398"/>
      <c r="T256" s="399"/>
      <c r="U256" s="11"/>
      <c r="V256" s="11"/>
      <c r="W256" s="11"/>
      <c r="X256" s="11"/>
      <c r="Y256" s="11"/>
      <c r="Z256" s="402"/>
      <c r="AA256" s="402"/>
    </row>
    <row r="257" ht="13.5" customHeight="1">
      <c r="A257" s="11"/>
      <c r="B257" s="11"/>
      <c r="C257" s="249">
        <v>0.045</v>
      </c>
      <c r="D257" s="170">
        <v>0.045</v>
      </c>
      <c r="E257" s="250">
        <v>6.0</v>
      </c>
      <c r="F257" s="156"/>
      <c r="G257" s="156"/>
      <c r="H257" s="157"/>
      <c r="I257" s="447">
        <f>L255+L257</f>
        <v>455.7037037</v>
      </c>
      <c r="J257" s="442">
        <f>1/(C257*D257*E257)</f>
        <v>82.30452675</v>
      </c>
      <c r="K257" s="160"/>
      <c r="L257" s="426">
        <v>100.0</v>
      </c>
      <c r="M257" s="11"/>
      <c r="N257" s="11"/>
      <c r="O257" s="71"/>
      <c r="P257" s="427"/>
      <c r="Q257" s="397"/>
      <c r="R257" s="395"/>
      <c r="S257" s="398"/>
      <c r="T257" s="399"/>
      <c r="U257" s="11"/>
      <c r="V257" s="11"/>
      <c r="W257" s="11"/>
      <c r="X257" s="11"/>
      <c r="Y257" s="11"/>
      <c r="Z257" s="402"/>
      <c r="AA257" s="402"/>
    </row>
    <row r="258" ht="13.5" customHeight="1">
      <c r="A258" s="11"/>
      <c r="B258" s="11"/>
      <c r="C258" s="11"/>
      <c r="D258" s="11"/>
      <c r="E258" s="11"/>
      <c r="F258" s="253"/>
      <c r="G258" s="253"/>
      <c r="H258" s="11"/>
      <c r="I258" s="429"/>
      <c r="J258" s="427"/>
      <c r="K258" s="395"/>
      <c r="L258" s="431"/>
      <c r="M258" s="11"/>
      <c r="N258" s="11"/>
      <c r="O258" s="71"/>
      <c r="P258" s="427"/>
      <c r="Q258" s="397"/>
      <c r="R258" s="395"/>
      <c r="S258" s="398"/>
      <c r="T258" s="399"/>
      <c r="U258" s="11"/>
      <c r="V258" s="11"/>
      <c r="W258" s="11"/>
      <c r="X258" s="11"/>
      <c r="Y258" s="11"/>
      <c r="Z258" s="402"/>
      <c r="AA258" s="402"/>
    </row>
    <row r="259" ht="13.5" customHeight="1">
      <c r="A259" s="11"/>
      <c r="B259" s="11"/>
      <c r="C259" s="11"/>
      <c r="D259" s="11"/>
      <c r="E259" s="11"/>
      <c r="F259" s="253"/>
      <c r="G259" s="253"/>
      <c r="H259" s="11"/>
      <c r="I259" s="429"/>
      <c r="J259" s="427"/>
      <c r="K259" s="395"/>
      <c r="L259" s="431"/>
      <c r="M259" s="11"/>
      <c r="N259" s="11"/>
      <c r="O259" s="71"/>
      <c r="P259" s="427"/>
      <c r="Q259" s="397"/>
      <c r="R259" s="395"/>
      <c r="S259" s="398"/>
      <c r="T259" s="399"/>
      <c r="U259" s="11"/>
      <c r="V259" s="11"/>
      <c r="W259" s="11"/>
      <c r="X259" s="11"/>
      <c r="Y259" s="11"/>
      <c r="Z259" s="402"/>
      <c r="AA259" s="402"/>
    </row>
    <row r="260" ht="13.5" customHeight="1">
      <c r="A260" s="11"/>
      <c r="B260" s="11"/>
      <c r="C260" s="11"/>
      <c r="D260" s="11"/>
      <c r="E260" s="11"/>
      <c r="F260" s="253"/>
      <c r="G260" s="253"/>
      <c r="H260" s="11"/>
      <c r="I260" s="429"/>
      <c r="J260" s="427"/>
      <c r="K260" s="395"/>
      <c r="L260" s="431"/>
      <c r="M260" s="11"/>
      <c r="N260" s="11"/>
      <c r="O260" s="71"/>
      <c r="P260" s="427"/>
      <c r="Q260" s="397"/>
      <c r="R260" s="395"/>
      <c r="S260" s="398"/>
      <c r="T260" s="399"/>
      <c r="U260" s="11"/>
      <c r="V260" s="11"/>
      <c r="W260" s="11"/>
      <c r="X260" s="11"/>
      <c r="Y260" s="11"/>
      <c r="Z260" s="402"/>
      <c r="AA260" s="402"/>
    </row>
    <row r="261" ht="13.5" customHeight="1">
      <c r="A261" s="11"/>
      <c r="B261" s="11"/>
      <c r="C261" s="11"/>
      <c r="D261" s="11"/>
      <c r="E261" s="11"/>
      <c r="F261" s="253"/>
      <c r="G261" s="253"/>
      <c r="H261" s="11"/>
      <c r="I261" s="429"/>
      <c r="J261" s="427"/>
      <c r="K261" s="395"/>
      <c r="L261" s="431"/>
      <c r="M261" s="11"/>
      <c r="N261" s="11"/>
      <c r="O261" s="71"/>
      <c r="P261" s="427"/>
      <c r="Q261" s="397"/>
      <c r="R261" s="395"/>
      <c r="S261" s="398"/>
      <c r="T261" s="399"/>
      <c r="U261" s="11"/>
      <c r="V261" s="11"/>
      <c r="W261" s="11"/>
      <c r="X261" s="11"/>
      <c r="Y261" s="11"/>
      <c r="Z261" s="402"/>
      <c r="AA261" s="402"/>
    </row>
    <row r="262" ht="13.5" customHeight="1">
      <c r="A262" s="11"/>
      <c r="B262" s="11"/>
      <c r="C262" s="11"/>
      <c r="D262" s="11"/>
      <c r="E262" s="11"/>
      <c r="F262" s="253"/>
      <c r="G262" s="253"/>
      <c r="H262" s="11"/>
      <c r="I262" s="429"/>
      <c r="J262" s="427"/>
      <c r="K262" s="395"/>
      <c r="L262" s="431"/>
      <c r="M262" s="11"/>
      <c r="N262" s="11"/>
      <c r="O262" s="71"/>
      <c r="P262" s="427"/>
      <c r="Q262" s="397"/>
      <c r="R262" s="395"/>
      <c r="S262" s="398"/>
      <c r="T262" s="399"/>
      <c r="U262" s="11"/>
      <c r="V262" s="11"/>
      <c r="W262" s="11"/>
      <c r="X262" s="11"/>
      <c r="Y262" s="11"/>
      <c r="Z262" s="402"/>
      <c r="AA262" s="402"/>
    </row>
    <row r="263" ht="13.5" customHeight="1">
      <c r="A263" s="11"/>
      <c r="B263" s="11"/>
      <c r="C263" s="11"/>
      <c r="D263" s="11"/>
      <c r="E263" s="11"/>
      <c r="F263" s="253"/>
      <c r="G263" s="253"/>
      <c r="H263" s="11"/>
      <c r="I263" s="429"/>
      <c r="J263" s="427"/>
      <c r="K263" s="395"/>
      <c r="L263" s="431"/>
      <c r="M263" s="11"/>
      <c r="N263" s="11"/>
      <c r="O263" s="71"/>
      <c r="P263" s="427"/>
      <c r="Q263" s="397"/>
      <c r="R263" s="395"/>
      <c r="S263" s="398"/>
      <c r="T263" s="399"/>
      <c r="U263" s="11"/>
      <c r="V263" s="11"/>
      <c r="W263" s="11"/>
      <c r="X263" s="11"/>
      <c r="Y263" s="11"/>
      <c r="Z263" s="402"/>
      <c r="AA263" s="402"/>
    </row>
    <row r="264" ht="13.5" customHeight="1">
      <c r="A264" s="11"/>
      <c r="B264" s="11"/>
      <c r="C264" s="11"/>
      <c r="D264" s="11"/>
      <c r="E264" s="11"/>
      <c r="F264" s="253"/>
      <c r="G264" s="253"/>
      <c r="H264" s="11"/>
      <c r="I264" s="429"/>
      <c r="J264" s="427"/>
      <c r="K264" s="395"/>
      <c r="L264" s="431"/>
      <c r="M264" s="11"/>
      <c r="N264" s="11"/>
      <c r="O264" s="71"/>
      <c r="P264" s="427"/>
      <c r="Q264" s="397"/>
      <c r="R264" s="395"/>
      <c r="S264" s="398"/>
      <c r="T264" s="399"/>
      <c r="U264" s="11"/>
      <c r="V264" s="11"/>
      <c r="W264" s="11"/>
      <c r="X264" s="11"/>
      <c r="Y264" s="11"/>
      <c r="Z264" s="402"/>
      <c r="AA264" s="402"/>
    </row>
    <row r="265" ht="13.5" customHeight="1">
      <c r="A265" s="11"/>
      <c r="B265" s="11"/>
      <c r="C265" s="11"/>
      <c r="D265" s="11"/>
      <c r="E265" s="11"/>
      <c r="F265" s="253"/>
      <c r="G265" s="253"/>
      <c r="H265" s="11"/>
      <c r="I265" s="429"/>
      <c r="J265" s="427"/>
      <c r="K265" s="395"/>
      <c r="L265" s="431"/>
      <c r="M265" s="11"/>
      <c r="N265" s="11"/>
      <c r="O265" s="71"/>
      <c r="P265" s="427"/>
      <c r="Q265" s="397"/>
      <c r="R265" s="395"/>
      <c r="S265" s="398"/>
      <c r="T265" s="399"/>
      <c r="U265" s="11"/>
      <c r="V265" s="11"/>
      <c r="W265" s="11"/>
      <c r="X265" s="11"/>
      <c r="Y265" s="11"/>
      <c r="Z265" s="402"/>
      <c r="AA265" s="402"/>
    </row>
    <row r="266" ht="13.5" customHeight="1">
      <c r="A266" s="11"/>
      <c r="B266" s="11"/>
      <c r="C266" s="11"/>
      <c r="D266" s="11"/>
      <c r="E266" s="11"/>
      <c r="F266" s="253"/>
      <c r="G266" s="253"/>
      <c r="H266" s="11"/>
      <c r="I266" s="429"/>
      <c r="J266" s="427"/>
      <c r="K266" s="395"/>
      <c r="L266" s="431"/>
      <c r="M266" s="11"/>
      <c r="N266" s="11"/>
      <c r="O266" s="71"/>
      <c r="P266" s="427"/>
      <c r="Q266" s="397"/>
      <c r="R266" s="395"/>
      <c r="S266" s="398"/>
      <c r="T266" s="399"/>
      <c r="U266" s="11"/>
      <c r="V266" s="11"/>
      <c r="W266" s="11"/>
      <c r="X266" s="11"/>
      <c r="Y266" s="11"/>
      <c r="Z266" s="402"/>
      <c r="AA266" s="402"/>
    </row>
    <row r="267" ht="13.5" customHeight="1">
      <c r="A267" s="11"/>
      <c r="B267" s="11"/>
      <c r="C267" s="11"/>
      <c r="D267" s="11"/>
      <c r="E267" s="11"/>
      <c r="F267" s="253"/>
      <c r="G267" s="253"/>
      <c r="H267" s="11"/>
      <c r="I267" s="429"/>
      <c r="J267" s="427"/>
      <c r="K267" s="395"/>
      <c r="L267" s="431"/>
      <c r="M267" s="11"/>
      <c r="N267" s="11"/>
      <c r="O267" s="71"/>
      <c r="P267" s="427"/>
      <c r="Q267" s="397"/>
      <c r="R267" s="395"/>
      <c r="S267" s="398"/>
      <c r="T267" s="399"/>
      <c r="U267" s="11"/>
      <c r="V267" s="11"/>
      <c r="W267" s="11"/>
      <c r="X267" s="11"/>
      <c r="Y267" s="11"/>
      <c r="Z267" s="402"/>
      <c r="AA267" s="402"/>
    </row>
    <row r="268" ht="13.5" customHeight="1">
      <c r="A268" s="11"/>
      <c r="B268" s="11"/>
      <c r="C268" s="11"/>
      <c r="D268" s="11"/>
      <c r="E268" s="11"/>
      <c r="F268" s="253"/>
      <c r="G268" s="253"/>
      <c r="H268" s="11"/>
      <c r="I268" s="429"/>
      <c r="J268" s="427"/>
      <c r="K268" s="395"/>
      <c r="L268" s="431"/>
      <c r="M268" s="11"/>
      <c r="N268" s="11"/>
      <c r="O268" s="71"/>
      <c r="P268" s="427"/>
      <c r="Q268" s="397"/>
      <c r="R268" s="395"/>
      <c r="S268" s="398"/>
      <c r="T268" s="399"/>
      <c r="U268" s="11"/>
      <c r="V268" s="11"/>
      <c r="W268" s="11"/>
      <c r="X268" s="11"/>
      <c r="Y268" s="11"/>
      <c r="Z268" s="402"/>
      <c r="AA268" s="402"/>
    </row>
    <row r="269" ht="13.5" customHeight="1">
      <c r="A269" s="11"/>
      <c r="B269" s="11"/>
      <c r="C269" s="11"/>
      <c r="D269" s="11"/>
      <c r="E269" s="11"/>
      <c r="F269" s="253"/>
      <c r="G269" s="253"/>
      <c r="H269" s="11"/>
      <c r="I269" s="429"/>
      <c r="J269" s="427"/>
      <c r="K269" s="395"/>
      <c r="L269" s="431"/>
      <c r="M269" s="11"/>
      <c r="N269" s="11"/>
      <c r="O269" s="71"/>
      <c r="P269" s="427"/>
      <c r="Q269" s="397"/>
      <c r="R269" s="395"/>
      <c r="S269" s="398"/>
      <c r="T269" s="399"/>
      <c r="U269" s="11"/>
      <c r="V269" s="11"/>
      <c r="W269" s="11"/>
      <c r="X269" s="11"/>
      <c r="Y269" s="11"/>
      <c r="Z269" s="402"/>
      <c r="AA269" s="402"/>
    </row>
    <row r="270" ht="13.5" customHeight="1">
      <c r="A270" s="11"/>
      <c r="B270" s="11"/>
      <c r="C270" s="11"/>
      <c r="D270" s="11"/>
      <c r="E270" s="11"/>
      <c r="F270" s="253"/>
      <c r="G270" s="253"/>
      <c r="H270" s="11"/>
      <c r="I270" s="429"/>
      <c r="J270" s="427"/>
      <c r="K270" s="395"/>
      <c r="L270" s="431"/>
      <c r="M270" s="11"/>
      <c r="N270" s="11"/>
      <c r="O270" s="71"/>
      <c r="P270" s="427"/>
      <c r="Q270" s="397"/>
      <c r="R270" s="395"/>
      <c r="S270" s="398"/>
      <c r="T270" s="399"/>
      <c r="U270" s="11"/>
      <c r="V270" s="11"/>
      <c r="W270" s="11"/>
      <c r="X270" s="11"/>
      <c r="Y270" s="11"/>
      <c r="Z270" s="402"/>
      <c r="AA270" s="402"/>
    </row>
    <row r="271" ht="13.5" customHeight="1">
      <c r="A271" s="11"/>
      <c r="B271" s="11"/>
      <c r="C271" s="11"/>
      <c r="D271" s="11"/>
      <c r="E271" s="11"/>
      <c r="F271" s="253"/>
      <c r="G271" s="253"/>
      <c r="H271" s="11"/>
      <c r="I271" s="429"/>
      <c r="J271" s="427"/>
      <c r="K271" s="395"/>
      <c r="L271" s="431"/>
      <c r="M271" s="11"/>
      <c r="N271" s="11"/>
      <c r="O271" s="71"/>
      <c r="P271" s="427"/>
      <c r="Q271" s="397"/>
      <c r="R271" s="395"/>
      <c r="S271" s="398"/>
      <c r="T271" s="399"/>
      <c r="U271" s="11"/>
      <c r="V271" s="11"/>
      <c r="W271" s="11"/>
      <c r="X271" s="11"/>
      <c r="Y271" s="11"/>
      <c r="Z271" s="402"/>
      <c r="AA271" s="402"/>
    </row>
    <row r="272" ht="13.5" customHeight="1">
      <c r="A272" s="11"/>
      <c r="B272" s="11"/>
      <c r="C272" s="11"/>
      <c r="D272" s="11"/>
      <c r="E272" s="11"/>
      <c r="F272" s="253"/>
      <c r="G272" s="253"/>
      <c r="H272" s="11"/>
      <c r="I272" s="429"/>
      <c r="J272" s="427"/>
      <c r="K272" s="395"/>
      <c r="L272" s="431"/>
      <c r="M272" s="11"/>
      <c r="N272" s="11"/>
      <c r="O272" s="71"/>
      <c r="P272" s="427"/>
      <c r="Q272" s="397"/>
      <c r="R272" s="395"/>
      <c r="S272" s="398"/>
      <c r="T272" s="399"/>
      <c r="U272" s="11"/>
      <c r="V272" s="11"/>
      <c r="W272" s="11"/>
      <c r="X272" s="11"/>
      <c r="Y272" s="11"/>
      <c r="Z272" s="402"/>
      <c r="AA272" s="402"/>
    </row>
    <row r="273" ht="13.5" customHeight="1">
      <c r="A273" s="11"/>
      <c r="B273" s="11"/>
      <c r="C273" s="11"/>
      <c r="D273" s="11"/>
      <c r="E273" s="11"/>
      <c r="F273" s="253"/>
      <c r="G273" s="253"/>
      <c r="H273" s="11"/>
      <c r="I273" s="429"/>
      <c r="J273" s="427"/>
      <c r="K273" s="395"/>
      <c r="L273" s="431"/>
      <c r="M273" s="11"/>
      <c r="N273" s="11"/>
      <c r="O273" s="71"/>
      <c r="P273" s="427"/>
      <c r="Q273" s="397"/>
      <c r="R273" s="395"/>
      <c r="S273" s="398"/>
      <c r="T273" s="399"/>
      <c r="U273" s="11"/>
      <c r="V273" s="11"/>
      <c r="W273" s="11"/>
      <c r="X273" s="11"/>
      <c r="Y273" s="11"/>
      <c r="Z273" s="402"/>
      <c r="AA273" s="402"/>
    </row>
    <row r="274" ht="13.5" customHeight="1">
      <c r="A274" s="11"/>
      <c r="B274" s="11"/>
      <c r="C274" s="11"/>
      <c r="D274" s="11"/>
      <c r="E274" s="11"/>
      <c r="F274" s="253"/>
      <c r="G274" s="253"/>
      <c r="H274" s="11"/>
      <c r="I274" s="429"/>
      <c r="J274" s="427"/>
      <c r="K274" s="395"/>
      <c r="L274" s="431"/>
      <c r="M274" s="11"/>
      <c r="N274" s="11"/>
      <c r="O274" s="71"/>
      <c r="P274" s="427"/>
      <c r="Q274" s="397"/>
      <c r="R274" s="395"/>
      <c r="S274" s="398"/>
      <c r="T274" s="399"/>
      <c r="U274" s="11"/>
      <c r="V274" s="11"/>
      <c r="W274" s="11"/>
      <c r="X274" s="11"/>
      <c r="Y274" s="11"/>
      <c r="Z274" s="402"/>
      <c r="AA274" s="402"/>
    </row>
    <row r="275" ht="13.5" customHeight="1">
      <c r="A275" s="11"/>
      <c r="B275" s="11"/>
      <c r="C275" s="11"/>
      <c r="D275" s="11"/>
      <c r="E275" s="11"/>
      <c r="F275" s="253"/>
      <c r="G275" s="253"/>
      <c r="H275" s="11"/>
      <c r="I275" s="429"/>
      <c r="J275" s="427"/>
      <c r="K275" s="395"/>
      <c r="L275" s="431"/>
      <c r="M275" s="11"/>
      <c r="N275" s="11"/>
      <c r="O275" s="71"/>
      <c r="P275" s="427"/>
      <c r="Q275" s="397"/>
      <c r="R275" s="395"/>
      <c r="S275" s="398"/>
      <c r="T275" s="399"/>
      <c r="U275" s="11"/>
      <c r="V275" s="11"/>
      <c r="W275" s="11"/>
      <c r="X275" s="11"/>
      <c r="Y275" s="11"/>
      <c r="Z275" s="402"/>
      <c r="AA275" s="402"/>
    </row>
    <row r="276" ht="13.5" customHeight="1">
      <c r="A276" s="11"/>
      <c r="B276" s="11"/>
      <c r="C276" s="11"/>
      <c r="D276" s="11"/>
      <c r="E276" s="11"/>
      <c r="F276" s="253"/>
      <c r="G276" s="253"/>
      <c r="H276" s="11"/>
      <c r="I276" s="429"/>
      <c r="J276" s="427"/>
      <c r="K276" s="395"/>
      <c r="L276" s="431"/>
      <c r="M276" s="11"/>
      <c r="N276" s="11"/>
      <c r="O276" s="71"/>
      <c r="P276" s="427"/>
      <c r="Q276" s="397"/>
      <c r="R276" s="395"/>
      <c r="S276" s="398"/>
      <c r="T276" s="399"/>
      <c r="U276" s="11"/>
      <c r="V276" s="11"/>
      <c r="W276" s="11"/>
      <c r="X276" s="11"/>
      <c r="Y276" s="11"/>
      <c r="Z276" s="402"/>
      <c r="AA276" s="402"/>
    </row>
    <row r="277" ht="13.5" customHeight="1">
      <c r="A277" s="11"/>
      <c r="B277" s="11"/>
      <c r="C277" s="11"/>
      <c r="D277" s="11"/>
      <c r="E277" s="11"/>
      <c r="F277" s="253"/>
      <c r="G277" s="253"/>
      <c r="H277" s="11"/>
      <c r="I277" s="429"/>
      <c r="J277" s="427"/>
      <c r="K277" s="395"/>
      <c r="L277" s="431"/>
      <c r="M277" s="11"/>
      <c r="N277" s="11"/>
      <c r="O277" s="71"/>
      <c r="P277" s="427"/>
      <c r="Q277" s="397"/>
      <c r="R277" s="395"/>
      <c r="S277" s="398"/>
      <c r="T277" s="399"/>
      <c r="U277" s="11"/>
      <c r="V277" s="11"/>
      <c r="W277" s="11"/>
      <c r="X277" s="11"/>
      <c r="Y277" s="11"/>
      <c r="Z277" s="402"/>
      <c r="AA277" s="402"/>
    </row>
    <row r="278" ht="13.5" customHeight="1">
      <c r="A278" s="11"/>
      <c r="B278" s="11"/>
      <c r="C278" s="11"/>
      <c r="D278" s="11"/>
      <c r="E278" s="11"/>
      <c r="F278" s="253"/>
      <c r="G278" s="253"/>
      <c r="H278" s="11"/>
      <c r="I278" s="429"/>
      <c r="J278" s="427"/>
      <c r="K278" s="395"/>
      <c r="L278" s="431"/>
      <c r="M278" s="11"/>
      <c r="N278" s="11"/>
      <c r="O278" s="71"/>
      <c r="P278" s="427"/>
      <c r="Q278" s="397"/>
      <c r="R278" s="395"/>
      <c r="S278" s="398"/>
      <c r="T278" s="399"/>
      <c r="U278" s="11"/>
      <c r="V278" s="11"/>
      <c r="W278" s="11"/>
      <c r="X278" s="11"/>
      <c r="Y278" s="11"/>
      <c r="Z278" s="402"/>
      <c r="AA278" s="402"/>
    </row>
    <row r="279" ht="13.5" customHeight="1">
      <c r="A279" s="11"/>
      <c r="B279" s="11"/>
      <c r="C279" s="11"/>
      <c r="D279" s="11"/>
      <c r="E279" s="11"/>
      <c r="F279" s="253"/>
      <c r="G279" s="253"/>
      <c r="H279" s="11"/>
      <c r="I279" s="429"/>
      <c r="J279" s="427"/>
      <c r="K279" s="395"/>
      <c r="L279" s="431"/>
      <c r="M279" s="11"/>
      <c r="N279" s="11"/>
      <c r="O279" s="71"/>
      <c r="P279" s="427"/>
      <c r="Q279" s="397"/>
      <c r="R279" s="395"/>
      <c r="S279" s="398"/>
      <c r="T279" s="399"/>
      <c r="U279" s="11"/>
      <c r="V279" s="11"/>
      <c r="W279" s="11"/>
      <c r="X279" s="11"/>
      <c r="Y279" s="11"/>
      <c r="Z279" s="402"/>
      <c r="AA279" s="402"/>
    </row>
    <row r="280" ht="13.5" customHeight="1">
      <c r="A280" s="11"/>
      <c r="B280" s="11"/>
      <c r="C280" s="11"/>
      <c r="D280" s="11"/>
      <c r="E280" s="11"/>
      <c r="F280" s="253"/>
      <c r="G280" s="253"/>
      <c r="H280" s="11"/>
      <c r="I280" s="429"/>
      <c r="J280" s="427"/>
      <c r="K280" s="395"/>
      <c r="L280" s="431"/>
      <c r="M280" s="11"/>
      <c r="N280" s="11"/>
      <c r="O280" s="71"/>
      <c r="P280" s="427"/>
      <c r="Q280" s="397"/>
      <c r="R280" s="395"/>
      <c r="S280" s="398"/>
      <c r="T280" s="399"/>
      <c r="U280" s="11"/>
      <c r="V280" s="11"/>
      <c r="W280" s="11"/>
      <c r="X280" s="11"/>
      <c r="Y280" s="11"/>
      <c r="Z280" s="402"/>
      <c r="AA280" s="402"/>
    </row>
    <row r="281" ht="13.5" customHeight="1">
      <c r="A281" s="11"/>
      <c r="B281" s="11"/>
      <c r="C281" s="11"/>
      <c r="D281" s="11"/>
      <c r="E281" s="11"/>
      <c r="F281" s="253"/>
      <c r="G281" s="253"/>
      <c r="H281" s="11"/>
      <c r="I281" s="429"/>
      <c r="J281" s="427"/>
      <c r="K281" s="395"/>
      <c r="L281" s="431"/>
      <c r="M281" s="11"/>
      <c r="N281" s="11"/>
      <c r="O281" s="71"/>
      <c r="P281" s="427"/>
      <c r="Q281" s="397"/>
      <c r="R281" s="395"/>
      <c r="S281" s="398"/>
      <c r="T281" s="399"/>
      <c r="U281" s="11"/>
      <c r="V281" s="11"/>
      <c r="W281" s="11"/>
      <c r="X281" s="11"/>
      <c r="Y281" s="11"/>
      <c r="Z281" s="402"/>
      <c r="AA281" s="402"/>
    </row>
    <row r="282" ht="13.5" customHeight="1">
      <c r="A282" s="11"/>
      <c r="B282" s="11"/>
      <c r="C282" s="11"/>
      <c r="D282" s="11"/>
      <c r="E282" s="11"/>
      <c r="F282" s="253"/>
      <c r="G282" s="253"/>
      <c r="H282" s="11"/>
      <c r="I282" s="429"/>
      <c r="J282" s="427"/>
      <c r="K282" s="395"/>
      <c r="L282" s="431"/>
      <c r="M282" s="11"/>
      <c r="N282" s="11"/>
      <c r="O282" s="71"/>
      <c r="P282" s="427"/>
      <c r="Q282" s="397"/>
      <c r="R282" s="395"/>
      <c r="S282" s="398"/>
      <c r="T282" s="399"/>
      <c r="U282" s="11"/>
      <c r="V282" s="11"/>
      <c r="W282" s="11"/>
      <c r="X282" s="11"/>
      <c r="Y282" s="11"/>
      <c r="Z282" s="402"/>
      <c r="AA282" s="402"/>
    </row>
    <row r="283" ht="13.5" customHeight="1">
      <c r="A283" s="11"/>
      <c r="B283" s="11"/>
      <c r="C283" s="11"/>
      <c r="D283" s="11"/>
      <c r="E283" s="11"/>
      <c r="F283" s="253"/>
      <c r="G283" s="253"/>
      <c r="H283" s="11"/>
      <c r="I283" s="429"/>
      <c r="J283" s="427"/>
      <c r="K283" s="395"/>
      <c r="L283" s="431"/>
      <c r="M283" s="11"/>
      <c r="N283" s="11"/>
      <c r="O283" s="71"/>
      <c r="P283" s="427"/>
      <c r="Q283" s="397"/>
      <c r="R283" s="395"/>
      <c r="S283" s="398"/>
      <c r="T283" s="399"/>
      <c r="U283" s="11"/>
      <c r="V283" s="11"/>
      <c r="W283" s="11"/>
      <c r="X283" s="11"/>
      <c r="Y283" s="11"/>
      <c r="Z283" s="402"/>
      <c r="AA283" s="402"/>
    </row>
    <row r="284" ht="13.5" customHeight="1">
      <c r="A284" s="11"/>
      <c r="B284" s="11"/>
      <c r="C284" s="11"/>
      <c r="D284" s="11"/>
      <c r="E284" s="11"/>
      <c r="F284" s="253"/>
      <c r="G284" s="253"/>
      <c r="H284" s="11"/>
      <c r="I284" s="429"/>
      <c r="J284" s="427"/>
      <c r="K284" s="395"/>
      <c r="L284" s="431"/>
      <c r="M284" s="11"/>
      <c r="N284" s="11"/>
      <c r="O284" s="71"/>
      <c r="P284" s="427"/>
      <c r="Q284" s="397"/>
      <c r="R284" s="395"/>
      <c r="S284" s="398"/>
      <c r="T284" s="399"/>
      <c r="U284" s="11"/>
      <c r="V284" s="11"/>
      <c r="W284" s="11"/>
      <c r="X284" s="11"/>
      <c r="Y284" s="11"/>
      <c r="Z284" s="402"/>
      <c r="AA284" s="402"/>
    </row>
    <row r="285" ht="13.5" customHeight="1">
      <c r="A285" s="11"/>
      <c r="B285" s="11"/>
      <c r="C285" s="11"/>
      <c r="D285" s="11"/>
      <c r="E285" s="11"/>
      <c r="F285" s="253"/>
      <c r="G285" s="253"/>
      <c r="H285" s="11"/>
      <c r="I285" s="429"/>
      <c r="J285" s="427"/>
      <c r="K285" s="395"/>
      <c r="L285" s="431"/>
      <c r="M285" s="11"/>
      <c r="N285" s="11"/>
      <c r="O285" s="71"/>
      <c r="P285" s="427"/>
      <c r="Q285" s="397"/>
      <c r="R285" s="395"/>
      <c r="S285" s="398"/>
      <c r="T285" s="399"/>
      <c r="U285" s="11"/>
      <c r="V285" s="11"/>
      <c r="W285" s="11"/>
      <c r="X285" s="11"/>
      <c r="Y285" s="11"/>
      <c r="Z285" s="402"/>
      <c r="AA285" s="402"/>
    </row>
    <row r="286" ht="13.5" customHeight="1">
      <c r="A286" s="11"/>
      <c r="B286" s="11"/>
      <c r="C286" s="11"/>
      <c r="D286" s="11"/>
      <c r="E286" s="11"/>
      <c r="F286" s="253"/>
      <c r="G286" s="253"/>
      <c r="H286" s="11"/>
      <c r="I286" s="429"/>
      <c r="J286" s="427"/>
      <c r="K286" s="395"/>
      <c r="L286" s="431"/>
      <c r="M286" s="11"/>
      <c r="N286" s="11"/>
      <c r="O286" s="71"/>
      <c r="P286" s="427"/>
      <c r="Q286" s="397"/>
      <c r="R286" s="395"/>
      <c r="S286" s="398"/>
      <c r="T286" s="399"/>
      <c r="U286" s="11"/>
      <c r="V286" s="11"/>
      <c r="W286" s="11"/>
      <c r="X286" s="11"/>
      <c r="Y286" s="11"/>
      <c r="Z286" s="402"/>
      <c r="AA286" s="402"/>
    </row>
    <row r="287" ht="13.5" customHeight="1">
      <c r="A287" s="11"/>
      <c r="B287" s="11"/>
      <c r="C287" s="11"/>
      <c r="D287" s="11"/>
      <c r="E287" s="11"/>
      <c r="F287" s="253"/>
      <c r="G287" s="253"/>
      <c r="H287" s="11"/>
      <c r="I287" s="429"/>
      <c r="J287" s="427"/>
      <c r="K287" s="395"/>
      <c r="L287" s="431"/>
      <c r="M287" s="11"/>
      <c r="N287" s="11"/>
      <c r="O287" s="71"/>
      <c r="P287" s="427"/>
      <c r="Q287" s="397"/>
      <c r="R287" s="395"/>
      <c r="S287" s="398"/>
      <c r="T287" s="399"/>
      <c r="U287" s="11"/>
      <c r="V287" s="11"/>
      <c r="W287" s="11"/>
      <c r="X287" s="11"/>
      <c r="Y287" s="11"/>
      <c r="Z287" s="402"/>
      <c r="AA287" s="402"/>
    </row>
    <row r="288" ht="13.5" customHeight="1">
      <c r="A288" s="11"/>
      <c r="B288" s="11"/>
      <c r="C288" s="11"/>
      <c r="D288" s="11"/>
      <c r="E288" s="11"/>
      <c r="F288" s="253"/>
      <c r="G288" s="253"/>
      <c r="H288" s="11"/>
      <c r="I288" s="429"/>
      <c r="J288" s="427"/>
      <c r="K288" s="395"/>
      <c r="L288" s="431"/>
      <c r="M288" s="11"/>
      <c r="N288" s="11"/>
      <c r="O288" s="71"/>
      <c r="P288" s="427"/>
      <c r="Q288" s="397"/>
      <c r="R288" s="395"/>
      <c r="S288" s="398"/>
      <c r="T288" s="399"/>
      <c r="U288" s="11"/>
      <c r="V288" s="11"/>
      <c r="W288" s="11"/>
      <c r="X288" s="11"/>
      <c r="Y288" s="11"/>
      <c r="Z288" s="402"/>
      <c r="AA288" s="402"/>
    </row>
    <row r="289" ht="13.5" customHeight="1">
      <c r="A289" s="11"/>
      <c r="B289" s="11"/>
      <c r="C289" s="11"/>
      <c r="D289" s="11"/>
      <c r="E289" s="11"/>
      <c r="F289" s="253"/>
      <c r="G289" s="253"/>
      <c r="H289" s="11"/>
      <c r="I289" s="429"/>
      <c r="J289" s="427"/>
      <c r="K289" s="395"/>
      <c r="L289" s="431"/>
      <c r="M289" s="11"/>
      <c r="N289" s="11"/>
      <c r="O289" s="71"/>
      <c r="P289" s="427"/>
      <c r="Q289" s="397"/>
      <c r="R289" s="395"/>
      <c r="S289" s="398"/>
      <c r="T289" s="399"/>
      <c r="U289" s="11"/>
      <c r="V289" s="11"/>
      <c r="W289" s="11"/>
      <c r="X289" s="11"/>
      <c r="Y289" s="11"/>
      <c r="Z289" s="402"/>
      <c r="AA289" s="402"/>
    </row>
    <row r="290" ht="13.5" customHeight="1">
      <c r="A290" s="11"/>
      <c r="B290" s="11"/>
      <c r="C290" s="11"/>
      <c r="D290" s="11"/>
      <c r="E290" s="11"/>
      <c r="F290" s="253"/>
      <c r="G290" s="253"/>
      <c r="H290" s="11"/>
      <c r="I290" s="429"/>
      <c r="J290" s="427"/>
      <c r="K290" s="395"/>
      <c r="L290" s="431"/>
      <c r="M290" s="11"/>
      <c r="N290" s="11"/>
      <c r="O290" s="71"/>
      <c r="P290" s="427"/>
      <c r="Q290" s="397"/>
      <c r="R290" s="395"/>
      <c r="S290" s="398"/>
      <c r="T290" s="399"/>
      <c r="U290" s="11"/>
      <c r="V290" s="11"/>
      <c r="W290" s="11"/>
      <c r="X290" s="11"/>
      <c r="Y290" s="11"/>
      <c r="Z290" s="402"/>
      <c r="AA290" s="402"/>
    </row>
    <row r="291" ht="13.5" customHeight="1">
      <c r="A291" s="11"/>
      <c r="B291" s="11"/>
      <c r="C291" s="11"/>
      <c r="D291" s="11"/>
      <c r="E291" s="11"/>
      <c r="F291" s="253"/>
      <c r="G291" s="253"/>
      <c r="H291" s="11"/>
      <c r="I291" s="429"/>
      <c r="J291" s="427"/>
      <c r="K291" s="395"/>
      <c r="L291" s="431"/>
      <c r="M291" s="11"/>
      <c r="N291" s="11"/>
      <c r="O291" s="71"/>
      <c r="P291" s="427"/>
      <c r="Q291" s="397"/>
      <c r="R291" s="395"/>
      <c r="S291" s="398"/>
      <c r="T291" s="399"/>
      <c r="U291" s="11"/>
      <c r="V291" s="11"/>
      <c r="W291" s="11"/>
      <c r="X291" s="11"/>
      <c r="Y291" s="11"/>
      <c r="Z291" s="402"/>
      <c r="AA291" s="402"/>
    </row>
    <row r="292" ht="13.5" customHeight="1">
      <c r="A292" s="11"/>
      <c r="B292" s="11"/>
      <c r="C292" s="11"/>
      <c r="D292" s="11"/>
      <c r="E292" s="11"/>
      <c r="F292" s="253"/>
      <c r="G292" s="253"/>
      <c r="H292" s="11"/>
      <c r="I292" s="429"/>
      <c r="J292" s="427"/>
      <c r="K292" s="395"/>
      <c r="L292" s="431"/>
      <c r="M292" s="11"/>
      <c r="N292" s="11"/>
      <c r="O292" s="71"/>
      <c r="P292" s="427"/>
      <c r="Q292" s="397"/>
      <c r="R292" s="395"/>
      <c r="S292" s="398"/>
      <c r="T292" s="399"/>
      <c r="U292" s="11"/>
      <c r="V292" s="11"/>
      <c r="W292" s="11"/>
      <c r="X292" s="11"/>
      <c r="Y292" s="11"/>
      <c r="Z292" s="402"/>
      <c r="AA292" s="402"/>
    </row>
    <row r="293" ht="13.5" customHeight="1">
      <c r="A293" s="11"/>
      <c r="B293" s="11"/>
      <c r="C293" s="11"/>
      <c r="D293" s="11"/>
      <c r="E293" s="11"/>
      <c r="F293" s="253"/>
      <c r="G293" s="253"/>
      <c r="H293" s="11"/>
      <c r="I293" s="429"/>
      <c r="J293" s="427"/>
      <c r="K293" s="395"/>
      <c r="L293" s="431"/>
      <c r="M293" s="11"/>
      <c r="N293" s="11"/>
      <c r="O293" s="71"/>
      <c r="P293" s="427"/>
      <c r="Q293" s="397"/>
      <c r="R293" s="395"/>
      <c r="S293" s="398"/>
      <c r="T293" s="399"/>
      <c r="U293" s="11"/>
      <c r="V293" s="11"/>
      <c r="W293" s="11"/>
      <c r="X293" s="11"/>
      <c r="Y293" s="11"/>
      <c r="Z293" s="402"/>
      <c r="AA293" s="402"/>
    </row>
    <row r="294" ht="13.5" customHeight="1">
      <c r="A294" s="11"/>
      <c r="B294" s="11"/>
      <c r="C294" s="11"/>
      <c r="D294" s="11"/>
      <c r="E294" s="11"/>
      <c r="F294" s="253"/>
      <c r="G294" s="253"/>
      <c r="H294" s="11"/>
      <c r="I294" s="429"/>
      <c r="J294" s="427"/>
      <c r="K294" s="395"/>
      <c r="L294" s="431"/>
      <c r="M294" s="11"/>
      <c r="N294" s="11"/>
      <c r="O294" s="71"/>
      <c r="P294" s="427"/>
      <c r="Q294" s="397"/>
      <c r="R294" s="395"/>
      <c r="S294" s="398"/>
      <c r="T294" s="399"/>
      <c r="U294" s="11"/>
      <c r="V294" s="11"/>
      <c r="W294" s="11"/>
      <c r="X294" s="11"/>
      <c r="Y294" s="11"/>
      <c r="Z294" s="402"/>
      <c r="AA294" s="402"/>
    </row>
    <row r="295" ht="13.5" customHeight="1">
      <c r="A295" s="11"/>
      <c r="B295" s="11"/>
      <c r="C295" s="11"/>
      <c r="D295" s="11"/>
      <c r="E295" s="11"/>
      <c r="F295" s="253"/>
      <c r="G295" s="253"/>
      <c r="H295" s="11"/>
      <c r="I295" s="429"/>
      <c r="J295" s="427"/>
      <c r="K295" s="395"/>
      <c r="L295" s="431"/>
      <c r="M295" s="11"/>
      <c r="N295" s="11"/>
      <c r="O295" s="71"/>
      <c r="P295" s="427"/>
      <c r="Q295" s="397"/>
      <c r="R295" s="395"/>
      <c r="S295" s="398"/>
      <c r="T295" s="399"/>
      <c r="U295" s="11"/>
      <c r="V295" s="11"/>
      <c r="W295" s="11"/>
      <c r="X295" s="11"/>
      <c r="Y295" s="11"/>
      <c r="Z295" s="402"/>
      <c r="AA295" s="402"/>
    </row>
    <row r="296" ht="13.5" customHeight="1">
      <c r="A296" s="11"/>
      <c r="B296" s="11"/>
      <c r="C296" s="11"/>
      <c r="D296" s="11"/>
      <c r="E296" s="11"/>
      <c r="F296" s="253"/>
      <c r="G296" s="253"/>
      <c r="H296" s="11"/>
      <c r="I296" s="429"/>
      <c r="J296" s="427"/>
      <c r="K296" s="395"/>
      <c r="L296" s="431"/>
      <c r="M296" s="11"/>
      <c r="N296" s="11"/>
      <c r="O296" s="71"/>
      <c r="P296" s="427"/>
      <c r="Q296" s="397"/>
      <c r="R296" s="395"/>
      <c r="S296" s="398"/>
      <c r="T296" s="399"/>
      <c r="U296" s="11"/>
      <c r="V296" s="11"/>
      <c r="W296" s="11"/>
      <c r="X296" s="11"/>
      <c r="Y296" s="11"/>
      <c r="Z296" s="402"/>
      <c r="AA296" s="402"/>
    </row>
    <row r="297" ht="13.5" customHeight="1">
      <c r="A297" s="11"/>
      <c r="B297" s="11"/>
      <c r="C297" s="11"/>
      <c r="D297" s="11"/>
      <c r="E297" s="11"/>
      <c r="F297" s="253"/>
      <c r="G297" s="253"/>
      <c r="H297" s="11"/>
      <c r="I297" s="429"/>
      <c r="J297" s="427"/>
      <c r="K297" s="395"/>
      <c r="L297" s="431"/>
      <c r="M297" s="11"/>
      <c r="N297" s="11"/>
      <c r="O297" s="71"/>
      <c r="P297" s="427"/>
      <c r="Q297" s="397"/>
      <c r="R297" s="395"/>
      <c r="S297" s="398"/>
      <c r="T297" s="399"/>
      <c r="U297" s="11"/>
      <c r="V297" s="11"/>
      <c r="W297" s="11"/>
      <c r="X297" s="11"/>
      <c r="Y297" s="11"/>
      <c r="Z297" s="402"/>
      <c r="AA297" s="402"/>
    </row>
    <row r="298" ht="13.5" customHeight="1">
      <c r="A298" s="11"/>
      <c r="B298" s="11"/>
      <c r="C298" s="11"/>
      <c r="D298" s="11"/>
      <c r="E298" s="11"/>
      <c r="F298" s="253"/>
      <c r="G298" s="253"/>
      <c r="H298" s="11"/>
      <c r="I298" s="429"/>
      <c r="J298" s="427"/>
      <c r="K298" s="395"/>
      <c r="L298" s="431"/>
      <c r="M298" s="11"/>
      <c r="N298" s="11"/>
      <c r="O298" s="71"/>
      <c r="P298" s="427"/>
      <c r="Q298" s="397"/>
      <c r="R298" s="395"/>
      <c r="S298" s="398"/>
      <c r="T298" s="399"/>
      <c r="U298" s="11"/>
      <c r="V298" s="11"/>
      <c r="W298" s="11"/>
      <c r="X298" s="11"/>
      <c r="Y298" s="11"/>
      <c r="Z298" s="402"/>
      <c r="AA298" s="402"/>
    </row>
    <row r="299" ht="13.5" customHeight="1">
      <c r="A299" s="11"/>
      <c r="B299" s="11"/>
      <c r="C299" s="11"/>
      <c r="D299" s="11"/>
      <c r="E299" s="11"/>
      <c r="F299" s="253"/>
      <c r="G299" s="253"/>
      <c r="H299" s="11"/>
      <c r="I299" s="429"/>
      <c r="J299" s="427"/>
      <c r="K299" s="395"/>
      <c r="L299" s="431"/>
      <c r="M299" s="11"/>
      <c r="N299" s="11"/>
      <c r="O299" s="71"/>
      <c r="P299" s="427"/>
      <c r="Q299" s="397"/>
      <c r="R299" s="395"/>
      <c r="S299" s="398"/>
      <c r="T299" s="399"/>
      <c r="U299" s="11"/>
      <c r="V299" s="11"/>
      <c r="W299" s="11"/>
      <c r="X299" s="11"/>
      <c r="Y299" s="11"/>
      <c r="Z299" s="402"/>
      <c r="AA299" s="402"/>
    </row>
    <row r="300" ht="13.5" customHeight="1">
      <c r="A300" s="11"/>
      <c r="B300" s="11"/>
      <c r="C300" s="11"/>
      <c r="D300" s="11"/>
      <c r="E300" s="11"/>
      <c r="F300" s="253"/>
      <c r="G300" s="253"/>
      <c r="H300" s="11"/>
      <c r="I300" s="429"/>
      <c r="J300" s="427"/>
      <c r="K300" s="395"/>
      <c r="L300" s="431"/>
      <c r="M300" s="11"/>
      <c r="N300" s="11"/>
      <c r="O300" s="71"/>
      <c r="P300" s="427"/>
      <c r="Q300" s="397"/>
      <c r="R300" s="395"/>
      <c r="S300" s="398"/>
      <c r="T300" s="399"/>
      <c r="U300" s="11"/>
      <c r="V300" s="11"/>
      <c r="W300" s="11"/>
      <c r="X300" s="11"/>
      <c r="Y300" s="11"/>
      <c r="Z300" s="402"/>
      <c r="AA300" s="402"/>
    </row>
    <row r="301" ht="13.5" customHeight="1">
      <c r="A301" s="11"/>
      <c r="B301" s="11"/>
      <c r="C301" s="11"/>
      <c r="D301" s="11"/>
      <c r="E301" s="11"/>
      <c r="F301" s="253"/>
      <c r="G301" s="253"/>
      <c r="H301" s="11"/>
      <c r="I301" s="429"/>
      <c r="J301" s="427"/>
      <c r="K301" s="395"/>
      <c r="L301" s="431"/>
      <c r="M301" s="11"/>
      <c r="N301" s="11"/>
      <c r="O301" s="71"/>
      <c r="P301" s="427"/>
      <c r="Q301" s="397"/>
      <c r="R301" s="395"/>
      <c r="S301" s="398"/>
      <c r="T301" s="399"/>
      <c r="U301" s="11"/>
      <c r="V301" s="11"/>
      <c r="W301" s="11"/>
      <c r="X301" s="11"/>
      <c r="Y301" s="11"/>
      <c r="Z301" s="402"/>
      <c r="AA301" s="402"/>
    </row>
    <row r="302" ht="13.5" customHeight="1">
      <c r="A302" s="11"/>
      <c r="B302" s="11"/>
      <c r="C302" s="11"/>
      <c r="D302" s="11"/>
      <c r="E302" s="11"/>
      <c r="F302" s="253"/>
      <c r="G302" s="253"/>
      <c r="H302" s="11"/>
      <c r="I302" s="429"/>
      <c r="J302" s="427"/>
      <c r="K302" s="395"/>
      <c r="L302" s="431"/>
      <c r="M302" s="11"/>
      <c r="N302" s="11"/>
      <c r="O302" s="71"/>
      <c r="P302" s="427"/>
      <c r="Q302" s="397"/>
      <c r="R302" s="395"/>
      <c r="S302" s="398"/>
      <c r="T302" s="399"/>
      <c r="U302" s="11"/>
      <c r="V302" s="11"/>
      <c r="W302" s="11"/>
      <c r="X302" s="11"/>
      <c r="Y302" s="11"/>
      <c r="Z302" s="402"/>
      <c r="AA302" s="402"/>
    </row>
    <row r="303" ht="13.5" customHeight="1">
      <c r="A303" s="11"/>
      <c r="B303" s="11"/>
      <c r="C303" s="11"/>
      <c r="D303" s="11"/>
      <c r="E303" s="11"/>
      <c r="F303" s="253"/>
      <c r="G303" s="253"/>
      <c r="H303" s="11"/>
      <c r="I303" s="429"/>
      <c r="J303" s="427"/>
      <c r="K303" s="395"/>
      <c r="L303" s="431"/>
      <c r="M303" s="11"/>
      <c r="N303" s="11"/>
      <c r="O303" s="71"/>
      <c r="P303" s="427"/>
      <c r="Q303" s="397"/>
      <c r="R303" s="395"/>
      <c r="S303" s="398"/>
      <c r="T303" s="399"/>
      <c r="U303" s="11"/>
      <c r="V303" s="11"/>
      <c r="W303" s="11"/>
      <c r="X303" s="11"/>
      <c r="Y303" s="11"/>
      <c r="Z303" s="402"/>
      <c r="AA303" s="402"/>
    </row>
    <row r="304" ht="13.5" customHeight="1">
      <c r="A304" s="11"/>
      <c r="B304" s="11"/>
      <c r="C304" s="11"/>
      <c r="D304" s="11"/>
      <c r="E304" s="11"/>
      <c r="F304" s="253"/>
      <c r="G304" s="253"/>
      <c r="H304" s="11"/>
      <c r="I304" s="429"/>
      <c r="J304" s="427"/>
      <c r="K304" s="395"/>
      <c r="L304" s="431"/>
      <c r="M304" s="11"/>
      <c r="N304" s="11"/>
      <c r="O304" s="71"/>
      <c r="P304" s="427"/>
      <c r="Q304" s="397"/>
      <c r="R304" s="395"/>
      <c r="S304" s="398"/>
      <c r="T304" s="399"/>
      <c r="U304" s="11"/>
      <c r="V304" s="11"/>
      <c r="W304" s="11"/>
      <c r="X304" s="11"/>
      <c r="Y304" s="11"/>
      <c r="Z304" s="402"/>
      <c r="AA304" s="402"/>
    </row>
    <row r="305" ht="13.5" customHeight="1">
      <c r="A305" s="11"/>
      <c r="B305" s="11"/>
      <c r="C305" s="11"/>
      <c r="D305" s="11"/>
      <c r="E305" s="11"/>
      <c r="F305" s="253"/>
      <c r="G305" s="253"/>
      <c r="H305" s="11"/>
      <c r="I305" s="429"/>
      <c r="J305" s="427"/>
      <c r="K305" s="395"/>
      <c r="L305" s="431"/>
      <c r="M305" s="11"/>
      <c r="N305" s="11"/>
      <c r="O305" s="71"/>
      <c r="P305" s="427"/>
      <c r="Q305" s="397"/>
      <c r="R305" s="395"/>
      <c r="S305" s="398"/>
      <c r="T305" s="399"/>
      <c r="U305" s="11"/>
      <c r="V305" s="11"/>
      <c r="W305" s="11"/>
      <c r="X305" s="11"/>
      <c r="Y305" s="11"/>
      <c r="Z305" s="402"/>
      <c r="AA305" s="402"/>
    </row>
    <row r="306" ht="13.5" customHeight="1">
      <c r="A306" s="11"/>
      <c r="B306" s="11"/>
      <c r="C306" s="11"/>
      <c r="D306" s="11"/>
      <c r="E306" s="11"/>
      <c r="F306" s="253"/>
      <c r="G306" s="253"/>
      <c r="H306" s="11"/>
      <c r="I306" s="429"/>
      <c r="J306" s="427"/>
      <c r="K306" s="395"/>
      <c r="L306" s="431"/>
      <c r="M306" s="11"/>
      <c r="N306" s="11"/>
      <c r="O306" s="71"/>
      <c r="P306" s="427"/>
      <c r="Q306" s="397"/>
      <c r="R306" s="395"/>
      <c r="S306" s="398"/>
      <c r="T306" s="399"/>
      <c r="U306" s="11"/>
      <c r="V306" s="11"/>
      <c r="W306" s="11"/>
      <c r="X306" s="11"/>
      <c r="Y306" s="11"/>
      <c r="Z306" s="402"/>
      <c r="AA306" s="402"/>
    </row>
    <row r="307" ht="13.5" customHeight="1">
      <c r="A307" s="11"/>
      <c r="B307" s="11"/>
      <c r="C307" s="11"/>
      <c r="D307" s="11"/>
      <c r="E307" s="11"/>
      <c r="F307" s="253"/>
      <c r="G307" s="253"/>
      <c r="H307" s="11"/>
      <c r="I307" s="429"/>
      <c r="J307" s="427"/>
      <c r="K307" s="395"/>
      <c r="L307" s="431"/>
      <c r="M307" s="11"/>
      <c r="N307" s="11"/>
      <c r="O307" s="71"/>
      <c r="P307" s="427"/>
      <c r="Q307" s="397"/>
      <c r="R307" s="395"/>
      <c r="S307" s="398"/>
      <c r="T307" s="399"/>
      <c r="U307" s="11"/>
      <c r="V307" s="11"/>
      <c r="W307" s="11"/>
      <c r="X307" s="11"/>
      <c r="Y307" s="11"/>
      <c r="Z307" s="402"/>
      <c r="AA307" s="402"/>
    </row>
    <row r="308" ht="13.5" customHeight="1">
      <c r="A308" s="11"/>
      <c r="B308" s="11"/>
      <c r="C308" s="11"/>
      <c r="D308" s="11"/>
      <c r="E308" s="11"/>
      <c r="F308" s="253"/>
      <c r="G308" s="253"/>
      <c r="H308" s="11"/>
      <c r="I308" s="429"/>
      <c r="J308" s="427"/>
      <c r="K308" s="395"/>
      <c r="L308" s="431"/>
      <c r="M308" s="11"/>
      <c r="N308" s="11"/>
      <c r="O308" s="71"/>
      <c r="P308" s="427"/>
      <c r="Q308" s="397"/>
      <c r="R308" s="395"/>
      <c r="S308" s="398"/>
      <c r="T308" s="399"/>
      <c r="U308" s="11"/>
      <c r="V308" s="11"/>
      <c r="W308" s="11"/>
      <c r="X308" s="11"/>
      <c r="Y308" s="11"/>
      <c r="Z308" s="402"/>
      <c r="AA308" s="402"/>
    </row>
    <row r="309" ht="13.5" customHeight="1">
      <c r="A309" s="11"/>
      <c r="B309" s="11"/>
      <c r="C309" s="11"/>
      <c r="D309" s="11"/>
      <c r="E309" s="11"/>
      <c r="F309" s="253"/>
      <c r="G309" s="253"/>
      <c r="H309" s="11"/>
      <c r="I309" s="429"/>
      <c r="J309" s="427"/>
      <c r="K309" s="395"/>
      <c r="L309" s="431"/>
      <c r="M309" s="11"/>
      <c r="N309" s="11"/>
      <c r="O309" s="71"/>
      <c r="P309" s="427"/>
      <c r="Q309" s="397"/>
      <c r="R309" s="395"/>
      <c r="S309" s="398"/>
      <c r="T309" s="399"/>
      <c r="U309" s="11"/>
      <c r="V309" s="11"/>
      <c r="W309" s="11"/>
      <c r="X309" s="11"/>
      <c r="Y309" s="11"/>
      <c r="Z309" s="402"/>
      <c r="AA309" s="402"/>
    </row>
    <row r="310" ht="13.5" customHeight="1">
      <c r="A310" s="11"/>
      <c r="B310" s="11"/>
      <c r="C310" s="11"/>
      <c r="D310" s="11"/>
      <c r="E310" s="11"/>
      <c r="F310" s="253"/>
      <c r="G310" s="253"/>
      <c r="H310" s="11"/>
      <c r="I310" s="429"/>
      <c r="J310" s="427"/>
      <c r="K310" s="395"/>
      <c r="L310" s="431"/>
      <c r="M310" s="11"/>
      <c r="N310" s="11"/>
      <c r="O310" s="71"/>
      <c r="P310" s="427"/>
      <c r="Q310" s="397"/>
      <c r="R310" s="395"/>
      <c r="S310" s="398"/>
      <c r="T310" s="399"/>
      <c r="U310" s="11"/>
      <c r="V310" s="11"/>
      <c r="W310" s="11"/>
      <c r="X310" s="11"/>
      <c r="Y310" s="11"/>
      <c r="Z310" s="402"/>
      <c r="AA310" s="402"/>
    </row>
    <row r="311" ht="13.5" customHeight="1">
      <c r="A311" s="11"/>
      <c r="B311" s="11"/>
      <c r="C311" s="11"/>
      <c r="D311" s="11"/>
      <c r="E311" s="11"/>
      <c r="F311" s="253"/>
      <c r="G311" s="253"/>
      <c r="H311" s="11"/>
      <c r="I311" s="429"/>
      <c r="J311" s="427"/>
      <c r="K311" s="395"/>
      <c r="L311" s="431"/>
      <c r="M311" s="11"/>
      <c r="N311" s="11"/>
      <c r="O311" s="71"/>
      <c r="P311" s="427"/>
      <c r="Q311" s="397"/>
      <c r="R311" s="395"/>
      <c r="S311" s="398"/>
      <c r="T311" s="399"/>
      <c r="U311" s="11"/>
      <c r="V311" s="11"/>
      <c r="W311" s="11"/>
      <c r="X311" s="11"/>
      <c r="Y311" s="11"/>
      <c r="Z311" s="402"/>
      <c r="AA311" s="402"/>
    </row>
    <row r="312" ht="13.5" customHeight="1">
      <c r="A312" s="11"/>
      <c r="B312" s="11"/>
      <c r="C312" s="11"/>
      <c r="D312" s="11"/>
      <c r="E312" s="11"/>
      <c r="F312" s="253"/>
      <c r="G312" s="253"/>
      <c r="H312" s="11"/>
      <c r="I312" s="429"/>
      <c r="J312" s="427"/>
      <c r="K312" s="395"/>
      <c r="L312" s="431"/>
      <c r="M312" s="11"/>
      <c r="N312" s="11"/>
      <c r="O312" s="71"/>
      <c r="P312" s="427"/>
      <c r="Q312" s="397"/>
      <c r="R312" s="395"/>
      <c r="S312" s="398"/>
      <c r="T312" s="399"/>
      <c r="U312" s="11"/>
      <c r="V312" s="11"/>
      <c r="W312" s="11"/>
      <c r="X312" s="11"/>
      <c r="Y312" s="11"/>
      <c r="Z312" s="402"/>
      <c r="AA312" s="402"/>
    </row>
    <row r="313" ht="13.5" customHeight="1">
      <c r="A313" s="11"/>
      <c r="B313" s="11"/>
      <c r="C313" s="11"/>
      <c r="D313" s="11"/>
      <c r="E313" s="11"/>
      <c r="F313" s="253"/>
      <c r="G313" s="253"/>
      <c r="H313" s="11"/>
      <c r="I313" s="429"/>
      <c r="J313" s="427"/>
      <c r="K313" s="395"/>
      <c r="L313" s="431"/>
      <c r="M313" s="11"/>
      <c r="N313" s="11"/>
      <c r="O313" s="71"/>
      <c r="P313" s="427"/>
      <c r="Q313" s="397"/>
      <c r="R313" s="395"/>
      <c r="S313" s="398"/>
      <c r="T313" s="399"/>
      <c r="U313" s="11"/>
      <c r="V313" s="11"/>
      <c r="W313" s="11"/>
      <c r="X313" s="11"/>
      <c r="Y313" s="11"/>
      <c r="Z313" s="402"/>
      <c r="AA313" s="402"/>
    </row>
    <row r="314" ht="13.5" customHeight="1">
      <c r="A314" s="11"/>
      <c r="B314" s="11"/>
      <c r="C314" s="11"/>
      <c r="D314" s="11"/>
      <c r="E314" s="11"/>
      <c r="F314" s="253"/>
      <c r="G314" s="253"/>
      <c r="H314" s="11"/>
      <c r="I314" s="429"/>
      <c r="J314" s="427"/>
      <c r="K314" s="395"/>
      <c r="L314" s="431"/>
      <c r="M314" s="11"/>
      <c r="N314" s="11"/>
      <c r="O314" s="71"/>
      <c r="P314" s="427"/>
      <c r="Q314" s="397"/>
      <c r="R314" s="395"/>
      <c r="S314" s="398"/>
      <c r="T314" s="399"/>
      <c r="U314" s="11"/>
      <c r="V314" s="11"/>
      <c r="W314" s="11"/>
      <c r="X314" s="11"/>
      <c r="Y314" s="11"/>
      <c r="Z314" s="402"/>
      <c r="AA314" s="402"/>
    </row>
    <row r="315" ht="13.5" customHeight="1">
      <c r="A315" s="11"/>
      <c r="B315" s="11"/>
      <c r="C315" s="11"/>
      <c r="D315" s="11"/>
      <c r="E315" s="11"/>
      <c r="F315" s="253"/>
      <c r="G315" s="253"/>
      <c r="H315" s="11"/>
      <c r="I315" s="429"/>
      <c r="J315" s="427"/>
      <c r="K315" s="395"/>
      <c r="L315" s="431"/>
      <c r="M315" s="11"/>
      <c r="N315" s="11"/>
      <c r="O315" s="71"/>
      <c r="P315" s="427"/>
      <c r="Q315" s="397"/>
      <c r="R315" s="395"/>
      <c r="S315" s="398"/>
      <c r="T315" s="399"/>
      <c r="U315" s="11"/>
      <c r="V315" s="11"/>
      <c r="W315" s="11"/>
      <c r="X315" s="11"/>
      <c r="Y315" s="11"/>
      <c r="Z315" s="402"/>
      <c r="AA315" s="402"/>
    </row>
    <row r="316" ht="13.5" customHeight="1">
      <c r="A316" s="11"/>
      <c r="B316" s="11"/>
      <c r="C316" s="11"/>
      <c r="D316" s="11"/>
      <c r="E316" s="11"/>
      <c r="F316" s="253"/>
      <c r="G316" s="253"/>
      <c r="H316" s="11"/>
      <c r="I316" s="429"/>
      <c r="J316" s="427"/>
      <c r="K316" s="395"/>
      <c r="L316" s="431"/>
      <c r="M316" s="11"/>
      <c r="N316" s="11"/>
      <c r="O316" s="71"/>
      <c r="P316" s="427"/>
      <c r="Q316" s="397"/>
      <c r="R316" s="395"/>
      <c r="S316" s="398"/>
      <c r="T316" s="399"/>
      <c r="U316" s="11"/>
      <c r="V316" s="11"/>
      <c r="W316" s="11"/>
      <c r="X316" s="11"/>
      <c r="Y316" s="11"/>
      <c r="Z316" s="402"/>
      <c r="AA316" s="402"/>
    </row>
    <row r="317" ht="13.5" customHeight="1">
      <c r="A317" s="11"/>
      <c r="B317" s="11"/>
      <c r="C317" s="11"/>
      <c r="D317" s="11"/>
      <c r="E317" s="11"/>
      <c r="F317" s="253"/>
      <c r="G317" s="253"/>
      <c r="H317" s="11"/>
      <c r="I317" s="429"/>
      <c r="J317" s="427"/>
      <c r="K317" s="395"/>
      <c r="L317" s="431"/>
      <c r="M317" s="11"/>
      <c r="N317" s="11"/>
      <c r="O317" s="71"/>
      <c r="P317" s="427"/>
      <c r="Q317" s="397"/>
      <c r="R317" s="395"/>
      <c r="S317" s="398"/>
      <c r="T317" s="399"/>
      <c r="U317" s="11"/>
      <c r="V317" s="11"/>
      <c r="W317" s="11"/>
      <c r="X317" s="11"/>
      <c r="Y317" s="11"/>
      <c r="Z317" s="402"/>
      <c r="AA317" s="402"/>
    </row>
    <row r="318" ht="13.5" customHeight="1">
      <c r="A318" s="11"/>
      <c r="B318" s="11"/>
      <c r="C318" s="11"/>
      <c r="D318" s="11"/>
      <c r="E318" s="11"/>
      <c r="F318" s="253"/>
      <c r="G318" s="253"/>
      <c r="H318" s="11"/>
      <c r="I318" s="429"/>
      <c r="J318" s="427"/>
      <c r="K318" s="395"/>
      <c r="L318" s="431"/>
      <c r="M318" s="11"/>
      <c r="N318" s="11"/>
      <c r="O318" s="71"/>
      <c r="P318" s="427"/>
      <c r="Q318" s="397"/>
      <c r="R318" s="395"/>
      <c r="S318" s="398"/>
      <c r="T318" s="399"/>
      <c r="U318" s="11"/>
      <c r="V318" s="11"/>
      <c r="W318" s="11"/>
      <c r="X318" s="11"/>
      <c r="Y318" s="11"/>
      <c r="Z318" s="402"/>
      <c r="AA318" s="402"/>
    </row>
    <row r="319" ht="13.5" customHeight="1">
      <c r="A319" s="11"/>
      <c r="B319" s="11"/>
      <c r="C319" s="11"/>
      <c r="D319" s="11"/>
      <c r="E319" s="11"/>
      <c r="F319" s="253"/>
      <c r="G319" s="253"/>
      <c r="H319" s="11"/>
      <c r="I319" s="429"/>
      <c r="J319" s="427"/>
      <c r="K319" s="395"/>
      <c r="L319" s="431"/>
      <c r="M319" s="11"/>
      <c r="N319" s="11"/>
      <c r="O319" s="71"/>
      <c r="P319" s="427"/>
      <c r="Q319" s="397"/>
      <c r="R319" s="395"/>
      <c r="S319" s="398"/>
      <c r="T319" s="399"/>
      <c r="U319" s="11"/>
      <c r="V319" s="11"/>
      <c r="W319" s="11"/>
      <c r="X319" s="11"/>
      <c r="Y319" s="11"/>
      <c r="Z319" s="402"/>
      <c r="AA319" s="402"/>
    </row>
    <row r="320" ht="13.5" customHeight="1">
      <c r="A320" s="11"/>
      <c r="B320" s="11"/>
      <c r="C320" s="11"/>
      <c r="D320" s="11"/>
      <c r="E320" s="11"/>
      <c r="F320" s="253"/>
      <c r="G320" s="253"/>
      <c r="H320" s="11"/>
      <c r="I320" s="429"/>
      <c r="J320" s="427"/>
      <c r="K320" s="395"/>
      <c r="L320" s="431"/>
      <c r="M320" s="11"/>
      <c r="N320" s="11"/>
      <c r="O320" s="71"/>
      <c r="P320" s="427"/>
      <c r="Q320" s="397"/>
      <c r="R320" s="395"/>
      <c r="S320" s="398"/>
      <c r="T320" s="399"/>
      <c r="U320" s="11"/>
      <c r="V320" s="11"/>
      <c r="W320" s="11"/>
      <c r="X320" s="11"/>
      <c r="Y320" s="11"/>
      <c r="Z320" s="402"/>
      <c r="AA320" s="402"/>
    </row>
    <row r="321" ht="13.5" customHeight="1">
      <c r="A321" s="11"/>
      <c r="B321" s="11"/>
      <c r="C321" s="11"/>
      <c r="D321" s="11"/>
      <c r="E321" s="11"/>
      <c r="F321" s="253"/>
      <c r="G321" s="253"/>
      <c r="H321" s="11"/>
      <c r="I321" s="429"/>
      <c r="J321" s="427"/>
      <c r="K321" s="395"/>
      <c r="L321" s="431"/>
      <c r="M321" s="11"/>
      <c r="N321" s="11"/>
      <c r="O321" s="71"/>
      <c r="P321" s="427"/>
      <c r="Q321" s="397"/>
      <c r="R321" s="395"/>
      <c r="S321" s="398"/>
      <c r="T321" s="399"/>
      <c r="U321" s="11"/>
      <c r="V321" s="11"/>
      <c r="W321" s="11"/>
      <c r="X321" s="11"/>
      <c r="Y321" s="11"/>
      <c r="Z321" s="402"/>
      <c r="AA321" s="402"/>
    </row>
    <row r="322" ht="13.5" customHeight="1">
      <c r="A322" s="11"/>
      <c r="B322" s="11"/>
      <c r="C322" s="11"/>
      <c r="D322" s="11"/>
      <c r="E322" s="11"/>
      <c r="F322" s="253"/>
      <c r="G322" s="253"/>
      <c r="H322" s="11"/>
      <c r="I322" s="429"/>
      <c r="J322" s="427"/>
      <c r="K322" s="395"/>
      <c r="L322" s="431"/>
      <c r="M322" s="11"/>
      <c r="N322" s="11"/>
      <c r="O322" s="71"/>
      <c r="P322" s="427"/>
      <c r="Q322" s="397"/>
      <c r="R322" s="395"/>
      <c r="S322" s="398"/>
      <c r="T322" s="399"/>
      <c r="U322" s="11"/>
      <c r="V322" s="11"/>
      <c r="W322" s="11"/>
      <c r="X322" s="11"/>
      <c r="Y322" s="11"/>
      <c r="Z322" s="402"/>
      <c r="AA322" s="402"/>
    </row>
    <row r="323" ht="13.5" customHeight="1">
      <c r="A323" s="11"/>
      <c r="B323" s="11"/>
      <c r="C323" s="11"/>
      <c r="D323" s="11"/>
      <c r="E323" s="11"/>
      <c r="F323" s="253"/>
      <c r="G323" s="253"/>
      <c r="H323" s="11"/>
      <c r="I323" s="429"/>
      <c r="J323" s="427"/>
      <c r="K323" s="395"/>
      <c r="L323" s="431"/>
      <c r="M323" s="11"/>
      <c r="N323" s="11"/>
      <c r="O323" s="71"/>
      <c r="P323" s="427"/>
      <c r="Q323" s="397"/>
      <c r="R323" s="395"/>
      <c r="S323" s="398"/>
      <c r="T323" s="399"/>
      <c r="U323" s="11"/>
      <c r="V323" s="11"/>
      <c r="W323" s="11"/>
      <c r="X323" s="11"/>
      <c r="Y323" s="11"/>
      <c r="Z323" s="402"/>
      <c r="AA323" s="402"/>
    </row>
    <row r="324" ht="13.5" customHeight="1">
      <c r="A324" s="11"/>
      <c r="B324" s="11"/>
      <c r="C324" s="11"/>
      <c r="D324" s="11"/>
      <c r="E324" s="11"/>
      <c r="F324" s="253"/>
      <c r="G324" s="253"/>
      <c r="H324" s="11"/>
      <c r="I324" s="429"/>
      <c r="J324" s="427"/>
      <c r="K324" s="395"/>
      <c r="L324" s="431"/>
      <c r="M324" s="11"/>
      <c r="N324" s="11"/>
      <c r="O324" s="71"/>
      <c r="P324" s="427"/>
      <c r="Q324" s="397"/>
      <c r="R324" s="395"/>
      <c r="S324" s="398"/>
      <c r="T324" s="399"/>
      <c r="U324" s="11"/>
      <c r="V324" s="11"/>
      <c r="W324" s="11"/>
      <c r="X324" s="11"/>
      <c r="Y324" s="11"/>
      <c r="Z324" s="402"/>
      <c r="AA324" s="402"/>
    </row>
    <row r="325" ht="13.5" customHeight="1">
      <c r="A325" s="11"/>
      <c r="B325" s="11"/>
      <c r="C325" s="11"/>
      <c r="D325" s="11"/>
      <c r="E325" s="11"/>
      <c r="F325" s="253"/>
      <c r="G325" s="253"/>
      <c r="H325" s="11"/>
      <c r="I325" s="429"/>
      <c r="J325" s="427"/>
      <c r="K325" s="395"/>
      <c r="L325" s="431"/>
      <c r="M325" s="11"/>
      <c r="N325" s="11"/>
      <c r="O325" s="71"/>
      <c r="P325" s="427"/>
      <c r="Q325" s="397"/>
      <c r="R325" s="395"/>
      <c r="S325" s="398"/>
      <c r="T325" s="399"/>
      <c r="U325" s="11"/>
      <c r="V325" s="11"/>
      <c r="W325" s="11"/>
      <c r="X325" s="11"/>
      <c r="Y325" s="11"/>
      <c r="Z325" s="402"/>
      <c r="AA325" s="402"/>
    </row>
    <row r="326" ht="13.5" customHeight="1">
      <c r="A326" s="11"/>
      <c r="B326" s="11"/>
      <c r="C326" s="11"/>
      <c r="D326" s="11"/>
      <c r="E326" s="11"/>
      <c r="F326" s="253"/>
      <c r="G326" s="253"/>
      <c r="H326" s="11"/>
      <c r="I326" s="429"/>
      <c r="J326" s="427"/>
      <c r="K326" s="395"/>
      <c r="L326" s="431"/>
      <c r="M326" s="11"/>
      <c r="N326" s="11"/>
      <c r="O326" s="71"/>
      <c r="P326" s="427"/>
      <c r="Q326" s="397"/>
      <c r="R326" s="395"/>
      <c r="S326" s="398"/>
      <c r="T326" s="399"/>
      <c r="U326" s="11"/>
      <c r="V326" s="11"/>
      <c r="W326" s="11"/>
      <c r="X326" s="11"/>
      <c r="Y326" s="11"/>
      <c r="Z326" s="402"/>
      <c r="AA326" s="402"/>
    </row>
    <row r="327" ht="13.5" customHeight="1">
      <c r="A327" s="11"/>
      <c r="B327" s="11"/>
      <c r="C327" s="11"/>
      <c r="D327" s="11"/>
      <c r="E327" s="11"/>
      <c r="F327" s="253"/>
      <c r="G327" s="253"/>
      <c r="H327" s="11"/>
      <c r="I327" s="429"/>
      <c r="J327" s="427"/>
      <c r="K327" s="395"/>
      <c r="L327" s="431"/>
      <c r="M327" s="11"/>
      <c r="N327" s="11"/>
      <c r="O327" s="71"/>
      <c r="P327" s="427"/>
      <c r="Q327" s="397"/>
      <c r="R327" s="395"/>
      <c r="S327" s="398"/>
      <c r="T327" s="399"/>
      <c r="U327" s="11"/>
      <c r="V327" s="11"/>
      <c r="W327" s="11"/>
      <c r="X327" s="11"/>
      <c r="Y327" s="11"/>
      <c r="Z327" s="402"/>
      <c r="AA327" s="402"/>
    </row>
    <row r="328" ht="13.5" customHeight="1">
      <c r="A328" s="11"/>
      <c r="B328" s="11"/>
      <c r="C328" s="11"/>
      <c r="D328" s="11"/>
      <c r="E328" s="11"/>
      <c r="F328" s="253"/>
      <c r="G328" s="253"/>
      <c r="H328" s="11"/>
      <c r="I328" s="429"/>
      <c r="J328" s="427"/>
      <c r="K328" s="395"/>
      <c r="L328" s="431"/>
      <c r="M328" s="11"/>
      <c r="N328" s="11"/>
      <c r="O328" s="71"/>
      <c r="P328" s="427"/>
      <c r="Q328" s="397"/>
      <c r="R328" s="395"/>
      <c r="S328" s="398"/>
      <c r="T328" s="399"/>
      <c r="U328" s="11"/>
      <c r="V328" s="11"/>
      <c r="W328" s="11"/>
      <c r="X328" s="11"/>
      <c r="Y328" s="11"/>
      <c r="Z328" s="402"/>
      <c r="AA328" s="402"/>
    </row>
    <row r="329" ht="13.5" customHeight="1">
      <c r="A329" s="11"/>
      <c r="B329" s="11"/>
      <c r="C329" s="11"/>
      <c r="D329" s="11"/>
      <c r="E329" s="11"/>
      <c r="F329" s="253"/>
      <c r="G329" s="253"/>
      <c r="H329" s="11"/>
      <c r="I329" s="429"/>
      <c r="J329" s="427"/>
      <c r="K329" s="395"/>
      <c r="L329" s="431"/>
      <c r="M329" s="11"/>
      <c r="N329" s="11"/>
      <c r="O329" s="71"/>
      <c r="P329" s="427"/>
      <c r="Q329" s="397"/>
      <c r="R329" s="395"/>
      <c r="S329" s="398"/>
      <c r="T329" s="399"/>
      <c r="U329" s="11"/>
      <c r="V329" s="11"/>
      <c r="W329" s="11"/>
      <c r="X329" s="11"/>
      <c r="Y329" s="11"/>
      <c r="Z329" s="402"/>
      <c r="AA329" s="402"/>
    </row>
    <row r="330" ht="13.5" customHeight="1">
      <c r="A330" s="11"/>
      <c r="B330" s="11"/>
      <c r="C330" s="11"/>
      <c r="D330" s="11"/>
      <c r="E330" s="11"/>
      <c r="F330" s="253"/>
      <c r="G330" s="253"/>
      <c r="H330" s="11"/>
      <c r="I330" s="429"/>
      <c r="J330" s="427"/>
      <c r="K330" s="395"/>
      <c r="L330" s="431"/>
      <c r="M330" s="11"/>
      <c r="N330" s="11"/>
      <c r="O330" s="71"/>
      <c r="P330" s="427"/>
      <c r="Q330" s="397"/>
      <c r="R330" s="395"/>
      <c r="S330" s="398"/>
      <c r="T330" s="399"/>
      <c r="U330" s="11"/>
      <c r="V330" s="11"/>
      <c r="W330" s="11"/>
      <c r="X330" s="11"/>
      <c r="Y330" s="11"/>
      <c r="Z330" s="402"/>
      <c r="AA330" s="402"/>
    </row>
    <row r="331" ht="13.5" customHeight="1">
      <c r="A331" s="11"/>
      <c r="B331" s="11"/>
      <c r="C331" s="11"/>
      <c r="D331" s="11"/>
      <c r="E331" s="11"/>
      <c r="F331" s="253"/>
      <c r="G331" s="253"/>
      <c r="H331" s="11"/>
      <c r="I331" s="429"/>
      <c r="J331" s="427"/>
      <c r="K331" s="395"/>
      <c r="L331" s="431"/>
      <c r="M331" s="11"/>
      <c r="N331" s="11"/>
      <c r="O331" s="71"/>
      <c r="P331" s="427"/>
      <c r="Q331" s="397"/>
      <c r="R331" s="395"/>
      <c r="S331" s="398"/>
      <c r="T331" s="399"/>
      <c r="U331" s="11"/>
      <c r="V331" s="11"/>
      <c r="W331" s="11"/>
      <c r="X331" s="11"/>
      <c r="Y331" s="11"/>
      <c r="Z331" s="402"/>
      <c r="AA331" s="402"/>
    </row>
    <row r="332" ht="13.5" customHeight="1">
      <c r="A332" s="11"/>
      <c r="B332" s="11"/>
      <c r="C332" s="11"/>
      <c r="D332" s="11"/>
      <c r="E332" s="11"/>
      <c r="F332" s="253"/>
      <c r="G332" s="253"/>
      <c r="H332" s="11"/>
      <c r="I332" s="429"/>
      <c r="J332" s="427"/>
      <c r="K332" s="395"/>
      <c r="L332" s="431"/>
      <c r="M332" s="11"/>
      <c r="N332" s="11"/>
      <c r="O332" s="71"/>
      <c r="P332" s="427"/>
      <c r="Q332" s="397"/>
      <c r="R332" s="395"/>
      <c r="S332" s="398"/>
      <c r="T332" s="399"/>
      <c r="U332" s="11"/>
      <c r="V332" s="11"/>
      <c r="W332" s="11"/>
      <c r="X332" s="11"/>
      <c r="Y332" s="11"/>
      <c r="Z332" s="402"/>
      <c r="AA332" s="402"/>
    </row>
    <row r="333" ht="13.5" customHeight="1">
      <c r="A333" s="11"/>
      <c r="B333" s="11"/>
      <c r="C333" s="11"/>
      <c r="D333" s="11"/>
      <c r="E333" s="11"/>
      <c r="F333" s="253"/>
      <c r="G333" s="253"/>
      <c r="H333" s="11"/>
      <c r="I333" s="429"/>
      <c r="J333" s="427"/>
      <c r="K333" s="395"/>
      <c r="L333" s="431"/>
      <c r="M333" s="11"/>
      <c r="N333" s="11"/>
      <c r="O333" s="71"/>
      <c r="P333" s="427"/>
      <c r="Q333" s="397"/>
      <c r="R333" s="395"/>
      <c r="S333" s="398"/>
      <c r="T333" s="399"/>
      <c r="U333" s="11"/>
      <c r="V333" s="11"/>
      <c r="W333" s="11"/>
      <c r="X333" s="11"/>
      <c r="Y333" s="11"/>
      <c r="Z333" s="402"/>
      <c r="AA333" s="402"/>
    </row>
    <row r="334" ht="13.5" customHeight="1">
      <c r="A334" s="11"/>
      <c r="B334" s="11"/>
      <c r="C334" s="11"/>
      <c r="D334" s="11"/>
      <c r="E334" s="11"/>
      <c r="F334" s="253"/>
      <c r="G334" s="253"/>
      <c r="H334" s="11"/>
      <c r="I334" s="429"/>
      <c r="J334" s="427"/>
      <c r="K334" s="395"/>
      <c r="L334" s="431"/>
      <c r="M334" s="11"/>
      <c r="N334" s="11"/>
      <c r="O334" s="71"/>
      <c r="P334" s="427"/>
      <c r="Q334" s="397"/>
      <c r="R334" s="395"/>
      <c r="S334" s="398"/>
      <c r="T334" s="399"/>
      <c r="U334" s="11"/>
      <c r="V334" s="11"/>
      <c r="W334" s="11"/>
      <c r="X334" s="11"/>
      <c r="Y334" s="11"/>
      <c r="Z334" s="402"/>
      <c r="AA334" s="402"/>
    </row>
    <row r="335" ht="13.5" customHeight="1">
      <c r="A335" s="11"/>
      <c r="B335" s="11"/>
      <c r="C335" s="11"/>
      <c r="D335" s="11"/>
      <c r="E335" s="11"/>
      <c r="F335" s="253"/>
      <c r="G335" s="253"/>
      <c r="H335" s="11"/>
      <c r="I335" s="429"/>
      <c r="J335" s="427"/>
      <c r="K335" s="395"/>
      <c r="L335" s="431"/>
      <c r="M335" s="11"/>
      <c r="N335" s="11"/>
      <c r="O335" s="71"/>
      <c r="P335" s="427"/>
      <c r="Q335" s="397"/>
      <c r="R335" s="395"/>
      <c r="S335" s="398"/>
      <c r="T335" s="399"/>
      <c r="U335" s="11"/>
      <c r="V335" s="11"/>
      <c r="W335" s="11"/>
      <c r="X335" s="11"/>
      <c r="Y335" s="11"/>
      <c r="Z335" s="402"/>
      <c r="AA335" s="402"/>
    </row>
    <row r="336" ht="13.5" customHeight="1">
      <c r="A336" s="11"/>
      <c r="B336" s="11"/>
      <c r="C336" s="11"/>
      <c r="D336" s="11"/>
      <c r="E336" s="11"/>
      <c r="F336" s="253"/>
      <c r="G336" s="253"/>
      <c r="H336" s="11"/>
      <c r="I336" s="429"/>
      <c r="J336" s="427"/>
      <c r="K336" s="395"/>
      <c r="L336" s="431"/>
      <c r="M336" s="11"/>
      <c r="N336" s="11"/>
      <c r="O336" s="71"/>
      <c r="P336" s="427"/>
      <c r="Q336" s="397"/>
      <c r="R336" s="395"/>
      <c r="S336" s="398"/>
      <c r="T336" s="399"/>
      <c r="U336" s="11"/>
      <c r="V336" s="11"/>
      <c r="W336" s="11"/>
      <c r="X336" s="11"/>
      <c r="Y336" s="11"/>
      <c r="Z336" s="402"/>
      <c r="AA336" s="402"/>
    </row>
    <row r="337" ht="13.5" customHeight="1">
      <c r="A337" s="11"/>
      <c r="B337" s="11"/>
      <c r="C337" s="11"/>
      <c r="D337" s="11"/>
      <c r="E337" s="11"/>
      <c r="F337" s="253"/>
      <c r="G337" s="253"/>
      <c r="H337" s="11"/>
      <c r="I337" s="429"/>
      <c r="J337" s="427"/>
      <c r="K337" s="395"/>
      <c r="L337" s="431"/>
      <c r="M337" s="11"/>
      <c r="N337" s="11"/>
      <c r="O337" s="71"/>
      <c r="P337" s="427"/>
      <c r="Q337" s="397"/>
      <c r="R337" s="395"/>
      <c r="S337" s="398"/>
      <c r="T337" s="399"/>
      <c r="U337" s="11"/>
      <c r="V337" s="11"/>
      <c r="W337" s="11"/>
      <c r="X337" s="11"/>
      <c r="Y337" s="11"/>
      <c r="Z337" s="402"/>
      <c r="AA337" s="402"/>
    </row>
    <row r="338" ht="13.5" customHeight="1">
      <c r="A338" s="11"/>
      <c r="B338" s="11"/>
      <c r="C338" s="11"/>
      <c r="D338" s="11"/>
      <c r="E338" s="11"/>
      <c r="F338" s="253"/>
      <c r="G338" s="253"/>
      <c r="H338" s="11"/>
      <c r="I338" s="429"/>
      <c r="J338" s="427"/>
      <c r="K338" s="395"/>
      <c r="L338" s="431"/>
      <c r="M338" s="11"/>
      <c r="N338" s="11"/>
      <c r="O338" s="71"/>
      <c r="P338" s="427"/>
      <c r="Q338" s="397"/>
      <c r="R338" s="395"/>
      <c r="S338" s="398"/>
      <c r="T338" s="399"/>
      <c r="U338" s="11"/>
      <c r="V338" s="11"/>
      <c r="W338" s="11"/>
      <c r="X338" s="11"/>
      <c r="Y338" s="11"/>
      <c r="Z338" s="402"/>
      <c r="AA338" s="402"/>
    </row>
    <row r="339" ht="13.5" customHeight="1">
      <c r="A339" s="11"/>
      <c r="B339" s="11"/>
      <c r="C339" s="11"/>
      <c r="D339" s="11"/>
      <c r="E339" s="11"/>
      <c r="F339" s="253"/>
      <c r="G339" s="253"/>
      <c r="H339" s="11"/>
      <c r="I339" s="429"/>
      <c r="J339" s="427"/>
      <c r="K339" s="395"/>
      <c r="L339" s="431"/>
      <c r="M339" s="11"/>
      <c r="N339" s="11"/>
      <c r="O339" s="71"/>
      <c r="P339" s="427"/>
      <c r="Q339" s="397"/>
      <c r="R339" s="395"/>
      <c r="S339" s="398"/>
      <c r="T339" s="399"/>
      <c r="U339" s="11"/>
      <c r="V339" s="11"/>
      <c r="W339" s="11"/>
      <c r="X339" s="11"/>
      <c r="Y339" s="11"/>
      <c r="Z339" s="402"/>
      <c r="AA339" s="402"/>
    </row>
    <row r="340" ht="13.5" customHeight="1">
      <c r="A340" s="11"/>
      <c r="B340" s="11"/>
      <c r="C340" s="11"/>
      <c r="D340" s="11"/>
      <c r="E340" s="11"/>
      <c r="F340" s="253"/>
      <c r="G340" s="253"/>
      <c r="H340" s="11"/>
      <c r="I340" s="429"/>
      <c r="J340" s="427"/>
      <c r="K340" s="395"/>
      <c r="L340" s="431"/>
      <c r="M340" s="11"/>
      <c r="N340" s="11"/>
      <c r="O340" s="71"/>
      <c r="P340" s="427"/>
      <c r="Q340" s="397"/>
      <c r="R340" s="395"/>
      <c r="S340" s="398"/>
      <c r="T340" s="399"/>
      <c r="U340" s="11"/>
      <c r="V340" s="11"/>
      <c r="W340" s="11"/>
      <c r="X340" s="11"/>
      <c r="Y340" s="11"/>
      <c r="Z340" s="402"/>
      <c r="AA340" s="402"/>
    </row>
    <row r="341" ht="13.5" customHeight="1">
      <c r="A341" s="11"/>
      <c r="B341" s="11"/>
      <c r="C341" s="11"/>
      <c r="D341" s="11"/>
      <c r="E341" s="11"/>
      <c r="F341" s="253"/>
      <c r="G341" s="253"/>
      <c r="H341" s="11"/>
      <c r="I341" s="429"/>
      <c r="J341" s="427"/>
      <c r="K341" s="395"/>
      <c r="L341" s="431"/>
      <c r="M341" s="11"/>
      <c r="N341" s="11"/>
      <c r="O341" s="71"/>
      <c r="P341" s="427"/>
      <c r="Q341" s="397"/>
      <c r="R341" s="395"/>
      <c r="S341" s="398"/>
      <c r="T341" s="399"/>
      <c r="U341" s="11"/>
      <c r="V341" s="11"/>
      <c r="W341" s="11"/>
      <c r="X341" s="11"/>
      <c r="Y341" s="11"/>
      <c r="Z341" s="402"/>
      <c r="AA341" s="402"/>
    </row>
    <row r="342" ht="13.5" customHeight="1">
      <c r="A342" s="11"/>
      <c r="B342" s="11"/>
      <c r="C342" s="11"/>
      <c r="D342" s="11"/>
      <c r="E342" s="11"/>
      <c r="F342" s="253"/>
      <c r="G342" s="253"/>
      <c r="H342" s="11"/>
      <c r="I342" s="429"/>
      <c r="J342" s="427"/>
      <c r="K342" s="395"/>
      <c r="L342" s="431"/>
      <c r="M342" s="11"/>
      <c r="N342" s="11"/>
      <c r="O342" s="71"/>
      <c r="P342" s="427"/>
      <c r="Q342" s="397"/>
      <c r="R342" s="395"/>
      <c r="S342" s="398"/>
      <c r="T342" s="399"/>
      <c r="U342" s="11"/>
      <c r="V342" s="11"/>
      <c r="W342" s="11"/>
      <c r="X342" s="11"/>
      <c r="Y342" s="11"/>
      <c r="Z342" s="402"/>
      <c r="AA342" s="402"/>
    </row>
    <row r="343" ht="13.5" customHeight="1">
      <c r="A343" s="11"/>
      <c r="B343" s="11"/>
      <c r="C343" s="11"/>
      <c r="D343" s="11"/>
      <c r="E343" s="11"/>
      <c r="F343" s="253"/>
      <c r="G343" s="253"/>
      <c r="H343" s="11"/>
      <c r="I343" s="429"/>
      <c r="J343" s="427"/>
      <c r="K343" s="395"/>
      <c r="L343" s="431"/>
      <c r="M343" s="11"/>
      <c r="N343" s="11"/>
      <c r="O343" s="71"/>
      <c r="P343" s="427"/>
      <c r="Q343" s="397"/>
      <c r="R343" s="395"/>
      <c r="S343" s="398"/>
      <c r="T343" s="399"/>
      <c r="U343" s="11"/>
      <c r="V343" s="11"/>
      <c r="W343" s="11"/>
      <c r="X343" s="11"/>
      <c r="Y343" s="11"/>
      <c r="Z343" s="402"/>
      <c r="AA343" s="402"/>
    </row>
    <row r="344" ht="13.5" customHeight="1">
      <c r="A344" s="11"/>
      <c r="B344" s="11"/>
      <c r="C344" s="11"/>
      <c r="D344" s="11"/>
      <c r="E344" s="11"/>
      <c r="F344" s="253"/>
      <c r="G344" s="253"/>
      <c r="H344" s="11"/>
      <c r="I344" s="429"/>
      <c r="J344" s="427"/>
      <c r="K344" s="395"/>
      <c r="L344" s="431"/>
      <c r="M344" s="11"/>
      <c r="N344" s="11"/>
      <c r="O344" s="71"/>
      <c r="P344" s="427"/>
      <c r="Q344" s="397"/>
      <c r="R344" s="395"/>
      <c r="S344" s="398"/>
      <c r="T344" s="399"/>
      <c r="U344" s="11"/>
      <c r="V344" s="11"/>
      <c r="W344" s="11"/>
      <c r="X344" s="11"/>
      <c r="Y344" s="11"/>
      <c r="Z344" s="402"/>
      <c r="AA344" s="402"/>
    </row>
    <row r="345" ht="13.5" customHeight="1">
      <c r="A345" s="11"/>
      <c r="B345" s="11"/>
      <c r="C345" s="11"/>
      <c r="D345" s="11"/>
      <c r="E345" s="11"/>
      <c r="F345" s="253"/>
      <c r="G345" s="253"/>
      <c r="H345" s="11"/>
      <c r="I345" s="429"/>
      <c r="J345" s="427"/>
      <c r="K345" s="395"/>
      <c r="L345" s="431"/>
      <c r="M345" s="11"/>
      <c r="N345" s="11"/>
      <c r="O345" s="71"/>
      <c r="P345" s="427"/>
      <c r="Q345" s="397"/>
      <c r="R345" s="395"/>
      <c r="S345" s="398"/>
      <c r="T345" s="399"/>
      <c r="U345" s="11"/>
      <c r="V345" s="11"/>
      <c r="W345" s="11"/>
      <c r="X345" s="11"/>
      <c r="Y345" s="11"/>
      <c r="Z345" s="402"/>
      <c r="AA345" s="402"/>
    </row>
    <row r="346" ht="13.5" customHeight="1">
      <c r="A346" s="11"/>
      <c r="B346" s="11"/>
      <c r="C346" s="11"/>
      <c r="D346" s="11"/>
      <c r="E346" s="11"/>
      <c r="F346" s="253"/>
      <c r="G346" s="253"/>
      <c r="H346" s="11"/>
      <c r="I346" s="429"/>
      <c r="J346" s="427"/>
      <c r="K346" s="395"/>
      <c r="L346" s="431"/>
      <c r="M346" s="11"/>
      <c r="N346" s="11"/>
      <c r="O346" s="71"/>
      <c r="P346" s="427"/>
      <c r="Q346" s="397"/>
      <c r="R346" s="395"/>
      <c r="S346" s="398"/>
      <c r="T346" s="399"/>
      <c r="U346" s="11"/>
      <c r="V346" s="11"/>
      <c r="W346" s="11"/>
      <c r="X346" s="11"/>
      <c r="Y346" s="11"/>
      <c r="Z346" s="402"/>
      <c r="AA346" s="402"/>
    </row>
    <row r="347" ht="13.5" customHeight="1">
      <c r="A347" s="11"/>
      <c r="B347" s="11"/>
      <c r="C347" s="11"/>
      <c r="D347" s="11"/>
      <c r="E347" s="11"/>
      <c r="F347" s="253"/>
      <c r="G347" s="253"/>
      <c r="H347" s="11"/>
      <c r="I347" s="429"/>
      <c r="J347" s="427"/>
      <c r="K347" s="395"/>
      <c r="L347" s="431"/>
      <c r="M347" s="11"/>
      <c r="N347" s="11"/>
      <c r="O347" s="71"/>
      <c r="P347" s="427"/>
      <c r="Q347" s="397"/>
      <c r="R347" s="395"/>
      <c r="S347" s="398"/>
      <c r="T347" s="399"/>
      <c r="U347" s="11"/>
      <c r="V347" s="11"/>
      <c r="W347" s="11"/>
      <c r="X347" s="11"/>
      <c r="Y347" s="11"/>
      <c r="Z347" s="402"/>
      <c r="AA347" s="402"/>
    </row>
    <row r="348" ht="13.5" customHeight="1">
      <c r="A348" s="11"/>
      <c r="B348" s="11"/>
      <c r="C348" s="11"/>
      <c r="D348" s="11"/>
      <c r="E348" s="11"/>
      <c r="F348" s="253"/>
      <c r="G348" s="253"/>
      <c r="H348" s="11"/>
      <c r="I348" s="429"/>
      <c r="J348" s="427"/>
      <c r="K348" s="395"/>
      <c r="L348" s="431"/>
      <c r="M348" s="11"/>
      <c r="N348" s="11"/>
      <c r="O348" s="71"/>
      <c r="P348" s="427"/>
      <c r="Q348" s="397"/>
      <c r="R348" s="395"/>
      <c r="S348" s="398"/>
      <c r="T348" s="399"/>
      <c r="U348" s="11"/>
      <c r="V348" s="11"/>
      <c r="W348" s="11"/>
      <c r="X348" s="11"/>
      <c r="Y348" s="11"/>
      <c r="Z348" s="402"/>
      <c r="AA348" s="402"/>
    </row>
    <row r="349" ht="13.5" customHeight="1">
      <c r="A349" s="11"/>
      <c r="B349" s="11"/>
      <c r="C349" s="11"/>
      <c r="D349" s="11"/>
      <c r="E349" s="11"/>
      <c r="F349" s="253"/>
      <c r="G349" s="253"/>
      <c r="H349" s="11"/>
      <c r="I349" s="429"/>
      <c r="J349" s="427"/>
      <c r="K349" s="395"/>
      <c r="L349" s="431"/>
      <c r="M349" s="11"/>
      <c r="N349" s="11"/>
      <c r="O349" s="71"/>
      <c r="P349" s="427"/>
      <c r="Q349" s="397"/>
      <c r="R349" s="395"/>
      <c r="S349" s="398"/>
      <c r="T349" s="399"/>
      <c r="U349" s="11"/>
      <c r="V349" s="11"/>
      <c r="W349" s="11"/>
      <c r="X349" s="11"/>
      <c r="Y349" s="11"/>
      <c r="Z349" s="402"/>
      <c r="AA349" s="402"/>
    </row>
    <row r="350" ht="13.5" customHeight="1">
      <c r="A350" s="11"/>
      <c r="B350" s="11"/>
      <c r="C350" s="11"/>
      <c r="D350" s="11"/>
      <c r="E350" s="11"/>
      <c r="F350" s="253"/>
      <c r="G350" s="253"/>
      <c r="H350" s="11"/>
      <c r="I350" s="429"/>
      <c r="J350" s="427"/>
      <c r="K350" s="395"/>
      <c r="L350" s="431"/>
      <c r="M350" s="11"/>
      <c r="N350" s="11"/>
      <c r="O350" s="71"/>
      <c r="P350" s="427"/>
      <c r="Q350" s="397"/>
      <c r="R350" s="395"/>
      <c r="S350" s="398"/>
      <c r="T350" s="399"/>
      <c r="U350" s="11"/>
      <c r="V350" s="11"/>
      <c r="W350" s="11"/>
      <c r="X350" s="11"/>
      <c r="Y350" s="11"/>
      <c r="Z350" s="402"/>
      <c r="AA350" s="402"/>
    </row>
    <row r="351" ht="13.5" customHeight="1">
      <c r="A351" s="11"/>
      <c r="B351" s="11"/>
      <c r="C351" s="11"/>
      <c r="D351" s="11"/>
      <c r="E351" s="11"/>
      <c r="F351" s="253"/>
      <c r="G351" s="253"/>
      <c r="H351" s="11"/>
      <c r="I351" s="429"/>
      <c r="J351" s="427"/>
      <c r="K351" s="395"/>
      <c r="L351" s="431"/>
      <c r="M351" s="11"/>
      <c r="N351" s="11"/>
      <c r="O351" s="71"/>
      <c r="P351" s="427"/>
      <c r="Q351" s="397"/>
      <c r="R351" s="395"/>
      <c r="S351" s="398"/>
      <c r="T351" s="399"/>
      <c r="U351" s="11"/>
      <c r="V351" s="11"/>
      <c r="W351" s="11"/>
      <c r="X351" s="11"/>
      <c r="Y351" s="11"/>
      <c r="Z351" s="402"/>
      <c r="AA351" s="402"/>
    </row>
    <row r="352" ht="13.5" customHeight="1">
      <c r="A352" s="11"/>
      <c r="B352" s="11"/>
      <c r="C352" s="11"/>
      <c r="D352" s="11"/>
      <c r="E352" s="11"/>
      <c r="F352" s="253"/>
      <c r="G352" s="253"/>
      <c r="H352" s="11"/>
      <c r="I352" s="429"/>
      <c r="J352" s="427"/>
      <c r="K352" s="395"/>
      <c r="L352" s="431"/>
      <c r="M352" s="11"/>
      <c r="N352" s="11"/>
      <c r="O352" s="71"/>
      <c r="P352" s="427"/>
      <c r="Q352" s="397"/>
      <c r="R352" s="395"/>
      <c r="S352" s="398"/>
      <c r="T352" s="399"/>
      <c r="U352" s="11"/>
      <c r="V352" s="11"/>
      <c r="W352" s="11"/>
      <c r="X352" s="11"/>
      <c r="Y352" s="11"/>
      <c r="Z352" s="402"/>
      <c r="AA352" s="402"/>
    </row>
    <row r="353" ht="13.5" customHeight="1">
      <c r="A353" s="11"/>
      <c r="B353" s="11"/>
      <c r="C353" s="11"/>
      <c r="D353" s="11"/>
      <c r="E353" s="11"/>
      <c r="F353" s="253"/>
      <c r="G353" s="253"/>
      <c r="H353" s="11"/>
      <c r="I353" s="429"/>
      <c r="J353" s="427"/>
      <c r="K353" s="395"/>
      <c r="L353" s="431"/>
      <c r="M353" s="11"/>
      <c r="N353" s="11"/>
      <c r="O353" s="71"/>
      <c r="P353" s="427"/>
      <c r="Q353" s="397"/>
      <c r="R353" s="395"/>
      <c r="S353" s="398"/>
      <c r="T353" s="399"/>
      <c r="U353" s="11"/>
      <c r="V353" s="11"/>
      <c r="W353" s="11"/>
      <c r="X353" s="11"/>
      <c r="Y353" s="11"/>
      <c r="Z353" s="402"/>
      <c r="AA353" s="402"/>
    </row>
    <row r="354" ht="13.5" customHeight="1">
      <c r="A354" s="11"/>
      <c r="B354" s="11"/>
      <c r="C354" s="11"/>
      <c r="D354" s="11"/>
      <c r="E354" s="11"/>
      <c r="F354" s="253"/>
      <c r="G354" s="253"/>
      <c r="H354" s="11"/>
      <c r="I354" s="429"/>
      <c r="J354" s="427"/>
      <c r="K354" s="395"/>
      <c r="L354" s="431"/>
      <c r="M354" s="11"/>
      <c r="N354" s="11"/>
      <c r="O354" s="71"/>
      <c r="P354" s="427"/>
      <c r="Q354" s="397"/>
      <c r="R354" s="395"/>
      <c r="S354" s="398"/>
      <c r="T354" s="399"/>
      <c r="U354" s="11"/>
      <c r="V354" s="11"/>
      <c r="W354" s="11"/>
      <c r="X354" s="11"/>
      <c r="Y354" s="11"/>
      <c r="Z354" s="402"/>
      <c r="AA354" s="402"/>
    </row>
    <row r="355" ht="13.5" customHeight="1">
      <c r="A355" s="11"/>
      <c r="B355" s="11"/>
      <c r="C355" s="11"/>
      <c r="D355" s="11"/>
      <c r="E355" s="11"/>
      <c r="F355" s="253"/>
      <c r="G355" s="253"/>
      <c r="H355" s="11"/>
      <c r="I355" s="429"/>
      <c r="J355" s="427"/>
      <c r="K355" s="395"/>
      <c r="L355" s="431"/>
      <c r="M355" s="11"/>
      <c r="N355" s="11"/>
      <c r="O355" s="71"/>
      <c r="P355" s="427"/>
      <c r="Q355" s="397"/>
      <c r="R355" s="395"/>
      <c r="S355" s="398"/>
      <c r="T355" s="399"/>
      <c r="U355" s="11"/>
      <c r="V355" s="11"/>
      <c r="W355" s="11"/>
      <c r="X355" s="11"/>
      <c r="Y355" s="11"/>
      <c r="Z355" s="402"/>
      <c r="AA355" s="402"/>
    </row>
    <row r="356" ht="13.5" customHeight="1">
      <c r="A356" s="11"/>
      <c r="B356" s="11"/>
      <c r="C356" s="11"/>
      <c r="D356" s="11"/>
      <c r="E356" s="11"/>
      <c r="F356" s="253"/>
      <c r="G356" s="253"/>
      <c r="H356" s="11"/>
      <c r="I356" s="429"/>
      <c r="J356" s="427"/>
      <c r="K356" s="395"/>
      <c r="L356" s="431"/>
      <c r="M356" s="11"/>
      <c r="N356" s="11"/>
      <c r="O356" s="71"/>
      <c r="P356" s="427"/>
      <c r="Q356" s="397"/>
      <c r="R356" s="395"/>
      <c r="S356" s="398"/>
      <c r="T356" s="399"/>
      <c r="U356" s="11"/>
      <c r="V356" s="11"/>
      <c r="W356" s="11"/>
      <c r="X356" s="11"/>
      <c r="Y356" s="11"/>
      <c r="Z356" s="402"/>
      <c r="AA356" s="402"/>
    </row>
    <row r="357" ht="13.5" customHeight="1">
      <c r="A357" s="11"/>
      <c r="B357" s="11"/>
      <c r="C357" s="11"/>
      <c r="D357" s="11"/>
      <c r="E357" s="11"/>
      <c r="F357" s="253"/>
      <c r="G357" s="253"/>
      <c r="H357" s="11"/>
      <c r="I357" s="429"/>
      <c r="J357" s="427"/>
      <c r="K357" s="395"/>
      <c r="L357" s="431"/>
      <c r="M357" s="11"/>
      <c r="N357" s="11"/>
      <c r="O357" s="71"/>
      <c r="P357" s="427"/>
      <c r="Q357" s="397"/>
      <c r="R357" s="395"/>
      <c r="S357" s="398"/>
      <c r="T357" s="399"/>
      <c r="U357" s="11"/>
      <c r="V357" s="11"/>
      <c r="W357" s="11"/>
      <c r="X357" s="11"/>
      <c r="Y357" s="11"/>
      <c r="Z357" s="402"/>
      <c r="AA357" s="402"/>
    </row>
    <row r="358" ht="13.5" customHeight="1">
      <c r="A358" s="11"/>
      <c r="B358" s="11"/>
      <c r="C358" s="11"/>
      <c r="D358" s="11"/>
      <c r="E358" s="11"/>
      <c r="F358" s="253"/>
      <c r="G358" s="253"/>
      <c r="H358" s="11"/>
      <c r="I358" s="429"/>
      <c r="J358" s="427"/>
      <c r="K358" s="395"/>
      <c r="L358" s="431"/>
      <c r="M358" s="11"/>
      <c r="N358" s="11"/>
      <c r="O358" s="71"/>
      <c r="P358" s="427"/>
      <c r="Q358" s="397"/>
      <c r="R358" s="395"/>
      <c r="S358" s="398"/>
      <c r="T358" s="399"/>
      <c r="U358" s="11"/>
      <c r="V358" s="11"/>
      <c r="W358" s="11"/>
      <c r="X358" s="11"/>
      <c r="Y358" s="11"/>
      <c r="Z358" s="402"/>
      <c r="AA358" s="402"/>
    </row>
    <row r="359" ht="13.5" customHeight="1">
      <c r="A359" s="11"/>
      <c r="B359" s="11"/>
      <c r="C359" s="11"/>
      <c r="D359" s="11"/>
      <c r="E359" s="11"/>
      <c r="F359" s="253"/>
      <c r="G359" s="253"/>
      <c r="H359" s="11"/>
      <c r="I359" s="429"/>
      <c r="J359" s="427"/>
      <c r="K359" s="395"/>
      <c r="L359" s="431"/>
      <c r="M359" s="11"/>
      <c r="N359" s="11"/>
      <c r="O359" s="71"/>
      <c r="P359" s="427"/>
      <c r="Q359" s="397"/>
      <c r="R359" s="395"/>
      <c r="S359" s="398"/>
      <c r="T359" s="399"/>
      <c r="U359" s="11"/>
      <c r="V359" s="11"/>
      <c r="W359" s="11"/>
      <c r="X359" s="11"/>
      <c r="Y359" s="11"/>
      <c r="Z359" s="402"/>
      <c r="AA359" s="402"/>
    </row>
    <row r="360" ht="13.5" customHeight="1">
      <c r="A360" s="11"/>
      <c r="B360" s="11"/>
      <c r="C360" s="11"/>
      <c r="D360" s="11"/>
      <c r="E360" s="11"/>
      <c r="F360" s="253"/>
      <c r="G360" s="253"/>
      <c r="H360" s="11"/>
      <c r="I360" s="429"/>
      <c r="J360" s="427"/>
      <c r="K360" s="395"/>
      <c r="L360" s="431"/>
      <c r="M360" s="11"/>
      <c r="N360" s="11"/>
      <c r="O360" s="71"/>
      <c r="P360" s="427"/>
      <c r="Q360" s="397"/>
      <c r="R360" s="395"/>
      <c r="S360" s="398"/>
      <c r="T360" s="399"/>
      <c r="U360" s="11"/>
      <c r="V360" s="11"/>
      <c r="W360" s="11"/>
      <c r="X360" s="11"/>
      <c r="Y360" s="11"/>
      <c r="Z360" s="402"/>
      <c r="AA360" s="402"/>
    </row>
    <row r="361" ht="13.5" customHeight="1">
      <c r="A361" s="11"/>
      <c r="B361" s="11"/>
      <c r="C361" s="11"/>
      <c r="D361" s="11"/>
      <c r="E361" s="11"/>
      <c r="F361" s="253"/>
      <c r="G361" s="253"/>
      <c r="H361" s="11"/>
      <c r="I361" s="429"/>
      <c r="J361" s="427"/>
      <c r="K361" s="395"/>
      <c r="L361" s="431"/>
      <c r="M361" s="11"/>
      <c r="N361" s="11"/>
      <c r="O361" s="71"/>
      <c r="P361" s="427"/>
      <c r="Q361" s="397"/>
      <c r="R361" s="395"/>
      <c r="S361" s="398"/>
      <c r="T361" s="399"/>
      <c r="U361" s="11"/>
      <c r="V361" s="11"/>
      <c r="W361" s="11"/>
      <c r="X361" s="11"/>
      <c r="Y361" s="11"/>
      <c r="Z361" s="402"/>
      <c r="AA361" s="402"/>
    </row>
    <row r="362" ht="13.5" customHeight="1">
      <c r="A362" s="11"/>
      <c r="B362" s="11"/>
      <c r="C362" s="11"/>
      <c r="D362" s="11"/>
      <c r="E362" s="11"/>
      <c r="F362" s="253"/>
      <c r="G362" s="253"/>
      <c r="H362" s="11"/>
      <c r="I362" s="429"/>
      <c r="J362" s="427"/>
      <c r="K362" s="395"/>
      <c r="L362" s="431"/>
      <c r="M362" s="11"/>
      <c r="N362" s="11"/>
      <c r="O362" s="71"/>
      <c r="P362" s="427"/>
      <c r="Q362" s="397"/>
      <c r="R362" s="395"/>
      <c r="S362" s="398"/>
      <c r="T362" s="399"/>
      <c r="U362" s="11"/>
      <c r="V362" s="11"/>
      <c r="W362" s="11"/>
      <c r="X362" s="11"/>
      <c r="Y362" s="11"/>
      <c r="Z362" s="402"/>
      <c r="AA362" s="402"/>
    </row>
    <row r="363" ht="13.5" customHeight="1">
      <c r="A363" s="11"/>
      <c r="B363" s="11"/>
      <c r="C363" s="11"/>
      <c r="D363" s="11"/>
      <c r="E363" s="11"/>
      <c r="F363" s="253"/>
      <c r="G363" s="253"/>
      <c r="H363" s="11"/>
      <c r="I363" s="429"/>
      <c r="J363" s="427"/>
      <c r="K363" s="395"/>
      <c r="L363" s="431"/>
      <c r="M363" s="11"/>
      <c r="N363" s="11"/>
      <c r="O363" s="71"/>
      <c r="P363" s="427"/>
      <c r="Q363" s="397"/>
      <c r="R363" s="395"/>
      <c r="S363" s="398"/>
      <c r="T363" s="399"/>
      <c r="U363" s="11"/>
      <c r="V363" s="11"/>
      <c r="W363" s="11"/>
      <c r="X363" s="11"/>
      <c r="Y363" s="11"/>
      <c r="Z363" s="402"/>
      <c r="AA363" s="402"/>
    </row>
    <row r="364" ht="13.5" customHeight="1">
      <c r="A364" s="11"/>
      <c r="B364" s="11"/>
      <c r="C364" s="11"/>
      <c r="D364" s="11"/>
      <c r="E364" s="11"/>
      <c r="F364" s="253"/>
      <c r="G364" s="253"/>
      <c r="H364" s="11"/>
      <c r="I364" s="429"/>
      <c r="J364" s="427"/>
      <c r="K364" s="395"/>
      <c r="L364" s="431"/>
      <c r="M364" s="11"/>
      <c r="N364" s="11"/>
      <c r="O364" s="71"/>
      <c r="P364" s="427"/>
      <c r="Q364" s="397"/>
      <c r="R364" s="395"/>
      <c r="S364" s="398"/>
      <c r="T364" s="399"/>
      <c r="U364" s="11"/>
      <c r="V364" s="11"/>
      <c r="W364" s="11"/>
      <c r="X364" s="11"/>
      <c r="Y364" s="11"/>
      <c r="Z364" s="402"/>
      <c r="AA364" s="402"/>
    </row>
    <row r="365" ht="13.5" customHeight="1">
      <c r="A365" s="11"/>
      <c r="B365" s="11"/>
      <c r="C365" s="11"/>
      <c r="D365" s="11"/>
      <c r="E365" s="11"/>
      <c r="F365" s="253"/>
      <c r="G365" s="253"/>
      <c r="H365" s="11"/>
      <c r="I365" s="429"/>
      <c r="J365" s="427"/>
      <c r="K365" s="395"/>
      <c r="L365" s="431"/>
      <c r="M365" s="11"/>
      <c r="N365" s="11"/>
      <c r="O365" s="71"/>
      <c r="P365" s="427"/>
      <c r="Q365" s="397"/>
      <c r="R365" s="395"/>
      <c r="S365" s="398"/>
      <c r="T365" s="399"/>
      <c r="U365" s="11"/>
      <c r="V365" s="11"/>
      <c r="W365" s="11"/>
      <c r="X365" s="11"/>
      <c r="Y365" s="11"/>
      <c r="Z365" s="402"/>
      <c r="AA365" s="402"/>
    </row>
    <row r="366" ht="13.5" customHeight="1">
      <c r="A366" s="11"/>
      <c r="B366" s="11"/>
      <c r="C366" s="11"/>
      <c r="D366" s="11"/>
      <c r="E366" s="11"/>
      <c r="F366" s="253"/>
      <c r="G366" s="253"/>
      <c r="H366" s="11"/>
      <c r="I366" s="429"/>
      <c r="J366" s="427"/>
      <c r="K366" s="395"/>
      <c r="L366" s="431"/>
      <c r="M366" s="11"/>
      <c r="N366" s="11"/>
      <c r="O366" s="71"/>
      <c r="P366" s="427"/>
      <c r="Q366" s="397"/>
      <c r="R366" s="395"/>
      <c r="S366" s="398"/>
      <c r="T366" s="399"/>
      <c r="U366" s="11"/>
      <c r="V366" s="11"/>
      <c r="W366" s="11"/>
      <c r="X366" s="11"/>
      <c r="Y366" s="11"/>
      <c r="Z366" s="402"/>
      <c r="AA366" s="402"/>
    </row>
    <row r="367" ht="13.5" customHeight="1">
      <c r="A367" s="11"/>
      <c r="B367" s="11"/>
      <c r="C367" s="11"/>
      <c r="D367" s="11"/>
      <c r="E367" s="11"/>
      <c r="F367" s="253"/>
      <c r="G367" s="253"/>
      <c r="H367" s="11"/>
      <c r="I367" s="429"/>
      <c r="J367" s="427"/>
      <c r="K367" s="395"/>
      <c r="L367" s="431"/>
      <c r="M367" s="11"/>
      <c r="N367" s="11"/>
      <c r="O367" s="71"/>
      <c r="P367" s="427"/>
      <c r="Q367" s="397"/>
      <c r="R367" s="395"/>
      <c r="S367" s="398"/>
      <c r="T367" s="399"/>
      <c r="U367" s="11"/>
      <c r="V367" s="11"/>
      <c r="W367" s="11"/>
      <c r="X367" s="11"/>
      <c r="Y367" s="11"/>
      <c r="Z367" s="402"/>
      <c r="AA367" s="402"/>
    </row>
    <row r="368" ht="13.5" customHeight="1">
      <c r="A368" s="11"/>
      <c r="B368" s="11"/>
      <c r="C368" s="11"/>
      <c r="D368" s="11"/>
      <c r="E368" s="11"/>
      <c r="F368" s="253"/>
      <c r="G368" s="253"/>
      <c r="H368" s="11"/>
      <c r="I368" s="429"/>
      <c r="J368" s="427"/>
      <c r="K368" s="395"/>
      <c r="L368" s="431"/>
      <c r="M368" s="11"/>
      <c r="N368" s="11"/>
      <c r="O368" s="71"/>
      <c r="P368" s="427"/>
      <c r="Q368" s="397"/>
      <c r="R368" s="395"/>
      <c r="S368" s="398"/>
      <c r="T368" s="399"/>
      <c r="U368" s="11"/>
      <c r="V368" s="11"/>
      <c r="W368" s="11"/>
      <c r="X368" s="11"/>
      <c r="Y368" s="11"/>
      <c r="Z368" s="402"/>
      <c r="AA368" s="402"/>
    </row>
    <row r="369" ht="13.5" customHeight="1">
      <c r="A369" s="11"/>
      <c r="B369" s="11"/>
      <c r="C369" s="11"/>
      <c r="D369" s="11"/>
      <c r="E369" s="11"/>
      <c r="F369" s="253"/>
      <c r="G369" s="253"/>
      <c r="H369" s="11"/>
      <c r="I369" s="429"/>
      <c r="J369" s="427"/>
      <c r="K369" s="395"/>
      <c r="L369" s="431"/>
      <c r="M369" s="11"/>
      <c r="N369" s="11"/>
      <c r="O369" s="71"/>
      <c r="P369" s="427"/>
      <c r="Q369" s="397"/>
      <c r="R369" s="395"/>
      <c r="S369" s="398"/>
      <c r="T369" s="399"/>
      <c r="U369" s="11"/>
      <c r="V369" s="11"/>
      <c r="W369" s="11"/>
      <c r="X369" s="11"/>
      <c r="Y369" s="11"/>
      <c r="Z369" s="402"/>
      <c r="AA369" s="402"/>
    </row>
    <row r="370" ht="13.5" customHeight="1">
      <c r="A370" s="11"/>
      <c r="B370" s="11"/>
      <c r="C370" s="11"/>
      <c r="D370" s="11"/>
      <c r="E370" s="11"/>
      <c r="F370" s="253"/>
      <c r="G370" s="253"/>
      <c r="H370" s="11"/>
      <c r="I370" s="429"/>
      <c r="J370" s="427"/>
      <c r="K370" s="395"/>
      <c r="L370" s="431"/>
      <c r="M370" s="11"/>
      <c r="N370" s="11"/>
      <c r="O370" s="71"/>
      <c r="P370" s="427"/>
      <c r="Q370" s="397"/>
      <c r="R370" s="395"/>
      <c r="S370" s="398"/>
      <c r="T370" s="399"/>
      <c r="U370" s="11"/>
      <c r="V370" s="11"/>
      <c r="W370" s="11"/>
      <c r="X370" s="11"/>
      <c r="Y370" s="11"/>
      <c r="Z370" s="402"/>
      <c r="AA370" s="402"/>
    </row>
    <row r="371" ht="13.5" customHeight="1">
      <c r="A371" s="11"/>
      <c r="B371" s="11"/>
      <c r="C371" s="11"/>
      <c r="D371" s="11"/>
      <c r="E371" s="11"/>
      <c r="F371" s="253"/>
      <c r="G371" s="253"/>
      <c r="H371" s="11"/>
      <c r="I371" s="429"/>
      <c r="J371" s="427"/>
      <c r="K371" s="395"/>
      <c r="L371" s="431"/>
      <c r="M371" s="11"/>
      <c r="N371" s="11"/>
      <c r="O371" s="71"/>
      <c r="P371" s="427"/>
      <c r="Q371" s="397"/>
      <c r="R371" s="395"/>
      <c r="S371" s="398"/>
      <c r="T371" s="399"/>
      <c r="U371" s="11"/>
      <c r="V371" s="11"/>
      <c r="W371" s="11"/>
      <c r="X371" s="11"/>
      <c r="Y371" s="11"/>
      <c r="Z371" s="402"/>
      <c r="AA371" s="402"/>
    </row>
    <row r="372" ht="13.5" customHeight="1">
      <c r="A372" s="11"/>
      <c r="B372" s="11"/>
      <c r="C372" s="11"/>
      <c r="D372" s="11"/>
      <c r="E372" s="11"/>
      <c r="F372" s="253"/>
      <c r="G372" s="253"/>
      <c r="H372" s="11"/>
      <c r="I372" s="429"/>
      <c r="J372" s="427"/>
      <c r="K372" s="395"/>
      <c r="L372" s="431"/>
      <c r="M372" s="11"/>
      <c r="N372" s="11"/>
      <c r="O372" s="71"/>
      <c r="P372" s="427"/>
      <c r="Q372" s="397"/>
      <c r="R372" s="395"/>
      <c r="S372" s="398"/>
      <c r="T372" s="399"/>
      <c r="U372" s="11"/>
      <c r="V372" s="11"/>
      <c r="W372" s="11"/>
      <c r="X372" s="11"/>
      <c r="Y372" s="11"/>
      <c r="Z372" s="402"/>
      <c r="AA372" s="402"/>
    </row>
    <row r="373" ht="13.5" customHeight="1">
      <c r="A373" s="11"/>
      <c r="B373" s="11"/>
      <c r="C373" s="11"/>
      <c r="D373" s="11"/>
      <c r="E373" s="11"/>
      <c r="F373" s="253"/>
      <c r="G373" s="253"/>
      <c r="H373" s="11"/>
      <c r="I373" s="429"/>
      <c r="J373" s="427"/>
      <c r="K373" s="395"/>
      <c r="L373" s="431"/>
      <c r="M373" s="11"/>
      <c r="N373" s="11"/>
      <c r="O373" s="71"/>
      <c r="P373" s="427"/>
      <c r="Q373" s="397"/>
      <c r="R373" s="395"/>
      <c r="S373" s="398"/>
      <c r="T373" s="399"/>
      <c r="U373" s="11"/>
      <c r="V373" s="11"/>
      <c r="W373" s="11"/>
      <c r="X373" s="11"/>
      <c r="Y373" s="11"/>
      <c r="Z373" s="402"/>
      <c r="AA373" s="402"/>
    </row>
    <row r="374" ht="13.5" customHeight="1">
      <c r="A374" s="11"/>
      <c r="B374" s="11"/>
      <c r="C374" s="11"/>
      <c r="D374" s="11"/>
      <c r="E374" s="11"/>
      <c r="F374" s="253"/>
      <c r="G374" s="253"/>
      <c r="H374" s="11"/>
      <c r="I374" s="429"/>
      <c r="J374" s="427"/>
      <c r="K374" s="395"/>
      <c r="L374" s="431"/>
      <c r="M374" s="11"/>
      <c r="N374" s="11"/>
      <c r="O374" s="71"/>
      <c r="P374" s="427"/>
      <c r="Q374" s="397"/>
      <c r="R374" s="395"/>
      <c r="S374" s="398"/>
      <c r="T374" s="399"/>
      <c r="U374" s="11"/>
      <c r="V374" s="11"/>
      <c r="W374" s="11"/>
      <c r="X374" s="11"/>
      <c r="Y374" s="11"/>
      <c r="Z374" s="402"/>
      <c r="AA374" s="402"/>
    </row>
    <row r="375" ht="13.5" customHeight="1">
      <c r="A375" s="11"/>
      <c r="B375" s="11"/>
      <c r="C375" s="11"/>
      <c r="D375" s="11"/>
      <c r="E375" s="11"/>
      <c r="F375" s="253"/>
      <c r="G375" s="253"/>
      <c r="H375" s="11"/>
      <c r="I375" s="429"/>
      <c r="J375" s="427"/>
      <c r="K375" s="395"/>
      <c r="L375" s="431"/>
      <c r="M375" s="11"/>
      <c r="N375" s="11"/>
      <c r="O375" s="71"/>
      <c r="P375" s="427"/>
      <c r="Q375" s="397"/>
      <c r="R375" s="395"/>
      <c r="S375" s="398"/>
      <c r="T375" s="399"/>
      <c r="U375" s="11"/>
      <c r="V375" s="11"/>
      <c r="W375" s="11"/>
      <c r="X375" s="11"/>
      <c r="Y375" s="11"/>
      <c r="Z375" s="402"/>
      <c r="AA375" s="402"/>
    </row>
    <row r="376" ht="13.5" customHeight="1">
      <c r="A376" s="11"/>
      <c r="B376" s="11"/>
      <c r="C376" s="11"/>
      <c r="D376" s="11"/>
      <c r="E376" s="11"/>
      <c r="F376" s="253"/>
      <c r="G376" s="253"/>
      <c r="H376" s="11"/>
      <c r="I376" s="429"/>
      <c r="J376" s="427"/>
      <c r="K376" s="395"/>
      <c r="L376" s="431"/>
      <c r="M376" s="11"/>
      <c r="N376" s="11"/>
      <c r="O376" s="71"/>
      <c r="P376" s="427"/>
      <c r="Q376" s="397"/>
      <c r="R376" s="395"/>
      <c r="S376" s="398"/>
      <c r="T376" s="399"/>
      <c r="U376" s="11"/>
      <c r="V376" s="11"/>
      <c r="W376" s="11"/>
      <c r="X376" s="11"/>
      <c r="Y376" s="11"/>
      <c r="Z376" s="402"/>
      <c r="AA376" s="402"/>
    </row>
    <row r="377" ht="13.5" customHeight="1">
      <c r="A377" s="11"/>
      <c r="B377" s="11"/>
      <c r="C377" s="11"/>
      <c r="D377" s="11"/>
      <c r="E377" s="11"/>
      <c r="F377" s="253"/>
      <c r="G377" s="253"/>
      <c r="H377" s="11"/>
      <c r="I377" s="429"/>
      <c r="J377" s="427"/>
      <c r="K377" s="395"/>
      <c r="L377" s="431"/>
      <c r="M377" s="11"/>
      <c r="N377" s="11"/>
      <c r="O377" s="71"/>
      <c r="P377" s="427"/>
      <c r="Q377" s="397"/>
      <c r="R377" s="395"/>
      <c r="S377" s="398"/>
      <c r="T377" s="399"/>
      <c r="U377" s="11"/>
      <c r="V377" s="11"/>
      <c r="W377" s="11"/>
      <c r="X377" s="11"/>
      <c r="Y377" s="11"/>
      <c r="Z377" s="402"/>
      <c r="AA377" s="402"/>
    </row>
    <row r="378" ht="13.5" customHeight="1">
      <c r="A378" s="11"/>
      <c r="B378" s="11"/>
      <c r="C378" s="11"/>
      <c r="D378" s="11"/>
      <c r="E378" s="11"/>
      <c r="F378" s="253"/>
      <c r="G378" s="253"/>
      <c r="H378" s="11"/>
      <c r="I378" s="429"/>
      <c r="J378" s="427"/>
      <c r="K378" s="395"/>
      <c r="L378" s="431"/>
      <c r="M378" s="11"/>
      <c r="N378" s="11"/>
      <c r="O378" s="71"/>
      <c r="P378" s="427"/>
      <c r="Q378" s="397"/>
      <c r="R378" s="395"/>
      <c r="S378" s="398"/>
      <c r="T378" s="399"/>
      <c r="U378" s="11"/>
      <c r="V378" s="11"/>
      <c r="W378" s="11"/>
      <c r="X378" s="11"/>
      <c r="Y378" s="11"/>
      <c r="Z378" s="402"/>
      <c r="AA378" s="402"/>
    </row>
    <row r="379" ht="13.5" customHeight="1">
      <c r="A379" s="11"/>
      <c r="B379" s="11"/>
      <c r="C379" s="11"/>
      <c r="D379" s="11"/>
      <c r="E379" s="11"/>
      <c r="F379" s="253"/>
      <c r="G379" s="253"/>
      <c r="H379" s="11"/>
      <c r="I379" s="429"/>
      <c r="J379" s="427"/>
      <c r="K379" s="395"/>
      <c r="L379" s="431"/>
      <c r="M379" s="11"/>
      <c r="N379" s="11"/>
      <c r="O379" s="71"/>
      <c r="P379" s="427"/>
      <c r="Q379" s="397"/>
      <c r="R379" s="395"/>
      <c r="S379" s="398"/>
      <c r="T379" s="399"/>
      <c r="U379" s="11"/>
      <c r="V379" s="11"/>
      <c r="W379" s="11"/>
      <c r="X379" s="11"/>
      <c r="Y379" s="11"/>
      <c r="Z379" s="402"/>
      <c r="AA379" s="402"/>
    </row>
    <row r="380" ht="13.5" customHeight="1">
      <c r="A380" s="11"/>
      <c r="B380" s="11"/>
      <c r="C380" s="11"/>
      <c r="D380" s="11"/>
      <c r="E380" s="11"/>
      <c r="F380" s="253"/>
      <c r="G380" s="253"/>
      <c r="H380" s="11"/>
      <c r="I380" s="429"/>
      <c r="J380" s="427"/>
      <c r="K380" s="395"/>
      <c r="L380" s="431"/>
      <c r="M380" s="11"/>
      <c r="N380" s="11"/>
      <c r="O380" s="71"/>
      <c r="P380" s="427"/>
      <c r="Q380" s="397"/>
      <c r="R380" s="395"/>
      <c r="S380" s="398"/>
      <c r="T380" s="399"/>
      <c r="U380" s="11"/>
      <c r="V380" s="11"/>
      <c r="W380" s="11"/>
      <c r="X380" s="11"/>
      <c r="Y380" s="11"/>
      <c r="Z380" s="402"/>
      <c r="AA380" s="402"/>
    </row>
    <row r="381" ht="13.5" customHeight="1">
      <c r="A381" s="11"/>
      <c r="B381" s="11"/>
      <c r="C381" s="11"/>
      <c r="D381" s="11"/>
      <c r="E381" s="11"/>
      <c r="F381" s="253"/>
      <c r="G381" s="253"/>
      <c r="H381" s="11"/>
      <c r="I381" s="429"/>
      <c r="J381" s="427"/>
      <c r="K381" s="395"/>
      <c r="L381" s="431"/>
      <c r="M381" s="11"/>
      <c r="N381" s="11"/>
      <c r="O381" s="71"/>
      <c r="P381" s="427"/>
      <c r="Q381" s="397"/>
      <c r="R381" s="395"/>
      <c r="S381" s="398"/>
      <c r="T381" s="399"/>
      <c r="U381" s="11"/>
      <c r="V381" s="11"/>
      <c r="W381" s="11"/>
      <c r="X381" s="11"/>
      <c r="Y381" s="11"/>
      <c r="Z381" s="402"/>
      <c r="AA381" s="402"/>
    </row>
    <row r="382" ht="13.5" customHeight="1">
      <c r="A382" s="11"/>
      <c r="B382" s="11"/>
      <c r="C382" s="11"/>
      <c r="D382" s="11"/>
      <c r="E382" s="11"/>
      <c r="F382" s="253"/>
      <c r="G382" s="253"/>
      <c r="H382" s="11"/>
      <c r="I382" s="429"/>
      <c r="J382" s="427"/>
      <c r="K382" s="395"/>
      <c r="L382" s="431"/>
      <c r="M382" s="11"/>
      <c r="N382" s="11"/>
      <c r="O382" s="71"/>
      <c r="P382" s="427"/>
      <c r="Q382" s="397"/>
      <c r="R382" s="395"/>
      <c r="S382" s="398"/>
      <c r="T382" s="399"/>
      <c r="U382" s="11"/>
      <c r="V382" s="11"/>
      <c r="W382" s="11"/>
      <c r="X382" s="11"/>
      <c r="Y382" s="11"/>
      <c r="Z382" s="402"/>
      <c r="AA382" s="402"/>
    </row>
    <row r="383" ht="13.5" customHeight="1">
      <c r="A383" s="11"/>
      <c r="B383" s="11"/>
      <c r="C383" s="11"/>
      <c r="D383" s="11"/>
      <c r="E383" s="11"/>
      <c r="F383" s="253"/>
      <c r="G383" s="253"/>
      <c r="H383" s="11"/>
      <c r="I383" s="429"/>
      <c r="J383" s="427"/>
      <c r="K383" s="395"/>
      <c r="L383" s="431"/>
      <c r="M383" s="11"/>
      <c r="N383" s="11"/>
      <c r="O383" s="71"/>
      <c r="P383" s="427"/>
      <c r="Q383" s="397"/>
      <c r="R383" s="395"/>
      <c r="S383" s="398"/>
      <c r="T383" s="399"/>
      <c r="U383" s="11"/>
      <c r="V383" s="11"/>
      <c r="W383" s="11"/>
      <c r="X383" s="11"/>
      <c r="Y383" s="11"/>
      <c r="Z383" s="402"/>
      <c r="AA383" s="402"/>
    </row>
    <row r="384" ht="13.5" customHeight="1">
      <c r="A384" s="11"/>
      <c r="B384" s="11"/>
      <c r="C384" s="11"/>
      <c r="D384" s="11"/>
      <c r="E384" s="11"/>
      <c r="F384" s="253"/>
      <c r="G384" s="253"/>
      <c r="H384" s="11"/>
      <c r="I384" s="429"/>
      <c r="J384" s="427"/>
      <c r="K384" s="395"/>
      <c r="L384" s="431"/>
      <c r="M384" s="11"/>
      <c r="N384" s="11"/>
      <c r="O384" s="71"/>
      <c r="P384" s="427"/>
      <c r="Q384" s="397"/>
      <c r="R384" s="395"/>
      <c r="S384" s="398"/>
      <c r="T384" s="399"/>
      <c r="U384" s="11"/>
      <c r="V384" s="11"/>
      <c r="W384" s="11"/>
      <c r="X384" s="11"/>
      <c r="Y384" s="11"/>
      <c r="Z384" s="402"/>
      <c r="AA384" s="402"/>
    </row>
    <row r="385" ht="13.5" customHeight="1">
      <c r="A385" s="11"/>
      <c r="B385" s="11"/>
      <c r="C385" s="11"/>
      <c r="D385" s="11"/>
      <c r="E385" s="11"/>
      <c r="F385" s="253"/>
      <c r="G385" s="253"/>
      <c r="H385" s="11"/>
      <c r="I385" s="429"/>
      <c r="J385" s="427"/>
      <c r="K385" s="395"/>
      <c r="L385" s="431"/>
      <c r="M385" s="11"/>
      <c r="N385" s="11"/>
      <c r="O385" s="71"/>
      <c r="P385" s="427"/>
      <c r="Q385" s="397"/>
      <c r="R385" s="395"/>
      <c r="S385" s="398"/>
      <c r="T385" s="399"/>
      <c r="U385" s="11"/>
      <c r="V385" s="11"/>
      <c r="W385" s="11"/>
      <c r="X385" s="11"/>
      <c r="Y385" s="11"/>
      <c r="Z385" s="402"/>
      <c r="AA385" s="402"/>
    </row>
    <row r="386" ht="13.5" customHeight="1">
      <c r="A386" s="11"/>
      <c r="B386" s="11"/>
      <c r="C386" s="11"/>
      <c r="D386" s="11"/>
      <c r="E386" s="11"/>
      <c r="F386" s="253"/>
      <c r="G386" s="253"/>
      <c r="H386" s="11"/>
      <c r="I386" s="429"/>
      <c r="J386" s="427"/>
      <c r="K386" s="395"/>
      <c r="L386" s="431"/>
      <c r="M386" s="11"/>
      <c r="N386" s="11"/>
      <c r="O386" s="71"/>
      <c r="P386" s="427"/>
      <c r="Q386" s="397"/>
      <c r="R386" s="395"/>
      <c r="S386" s="398"/>
      <c r="T386" s="399"/>
      <c r="U386" s="11"/>
      <c r="V386" s="11"/>
      <c r="W386" s="11"/>
      <c r="X386" s="11"/>
      <c r="Y386" s="11"/>
      <c r="Z386" s="402"/>
      <c r="AA386" s="402"/>
    </row>
    <row r="387" ht="13.5" customHeight="1">
      <c r="A387" s="11"/>
      <c r="B387" s="11"/>
      <c r="C387" s="11"/>
      <c r="D387" s="11"/>
      <c r="E387" s="11"/>
      <c r="F387" s="253"/>
      <c r="G387" s="253"/>
      <c r="H387" s="11"/>
      <c r="I387" s="429"/>
      <c r="J387" s="427"/>
      <c r="K387" s="395"/>
      <c r="L387" s="431"/>
      <c r="M387" s="11"/>
      <c r="N387" s="11"/>
      <c r="O387" s="71"/>
      <c r="P387" s="427"/>
      <c r="Q387" s="397"/>
      <c r="R387" s="395"/>
      <c r="S387" s="398"/>
      <c r="T387" s="399"/>
      <c r="U387" s="11"/>
      <c r="V387" s="11"/>
      <c r="W387" s="11"/>
      <c r="X387" s="11"/>
      <c r="Y387" s="11"/>
      <c r="Z387" s="402"/>
      <c r="AA387" s="402"/>
    </row>
    <row r="388" ht="13.5" customHeight="1">
      <c r="A388" s="11"/>
      <c r="B388" s="11"/>
      <c r="C388" s="11"/>
      <c r="D388" s="11"/>
      <c r="E388" s="11"/>
      <c r="F388" s="253"/>
      <c r="G388" s="253"/>
      <c r="H388" s="11"/>
      <c r="I388" s="429"/>
      <c r="J388" s="427"/>
      <c r="K388" s="395"/>
      <c r="L388" s="431"/>
      <c r="M388" s="11"/>
      <c r="N388" s="11"/>
      <c r="O388" s="71"/>
      <c r="P388" s="427"/>
      <c r="Q388" s="397"/>
      <c r="R388" s="395"/>
      <c r="S388" s="398"/>
      <c r="T388" s="399"/>
      <c r="U388" s="11"/>
      <c r="V388" s="11"/>
      <c r="W388" s="11"/>
      <c r="X388" s="11"/>
      <c r="Y388" s="11"/>
      <c r="Z388" s="402"/>
      <c r="AA388" s="402"/>
    </row>
    <row r="389" ht="13.5" customHeight="1">
      <c r="A389" s="11"/>
      <c r="B389" s="11"/>
      <c r="C389" s="11"/>
      <c r="D389" s="11"/>
      <c r="E389" s="11"/>
      <c r="F389" s="253"/>
      <c r="G389" s="253"/>
      <c r="H389" s="11"/>
      <c r="I389" s="429"/>
      <c r="J389" s="427"/>
      <c r="K389" s="395"/>
      <c r="L389" s="431"/>
      <c r="M389" s="11"/>
      <c r="N389" s="11"/>
      <c r="O389" s="71"/>
      <c r="P389" s="427"/>
      <c r="Q389" s="397"/>
      <c r="R389" s="395"/>
      <c r="S389" s="398"/>
      <c r="T389" s="399"/>
      <c r="U389" s="11"/>
      <c r="V389" s="11"/>
      <c r="W389" s="11"/>
      <c r="X389" s="11"/>
      <c r="Y389" s="11"/>
      <c r="Z389" s="402"/>
      <c r="AA389" s="402"/>
    </row>
    <row r="390" ht="13.5" customHeight="1">
      <c r="A390" s="11"/>
      <c r="B390" s="11"/>
      <c r="C390" s="11"/>
      <c r="D390" s="11"/>
      <c r="E390" s="11"/>
      <c r="F390" s="253"/>
      <c r="G390" s="253"/>
      <c r="H390" s="11"/>
      <c r="I390" s="429"/>
      <c r="J390" s="427"/>
      <c r="K390" s="395"/>
      <c r="L390" s="431"/>
      <c r="M390" s="11"/>
      <c r="N390" s="11"/>
      <c r="O390" s="71"/>
      <c r="P390" s="427"/>
      <c r="Q390" s="397"/>
      <c r="R390" s="395"/>
      <c r="S390" s="398"/>
      <c r="T390" s="399"/>
      <c r="U390" s="11"/>
      <c r="V390" s="11"/>
      <c r="W390" s="11"/>
      <c r="X390" s="11"/>
      <c r="Y390" s="11"/>
      <c r="Z390" s="402"/>
      <c r="AA390" s="402"/>
    </row>
    <row r="391" ht="13.5" customHeight="1">
      <c r="A391" s="11"/>
      <c r="B391" s="11"/>
      <c r="C391" s="11"/>
      <c r="D391" s="11"/>
      <c r="E391" s="11"/>
      <c r="F391" s="253"/>
      <c r="G391" s="253"/>
      <c r="H391" s="11"/>
      <c r="I391" s="429"/>
      <c r="J391" s="427"/>
      <c r="K391" s="395"/>
      <c r="L391" s="431"/>
      <c r="M391" s="11"/>
      <c r="N391" s="11"/>
      <c r="O391" s="71"/>
      <c r="P391" s="427"/>
      <c r="Q391" s="397"/>
      <c r="R391" s="395"/>
      <c r="S391" s="398"/>
      <c r="T391" s="399"/>
      <c r="U391" s="11"/>
      <c r="V391" s="11"/>
      <c r="W391" s="11"/>
      <c r="X391" s="11"/>
      <c r="Y391" s="11"/>
      <c r="Z391" s="402"/>
      <c r="AA391" s="402"/>
    </row>
    <row r="392" ht="13.5" customHeight="1">
      <c r="A392" s="11"/>
      <c r="B392" s="11"/>
      <c r="C392" s="11"/>
      <c r="D392" s="11"/>
      <c r="E392" s="11"/>
      <c r="F392" s="253"/>
      <c r="G392" s="253"/>
      <c r="H392" s="11"/>
      <c r="I392" s="429"/>
      <c r="J392" s="427"/>
      <c r="K392" s="395"/>
      <c r="L392" s="431"/>
      <c r="M392" s="11"/>
      <c r="N392" s="11"/>
      <c r="O392" s="71"/>
      <c r="P392" s="427"/>
      <c r="Q392" s="397"/>
      <c r="R392" s="395"/>
      <c r="S392" s="398"/>
      <c r="T392" s="399"/>
      <c r="U392" s="11"/>
      <c r="V392" s="11"/>
      <c r="W392" s="11"/>
      <c r="X392" s="11"/>
      <c r="Y392" s="11"/>
      <c r="Z392" s="402"/>
      <c r="AA392" s="402"/>
    </row>
    <row r="393" ht="13.5" customHeight="1">
      <c r="A393" s="11"/>
      <c r="B393" s="11"/>
      <c r="C393" s="11"/>
      <c r="D393" s="11"/>
      <c r="E393" s="11"/>
      <c r="F393" s="253"/>
      <c r="G393" s="253"/>
      <c r="H393" s="11"/>
      <c r="I393" s="429"/>
      <c r="J393" s="427"/>
      <c r="K393" s="395"/>
      <c r="L393" s="431"/>
      <c r="M393" s="11"/>
      <c r="N393" s="11"/>
      <c r="O393" s="71"/>
      <c r="P393" s="427"/>
      <c r="Q393" s="397"/>
      <c r="R393" s="395"/>
      <c r="S393" s="398"/>
      <c r="T393" s="399"/>
      <c r="U393" s="11"/>
      <c r="V393" s="11"/>
      <c r="W393" s="11"/>
      <c r="X393" s="11"/>
      <c r="Y393" s="11"/>
      <c r="Z393" s="402"/>
      <c r="AA393" s="402"/>
    </row>
    <row r="394" ht="13.5" customHeight="1">
      <c r="A394" s="11"/>
      <c r="B394" s="11"/>
      <c r="C394" s="11"/>
      <c r="D394" s="11"/>
      <c r="E394" s="11"/>
      <c r="F394" s="253"/>
      <c r="G394" s="253"/>
      <c r="H394" s="11"/>
      <c r="I394" s="429"/>
      <c r="J394" s="427"/>
      <c r="K394" s="395"/>
      <c r="L394" s="431"/>
      <c r="M394" s="11"/>
      <c r="N394" s="11"/>
      <c r="O394" s="71"/>
      <c r="P394" s="427"/>
      <c r="Q394" s="397"/>
      <c r="R394" s="395"/>
      <c r="S394" s="398"/>
      <c r="T394" s="399"/>
      <c r="U394" s="11"/>
      <c r="V394" s="11"/>
      <c r="W394" s="11"/>
      <c r="X394" s="11"/>
      <c r="Y394" s="11"/>
      <c r="Z394" s="402"/>
      <c r="AA394" s="402"/>
    </row>
    <row r="395" ht="13.5" customHeight="1">
      <c r="A395" s="11"/>
      <c r="B395" s="11"/>
      <c r="C395" s="11"/>
      <c r="D395" s="11"/>
      <c r="E395" s="11"/>
      <c r="F395" s="253"/>
      <c r="G395" s="253"/>
      <c r="H395" s="11"/>
      <c r="I395" s="429"/>
      <c r="J395" s="427"/>
      <c r="K395" s="395"/>
      <c r="L395" s="431"/>
      <c r="M395" s="11"/>
      <c r="N395" s="11"/>
      <c r="O395" s="71"/>
      <c r="P395" s="427"/>
      <c r="Q395" s="397"/>
      <c r="R395" s="395"/>
      <c r="S395" s="398"/>
      <c r="T395" s="399"/>
      <c r="U395" s="11"/>
      <c r="V395" s="11"/>
      <c r="W395" s="11"/>
      <c r="X395" s="11"/>
      <c r="Y395" s="11"/>
      <c r="Z395" s="402"/>
      <c r="AA395" s="402"/>
    </row>
    <row r="396" ht="13.5" customHeight="1">
      <c r="A396" s="11"/>
      <c r="B396" s="11"/>
      <c r="C396" s="11"/>
      <c r="D396" s="11"/>
      <c r="E396" s="11"/>
      <c r="F396" s="253"/>
      <c r="G396" s="253"/>
      <c r="H396" s="11"/>
      <c r="I396" s="429"/>
      <c r="J396" s="427"/>
      <c r="K396" s="395"/>
      <c r="L396" s="431"/>
      <c r="M396" s="11"/>
      <c r="N396" s="11"/>
      <c r="O396" s="71"/>
      <c r="P396" s="427"/>
      <c r="Q396" s="397"/>
      <c r="R396" s="395"/>
      <c r="S396" s="398"/>
      <c r="T396" s="399"/>
      <c r="U396" s="11"/>
      <c r="V396" s="11"/>
      <c r="W396" s="11"/>
      <c r="X396" s="11"/>
      <c r="Y396" s="11"/>
      <c r="Z396" s="402"/>
      <c r="AA396" s="402"/>
    </row>
    <row r="397" ht="13.5" customHeight="1">
      <c r="A397" s="11"/>
      <c r="B397" s="11"/>
      <c r="C397" s="11"/>
      <c r="D397" s="11"/>
      <c r="E397" s="11"/>
      <c r="F397" s="253"/>
      <c r="G397" s="253"/>
      <c r="H397" s="11"/>
      <c r="I397" s="429"/>
      <c r="J397" s="427"/>
      <c r="K397" s="395"/>
      <c r="L397" s="431"/>
      <c r="M397" s="11"/>
      <c r="N397" s="11"/>
      <c r="O397" s="71"/>
      <c r="P397" s="427"/>
      <c r="Q397" s="397"/>
      <c r="R397" s="395"/>
      <c r="S397" s="398"/>
      <c r="T397" s="399"/>
      <c r="U397" s="11"/>
      <c r="V397" s="11"/>
      <c r="W397" s="11"/>
      <c r="X397" s="11"/>
      <c r="Y397" s="11"/>
      <c r="Z397" s="402"/>
      <c r="AA397" s="402"/>
    </row>
    <row r="398" ht="13.5" customHeight="1">
      <c r="A398" s="11"/>
      <c r="B398" s="11"/>
      <c r="C398" s="11"/>
      <c r="D398" s="11"/>
      <c r="E398" s="11"/>
      <c r="F398" s="253"/>
      <c r="G398" s="253"/>
      <c r="H398" s="11"/>
      <c r="I398" s="429"/>
      <c r="J398" s="427"/>
      <c r="K398" s="395"/>
      <c r="L398" s="431"/>
      <c r="M398" s="11"/>
      <c r="N398" s="11"/>
      <c r="O398" s="71"/>
      <c r="P398" s="427"/>
      <c r="Q398" s="397"/>
      <c r="R398" s="395"/>
      <c r="S398" s="398"/>
      <c r="T398" s="399"/>
      <c r="U398" s="11"/>
      <c r="V398" s="11"/>
      <c r="W398" s="11"/>
      <c r="X398" s="11"/>
      <c r="Y398" s="11"/>
      <c r="Z398" s="402"/>
      <c r="AA398" s="402"/>
    </row>
    <row r="399" ht="13.5" customHeight="1">
      <c r="A399" s="11"/>
      <c r="B399" s="11"/>
      <c r="C399" s="11"/>
      <c r="D399" s="11"/>
      <c r="E399" s="11"/>
      <c r="F399" s="253"/>
      <c r="G399" s="253"/>
      <c r="H399" s="11"/>
      <c r="I399" s="429"/>
      <c r="J399" s="427"/>
      <c r="K399" s="395"/>
      <c r="L399" s="431"/>
      <c r="M399" s="11"/>
      <c r="N399" s="11"/>
      <c r="O399" s="71"/>
      <c r="P399" s="427"/>
      <c r="Q399" s="397"/>
      <c r="R399" s="395"/>
      <c r="S399" s="398"/>
      <c r="T399" s="399"/>
      <c r="U399" s="11"/>
      <c r="V399" s="11"/>
      <c r="W399" s="11"/>
      <c r="X399" s="11"/>
      <c r="Y399" s="11"/>
      <c r="Z399" s="402"/>
      <c r="AA399" s="402"/>
    </row>
    <row r="400" ht="13.5" customHeight="1">
      <c r="A400" s="11"/>
      <c r="B400" s="11"/>
      <c r="C400" s="11"/>
      <c r="D400" s="11"/>
      <c r="E400" s="11"/>
      <c r="F400" s="253"/>
      <c r="G400" s="253"/>
      <c r="H400" s="11"/>
      <c r="I400" s="429"/>
      <c r="J400" s="427"/>
      <c r="K400" s="395"/>
      <c r="L400" s="431"/>
      <c r="M400" s="11"/>
      <c r="N400" s="11"/>
      <c r="O400" s="71"/>
      <c r="P400" s="427"/>
      <c r="Q400" s="397"/>
      <c r="R400" s="395"/>
      <c r="S400" s="398"/>
      <c r="T400" s="399"/>
      <c r="U400" s="11"/>
      <c r="V400" s="11"/>
      <c r="W400" s="11"/>
      <c r="X400" s="11"/>
      <c r="Y400" s="11"/>
      <c r="Z400" s="402"/>
      <c r="AA400" s="402"/>
    </row>
    <row r="401" ht="13.5" customHeight="1">
      <c r="A401" s="11"/>
      <c r="B401" s="11"/>
      <c r="C401" s="11"/>
      <c r="D401" s="11"/>
      <c r="E401" s="11"/>
      <c r="F401" s="253"/>
      <c r="G401" s="253"/>
      <c r="H401" s="11"/>
      <c r="I401" s="429"/>
      <c r="J401" s="427"/>
      <c r="K401" s="395"/>
      <c r="L401" s="431"/>
      <c r="M401" s="11"/>
      <c r="N401" s="11"/>
      <c r="O401" s="71"/>
      <c r="P401" s="427"/>
      <c r="Q401" s="397"/>
      <c r="R401" s="395"/>
      <c r="S401" s="398"/>
      <c r="T401" s="399"/>
      <c r="U401" s="11"/>
      <c r="V401" s="11"/>
      <c r="W401" s="11"/>
      <c r="X401" s="11"/>
      <c r="Y401" s="11"/>
      <c r="Z401" s="402"/>
      <c r="AA401" s="402"/>
    </row>
    <row r="402" ht="13.5" customHeight="1">
      <c r="A402" s="11"/>
      <c r="B402" s="11"/>
      <c r="C402" s="11"/>
      <c r="D402" s="11"/>
      <c r="E402" s="11"/>
      <c r="F402" s="253"/>
      <c r="G402" s="253"/>
      <c r="H402" s="11"/>
      <c r="I402" s="429"/>
      <c r="J402" s="427"/>
      <c r="K402" s="395"/>
      <c r="L402" s="431"/>
      <c r="M402" s="11"/>
      <c r="N402" s="11"/>
      <c r="O402" s="71"/>
      <c r="P402" s="427"/>
      <c r="Q402" s="397"/>
      <c r="R402" s="395"/>
      <c r="S402" s="398"/>
      <c r="T402" s="399"/>
      <c r="U402" s="11"/>
      <c r="V402" s="11"/>
      <c r="W402" s="11"/>
      <c r="X402" s="11"/>
      <c r="Y402" s="11"/>
      <c r="Z402" s="402"/>
      <c r="AA402" s="402"/>
    </row>
    <row r="403" ht="13.5" customHeight="1">
      <c r="A403" s="11"/>
      <c r="B403" s="11"/>
      <c r="C403" s="11"/>
      <c r="D403" s="11"/>
      <c r="E403" s="11"/>
      <c r="F403" s="253"/>
      <c r="G403" s="253"/>
      <c r="H403" s="11"/>
      <c r="I403" s="429"/>
      <c r="J403" s="427"/>
      <c r="K403" s="395"/>
      <c r="L403" s="431"/>
      <c r="M403" s="11"/>
      <c r="N403" s="11"/>
      <c r="O403" s="71"/>
      <c r="P403" s="427"/>
      <c r="Q403" s="397"/>
      <c r="R403" s="395"/>
      <c r="S403" s="398"/>
      <c r="T403" s="399"/>
      <c r="U403" s="11"/>
      <c r="V403" s="11"/>
      <c r="W403" s="11"/>
      <c r="X403" s="11"/>
      <c r="Y403" s="11"/>
      <c r="Z403" s="402"/>
      <c r="AA403" s="402"/>
    </row>
    <row r="404" ht="13.5" customHeight="1">
      <c r="A404" s="11"/>
      <c r="B404" s="11"/>
      <c r="C404" s="11"/>
      <c r="D404" s="11"/>
      <c r="E404" s="11"/>
      <c r="F404" s="253"/>
      <c r="G404" s="253"/>
      <c r="H404" s="11"/>
      <c r="I404" s="429"/>
      <c r="J404" s="427"/>
      <c r="K404" s="395"/>
      <c r="L404" s="431"/>
      <c r="M404" s="11"/>
      <c r="N404" s="11"/>
      <c r="O404" s="71"/>
      <c r="P404" s="427"/>
      <c r="Q404" s="397"/>
      <c r="R404" s="395"/>
      <c r="S404" s="398"/>
      <c r="T404" s="399"/>
      <c r="U404" s="11"/>
      <c r="V404" s="11"/>
      <c r="W404" s="11"/>
      <c r="X404" s="11"/>
      <c r="Y404" s="11"/>
      <c r="Z404" s="402"/>
      <c r="AA404" s="402"/>
    </row>
    <row r="405" ht="13.5" customHeight="1">
      <c r="A405" s="11"/>
      <c r="B405" s="11"/>
      <c r="C405" s="11"/>
      <c r="D405" s="11"/>
      <c r="E405" s="11"/>
      <c r="F405" s="253"/>
      <c r="G405" s="253"/>
      <c r="H405" s="11"/>
      <c r="I405" s="429"/>
      <c r="J405" s="427"/>
      <c r="K405" s="395"/>
      <c r="L405" s="431"/>
      <c r="M405" s="11"/>
      <c r="N405" s="11"/>
      <c r="O405" s="71"/>
      <c r="P405" s="427"/>
      <c r="Q405" s="397"/>
      <c r="R405" s="395"/>
      <c r="S405" s="398"/>
      <c r="T405" s="399"/>
      <c r="U405" s="11"/>
      <c r="V405" s="11"/>
      <c r="W405" s="11"/>
      <c r="X405" s="11"/>
      <c r="Y405" s="11"/>
      <c r="Z405" s="402"/>
      <c r="AA405" s="402"/>
    </row>
    <row r="406" ht="13.5" customHeight="1">
      <c r="A406" s="11"/>
      <c r="B406" s="11"/>
      <c r="C406" s="11"/>
      <c r="D406" s="11"/>
      <c r="E406" s="11"/>
      <c r="F406" s="253"/>
      <c r="G406" s="253"/>
      <c r="H406" s="11"/>
      <c r="I406" s="429"/>
      <c r="J406" s="427"/>
      <c r="K406" s="395"/>
      <c r="L406" s="431"/>
      <c r="M406" s="11"/>
      <c r="N406" s="11"/>
      <c r="O406" s="71"/>
      <c r="P406" s="427"/>
      <c r="Q406" s="397"/>
      <c r="R406" s="395"/>
      <c r="S406" s="398"/>
      <c r="T406" s="399"/>
      <c r="U406" s="11"/>
      <c r="V406" s="11"/>
      <c r="W406" s="11"/>
      <c r="X406" s="11"/>
      <c r="Y406" s="11"/>
      <c r="Z406" s="402"/>
      <c r="AA406" s="402"/>
    </row>
    <row r="407" ht="13.5" customHeight="1">
      <c r="A407" s="11"/>
      <c r="B407" s="11"/>
      <c r="C407" s="11"/>
      <c r="D407" s="11"/>
      <c r="E407" s="11"/>
      <c r="F407" s="253"/>
      <c r="G407" s="253"/>
      <c r="H407" s="11"/>
      <c r="I407" s="429"/>
      <c r="J407" s="427"/>
      <c r="K407" s="395"/>
      <c r="L407" s="431"/>
      <c r="M407" s="11"/>
      <c r="N407" s="11"/>
      <c r="O407" s="71"/>
      <c r="P407" s="427"/>
      <c r="Q407" s="397"/>
      <c r="R407" s="395"/>
      <c r="S407" s="398"/>
      <c r="T407" s="399"/>
      <c r="U407" s="11"/>
      <c r="V407" s="11"/>
      <c r="W407" s="11"/>
      <c r="X407" s="11"/>
      <c r="Y407" s="11"/>
      <c r="Z407" s="402"/>
      <c r="AA407" s="402"/>
    </row>
    <row r="408" ht="13.5" customHeight="1">
      <c r="A408" s="11"/>
      <c r="B408" s="11"/>
      <c r="C408" s="11"/>
      <c r="D408" s="11"/>
      <c r="E408" s="11"/>
      <c r="F408" s="253"/>
      <c r="G408" s="253"/>
      <c r="H408" s="11"/>
      <c r="I408" s="429"/>
      <c r="J408" s="427"/>
      <c r="K408" s="395"/>
      <c r="L408" s="431"/>
      <c r="M408" s="11"/>
      <c r="N408" s="11"/>
      <c r="O408" s="71"/>
      <c r="P408" s="427"/>
      <c r="Q408" s="397"/>
      <c r="R408" s="395"/>
      <c r="S408" s="398"/>
      <c r="T408" s="399"/>
      <c r="U408" s="11"/>
      <c r="V408" s="11"/>
      <c r="W408" s="11"/>
      <c r="X408" s="11"/>
      <c r="Y408" s="11"/>
      <c r="Z408" s="402"/>
      <c r="AA408" s="402"/>
    </row>
    <row r="409" ht="13.5" customHeight="1">
      <c r="A409" s="11"/>
      <c r="B409" s="11"/>
      <c r="C409" s="11"/>
      <c r="D409" s="11"/>
      <c r="E409" s="11"/>
      <c r="F409" s="253"/>
      <c r="G409" s="253"/>
      <c r="H409" s="11"/>
      <c r="I409" s="429"/>
      <c r="J409" s="427"/>
      <c r="K409" s="395"/>
      <c r="L409" s="431"/>
      <c r="M409" s="11"/>
      <c r="N409" s="11"/>
      <c r="O409" s="71"/>
      <c r="P409" s="427"/>
      <c r="Q409" s="397"/>
      <c r="R409" s="395"/>
      <c r="S409" s="398"/>
      <c r="T409" s="399"/>
      <c r="U409" s="11"/>
      <c r="V409" s="11"/>
      <c r="W409" s="11"/>
      <c r="X409" s="11"/>
      <c r="Y409" s="11"/>
      <c r="Z409" s="402"/>
      <c r="AA409" s="402"/>
    </row>
    <row r="410" ht="13.5" customHeight="1">
      <c r="A410" s="11"/>
      <c r="B410" s="11"/>
      <c r="C410" s="11"/>
      <c r="D410" s="11"/>
      <c r="E410" s="11"/>
      <c r="F410" s="253"/>
      <c r="G410" s="253"/>
      <c r="H410" s="11"/>
      <c r="I410" s="429"/>
      <c r="J410" s="427"/>
      <c r="K410" s="395"/>
      <c r="L410" s="431"/>
      <c r="M410" s="11"/>
      <c r="N410" s="11"/>
      <c r="O410" s="71"/>
      <c r="P410" s="427"/>
      <c r="Q410" s="397"/>
      <c r="R410" s="395"/>
      <c r="S410" s="398"/>
      <c r="T410" s="399"/>
      <c r="U410" s="11"/>
      <c r="V410" s="11"/>
      <c r="W410" s="11"/>
      <c r="X410" s="11"/>
      <c r="Y410" s="11"/>
      <c r="Z410" s="402"/>
      <c r="AA410" s="402"/>
    </row>
    <row r="411" ht="13.5" customHeight="1">
      <c r="A411" s="11"/>
      <c r="B411" s="11"/>
      <c r="C411" s="11"/>
      <c r="D411" s="11"/>
      <c r="E411" s="11"/>
      <c r="F411" s="253"/>
      <c r="G411" s="253"/>
      <c r="H411" s="11"/>
      <c r="I411" s="429"/>
      <c r="J411" s="427"/>
      <c r="K411" s="395"/>
      <c r="L411" s="431"/>
      <c r="M411" s="11"/>
      <c r="N411" s="11"/>
      <c r="O411" s="71"/>
      <c r="P411" s="427"/>
      <c r="Q411" s="397"/>
      <c r="R411" s="395"/>
      <c r="S411" s="398"/>
      <c r="T411" s="399"/>
      <c r="U411" s="11"/>
      <c r="V411" s="11"/>
      <c r="W411" s="11"/>
      <c r="X411" s="11"/>
      <c r="Y411" s="11"/>
      <c r="Z411" s="402"/>
      <c r="AA411" s="402"/>
    </row>
    <row r="412" ht="13.5" customHeight="1">
      <c r="A412" s="11"/>
      <c r="B412" s="11"/>
      <c r="C412" s="11"/>
      <c r="D412" s="11"/>
      <c r="E412" s="11"/>
      <c r="F412" s="253"/>
      <c r="G412" s="253"/>
      <c r="H412" s="11"/>
      <c r="I412" s="429"/>
      <c r="J412" s="427"/>
      <c r="K412" s="395"/>
      <c r="L412" s="431"/>
      <c r="M412" s="11"/>
      <c r="N412" s="11"/>
      <c r="O412" s="71"/>
      <c r="P412" s="427"/>
      <c r="Q412" s="397"/>
      <c r="R412" s="395"/>
      <c r="S412" s="398"/>
      <c r="T412" s="399"/>
      <c r="U412" s="11"/>
      <c r="V412" s="11"/>
      <c r="W412" s="11"/>
      <c r="X412" s="11"/>
      <c r="Y412" s="11"/>
      <c r="Z412" s="402"/>
      <c r="AA412" s="402"/>
    </row>
    <row r="413" ht="13.5" customHeight="1">
      <c r="A413" s="11"/>
      <c r="B413" s="11"/>
      <c r="C413" s="11"/>
      <c r="D413" s="11"/>
      <c r="E413" s="11"/>
      <c r="F413" s="253"/>
      <c r="G413" s="253"/>
      <c r="H413" s="11"/>
      <c r="I413" s="429"/>
      <c r="J413" s="427"/>
      <c r="K413" s="395"/>
      <c r="L413" s="431"/>
      <c r="M413" s="11"/>
      <c r="N413" s="11"/>
      <c r="O413" s="71"/>
      <c r="P413" s="427"/>
      <c r="Q413" s="397"/>
      <c r="R413" s="395"/>
      <c r="S413" s="398"/>
      <c r="T413" s="399"/>
      <c r="U413" s="11"/>
      <c r="V413" s="11"/>
      <c r="W413" s="11"/>
      <c r="X413" s="11"/>
      <c r="Y413" s="11"/>
      <c r="Z413" s="402"/>
      <c r="AA413" s="402"/>
    </row>
    <row r="414" ht="13.5" customHeight="1">
      <c r="A414" s="11"/>
      <c r="B414" s="11"/>
      <c r="C414" s="11"/>
      <c r="D414" s="11"/>
      <c r="E414" s="11"/>
      <c r="F414" s="253"/>
      <c r="G414" s="253"/>
      <c r="H414" s="11"/>
      <c r="I414" s="429"/>
      <c r="J414" s="427"/>
      <c r="K414" s="395"/>
      <c r="L414" s="431"/>
      <c r="M414" s="11"/>
      <c r="N414" s="11"/>
      <c r="O414" s="71"/>
      <c r="P414" s="427"/>
      <c r="Q414" s="397"/>
      <c r="R414" s="395"/>
      <c r="S414" s="398"/>
      <c r="T414" s="399"/>
      <c r="U414" s="11"/>
      <c r="V414" s="11"/>
      <c r="W414" s="11"/>
      <c r="X414" s="11"/>
      <c r="Y414" s="11"/>
      <c r="Z414" s="402"/>
      <c r="AA414" s="402"/>
    </row>
    <row r="415" ht="13.5" customHeight="1">
      <c r="A415" s="11"/>
      <c r="B415" s="11"/>
      <c r="C415" s="11"/>
      <c r="D415" s="11"/>
      <c r="E415" s="11"/>
      <c r="F415" s="253"/>
      <c r="G415" s="253"/>
      <c r="H415" s="11"/>
      <c r="I415" s="429"/>
      <c r="J415" s="427"/>
      <c r="K415" s="395"/>
      <c r="L415" s="431"/>
      <c r="M415" s="11"/>
      <c r="N415" s="11"/>
      <c r="O415" s="71"/>
      <c r="P415" s="427"/>
      <c r="Q415" s="397"/>
      <c r="R415" s="395"/>
      <c r="S415" s="398"/>
      <c r="T415" s="399"/>
      <c r="U415" s="11"/>
      <c r="V415" s="11"/>
      <c r="W415" s="11"/>
      <c r="X415" s="11"/>
      <c r="Y415" s="11"/>
      <c r="Z415" s="402"/>
      <c r="AA415" s="402"/>
    </row>
    <row r="416" ht="13.5" customHeight="1">
      <c r="A416" s="11"/>
      <c r="B416" s="11"/>
      <c r="C416" s="11"/>
      <c r="D416" s="11"/>
      <c r="E416" s="11"/>
      <c r="F416" s="253"/>
      <c r="G416" s="253"/>
      <c r="H416" s="11"/>
      <c r="I416" s="429"/>
      <c r="J416" s="427"/>
      <c r="K416" s="395"/>
      <c r="L416" s="431"/>
      <c r="M416" s="11"/>
      <c r="N416" s="11"/>
      <c r="O416" s="71"/>
      <c r="P416" s="427"/>
      <c r="Q416" s="397"/>
      <c r="R416" s="395"/>
      <c r="S416" s="398"/>
      <c r="T416" s="399"/>
      <c r="U416" s="11"/>
      <c r="V416" s="11"/>
      <c r="W416" s="11"/>
      <c r="X416" s="11"/>
      <c r="Y416" s="11"/>
      <c r="Z416" s="402"/>
      <c r="AA416" s="402"/>
    </row>
    <row r="417" ht="13.5" customHeight="1">
      <c r="A417" s="11"/>
      <c r="B417" s="11"/>
      <c r="C417" s="11"/>
      <c r="D417" s="11"/>
      <c r="E417" s="11"/>
      <c r="F417" s="253"/>
      <c r="G417" s="253"/>
      <c r="H417" s="11"/>
      <c r="I417" s="429"/>
      <c r="J417" s="427"/>
      <c r="K417" s="395"/>
      <c r="L417" s="431"/>
      <c r="M417" s="11"/>
      <c r="N417" s="11"/>
      <c r="O417" s="71"/>
      <c r="P417" s="427"/>
      <c r="Q417" s="397"/>
      <c r="R417" s="395"/>
      <c r="S417" s="398"/>
      <c r="T417" s="399"/>
      <c r="U417" s="11"/>
      <c r="V417" s="11"/>
      <c r="W417" s="11"/>
      <c r="X417" s="11"/>
      <c r="Y417" s="11"/>
      <c r="Z417" s="402"/>
      <c r="AA417" s="402"/>
    </row>
    <row r="418" ht="13.5" customHeight="1">
      <c r="A418" s="11"/>
      <c r="B418" s="11"/>
      <c r="C418" s="11"/>
      <c r="D418" s="11"/>
      <c r="E418" s="11"/>
      <c r="F418" s="253"/>
      <c r="G418" s="253"/>
      <c r="H418" s="11"/>
      <c r="I418" s="429"/>
      <c r="J418" s="427"/>
      <c r="K418" s="395"/>
      <c r="L418" s="431"/>
      <c r="M418" s="11"/>
      <c r="N418" s="11"/>
      <c r="O418" s="71"/>
      <c r="P418" s="427"/>
      <c r="Q418" s="397"/>
      <c r="R418" s="395"/>
      <c r="S418" s="398"/>
      <c r="T418" s="399"/>
      <c r="U418" s="11"/>
      <c r="V418" s="11"/>
      <c r="W418" s="11"/>
      <c r="X418" s="11"/>
      <c r="Y418" s="11"/>
      <c r="Z418" s="402"/>
      <c r="AA418" s="402"/>
    </row>
    <row r="419" ht="13.5" customHeight="1">
      <c r="A419" s="11"/>
      <c r="B419" s="11"/>
      <c r="C419" s="11"/>
      <c r="D419" s="11"/>
      <c r="E419" s="11"/>
      <c r="F419" s="253"/>
      <c r="G419" s="253"/>
      <c r="H419" s="11"/>
      <c r="I419" s="429"/>
      <c r="J419" s="427"/>
      <c r="K419" s="395"/>
      <c r="L419" s="431"/>
      <c r="M419" s="11"/>
      <c r="N419" s="11"/>
      <c r="O419" s="71"/>
      <c r="P419" s="427"/>
      <c r="Q419" s="397"/>
      <c r="R419" s="395"/>
      <c r="S419" s="398"/>
      <c r="T419" s="399"/>
      <c r="U419" s="11"/>
      <c r="V419" s="11"/>
      <c r="W419" s="11"/>
      <c r="X419" s="11"/>
      <c r="Y419" s="11"/>
      <c r="Z419" s="402"/>
      <c r="AA419" s="402"/>
    </row>
    <row r="420" ht="13.5" customHeight="1">
      <c r="A420" s="11"/>
      <c r="B420" s="11"/>
      <c r="C420" s="11"/>
      <c r="D420" s="11"/>
      <c r="E420" s="11"/>
      <c r="F420" s="253"/>
      <c r="G420" s="253"/>
      <c r="H420" s="11"/>
      <c r="I420" s="429"/>
      <c r="J420" s="427"/>
      <c r="K420" s="395"/>
      <c r="L420" s="431"/>
      <c r="M420" s="11"/>
      <c r="N420" s="11"/>
      <c r="O420" s="71"/>
      <c r="P420" s="427"/>
      <c r="Q420" s="397"/>
      <c r="R420" s="395"/>
      <c r="S420" s="398"/>
      <c r="T420" s="399"/>
      <c r="U420" s="11"/>
      <c r="V420" s="11"/>
      <c r="W420" s="11"/>
      <c r="X420" s="11"/>
      <c r="Y420" s="11"/>
      <c r="Z420" s="402"/>
      <c r="AA420" s="402"/>
    </row>
    <row r="421" ht="13.5" customHeight="1">
      <c r="A421" s="11"/>
      <c r="B421" s="11"/>
      <c r="C421" s="11"/>
      <c r="D421" s="11"/>
      <c r="E421" s="11"/>
      <c r="F421" s="253"/>
      <c r="G421" s="253"/>
      <c r="H421" s="11"/>
      <c r="I421" s="429"/>
      <c r="J421" s="427"/>
      <c r="K421" s="395"/>
      <c r="L421" s="431"/>
      <c r="M421" s="11"/>
      <c r="N421" s="11"/>
      <c r="O421" s="71"/>
      <c r="P421" s="427"/>
      <c r="Q421" s="397"/>
      <c r="R421" s="395"/>
      <c r="S421" s="398"/>
      <c r="T421" s="399"/>
      <c r="U421" s="11"/>
      <c r="V421" s="11"/>
      <c r="W421" s="11"/>
      <c r="X421" s="11"/>
      <c r="Y421" s="11"/>
      <c r="Z421" s="402"/>
      <c r="AA421" s="402"/>
    </row>
    <row r="422" ht="13.5" customHeight="1">
      <c r="A422" s="11"/>
      <c r="B422" s="11"/>
      <c r="C422" s="11"/>
      <c r="D422" s="11"/>
      <c r="E422" s="11"/>
      <c r="F422" s="253"/>
      <c r="G422" s="253"/>
      <c r="H422" s="11"/>
      <c r="I422" s="429"/>
      <c r="J422" s="427"/>
      <c r="K422" s="395"/>
      <c r="L422" s="431"/>
      <c r="M422" s="11"/>
      <c r="N422" s="11"/>
      <c r="O422" s="71"/>
      <c r="P422" s="427"/>
      <c r="Q422" s="397"/>
      <c r="R422" s="395"/>
      <c r="S422" s="398"/>
      <c r="T422" s="399"/>
      <c r="U422" s="11"/>
      <c r="V422" s="11"/>
      <c r="W422" s="11"/>
      <c r="X422" s="11"/>
      <c r="Y422" s="11"/>
      <c r="Z422" s="402"/>
      <c r="AA422" s="402"/>
    </row>
    <row r="423" ht="13.5" customHeight="1">
      <c r="A423" s="11"/>
      <c r="B423" s="11"/>
      <c r="C423" s="11"/>
      <c r="D423" s="11"/>
      <c r="E423" s="11"/>
      <c r="F423" s="253"/>
      <c r="G423" s="253"/>
      <c r="H423" s="11"/>
      <c r="I423" s="429"/>
      <c r="J423" s="427"/>
      <c r="K423" s="395"/>
      <c r="L423" s="431"/>
      <c r="M423" s="11"/>
      <c r="N423" s="11"/>
      <c r="O423" s="71"/>
      <c r="P423" s="427"/>
      <c r="Q423" s="397"/>
      <c r="R423" s="395"/>
      <c r="S423" s="398"/>
      <c r="T423" s="399"/>
      <c r="U423" s="11"/>
      <c r="V423" s="11"/>
      <c r="W423" s="11"/>
      <c r="X423" s="11"/>
      <c r="Y423" s="11"/>
      <c r="Z423" s="402"/>
      <c r="AA423" s="402"/>
    </row>
    <row r="424" ht="13.5" customHeight="1">
      <c r="A424" s="11"/>
      <c r="B424" s="11"/>
      <c r="C424" s="11"/>
      <c r="D424" s="11"/>
      <c r="E424" s="11"/>
      <c r="F424" s="253"/>
      <c r="G424" s="253"/>
      <c r="H424" s="11"/>
      <c r="I424" s="429"/>
      <c r="J424" s="427"/>
      <c r="K424" s="395"/>
      <c r="L424" s="431"/>
      <c r="M424" s="11"/>
      <c r="N424" s="11"/>
      <c r="O424" s="71"/>
      <c r="P424" s="427"/>
      <c r="Q424" s="397"/>
      <c r="R424" s="395"/>
      <c r="S424" s="398"/>
      <c r="T424" s="399"/>
      <c r="U424" s="11"/>
      <c r="V424" s="11"/>
      <c r="W424" s="11"/>
      <c r="X424" s="11"/>
      <c r="Y424" s="11"/>
      <c r="Z424" s="402"/>
      <c r="AA424" s="402"/>
    </row>
    <row r="425" ht="13.5" customHeight="1">
      <c r="A425" s="11"/>
      <c r="B425" s="11"/>
      <c r="C425" s="11"/>
      <c r="D425" s="11"/>
      <c r="E425" s="11"/>
      <c r="F425" s="253"/>
      <c r="G425" s="253"/>
      <c r="H425" s="11"/>
      <c r="I425" s="429"/>
      <c r="J425" s="427"/>
      <c r="K425" s="395"/>
      <c r="L425" s="431"/>
      <c r="M425" s="11"/>
      <c r="N425" s="11"/>
      <c r="O425" s="71"/>
      <c r="P425" s="427"/>
      <c r="Q425" s="397"/>
      <c r="R425" s="395"/>
      <c r="S425" s="398"/>
      <c r="T425" s="399"/>
      <c r="U425" s="11"/>
      <c r="V425" s="11"/>
      <c r="W425" s="11"/>
      <c r="X425" s="11"/>
      <c r="Y425" s="11"/>
      <c r="Z425" s="402"/>
      <c r="AA425" s="402"/>
    </row>
    <row r="426" ht="13.5" customHeight="1">
      <c r="A426" s="11"/>
      <c r="B426" s="11"/>
      <c r="C426" s="11"/>
      <c r="D426" s="11"/>
      <c r="E426" s="11"/>
      <c r="F426" s="253"/>
      <c r="G426" s="253"/>
      <c r="H426" s="11"/>
      <c r="I426" s="429"/>
      <c r="J426" s="427"/>
      <c r="K426" s="395"/>
      <c r="L426" s="431"/>
      <c r="M426" s="11"/>
      <c r="N426" s="11"/>
      <c r="O426" s="71"/>
      <c r="P426" s="427"/>
      <c r="Q426" s="397"/>
      <c r="R426" s="395"/>
      <c r="S426" s="398"/>
      <c r="T426" s="399"/>
      <c r="U426" s="11"/>
      <c r="V426" s="11"/>
      <c r="W426" s="11"/>
      <c r="X426" s="11"/>
      <c r="Y426" s="11"/>
      <c r="Z426" s="402"/>
      <c r="AA426" s="402"/>
    </row>
    <row r="427" ht="13.5" customHeight="1">
      <c r="A427" s="11"/>
      <c r="B427" s="11"/>
      <c r="C427" s="11"/>
      <c r="D427" s="11"/>
      <c r="E427" s="11"/>
      <c r="F427" s="253"/>
      <c r="G427" s="253"/>
      <c r="H427" s="11"/>
      <c r="I427" s="429"/>
      <c r="J427" s="427"/>
      <c r="K427" s="395"/>
      <c r="L427" s="431"/>
      <c r="M427" s="11"/>
      <c r="N427" s="11"/>
      <c r="O427" s="71"/>
      <c r="P427" s="427"/>
      <c r="Q427" s="397"/>
      <c r="R427" s="395"/>
      <c r="S427" s="398"/>
      <c r="T427" s="399"/>
      <c r="U427" s="11"/>
      <c r="V427" s="11"/>
      <c r="W427" s="11"/>
      <c r="X427" s="11"/>
      <c r="Y427" s="11"/>
      <c r="Z427" s="402"/>
      <c r="AA427" s="402"/>
    </row>
    <row r="428" ht="13.5" customHeight="1">
      <c r="A428" s="11"/>
      <c r="B428" s="11"/>
      <c r="C428" s="11"/>
      <c r="D428" s="11"/>
      <c r="E428" s="11"/>
      <c r="F428" s="253"/>
      <c r="G428" s="253"/>
      <c r="H428" s="11"/>
      <c r="I428" s="429"/>
      <c r="J428" s="427"/>
      <c r="K428" s="395"/>
      <c r="L428" s="431"/>
      <c r="M428" s="11"/>
      <c r="N428" s="11"/>
      <c r="O428" s="71"/>
      <c r="P428" s="427"/>
      <c r="Q428" s="397"/>
      <c r="R428" s="395"/>
      <c r="S428" s="398"/>
      <c r="T428" s="399"/>
      <c r="U428" s="11"/>
      <c r="V428" s="11"/>
      <c r="W428" s="11"/>
      <c r="X428" s="11"/>
      <c r="Y428" s="11"/>
      <c r="Z428" s="402"/>
      <c r="AA428" s="402"/>
    </row>
    <row r="429" ht="13.5" customHeight="1">
      <c r="A429" s="11"/>
      <c r="B429" s="11"/>
      <c r="C429" s="11"/>
      <c r="D429" s="11"/>
      <c r="E429" s="11"/>
      <c r="F429" s="253"/>
      <c r="G429" s="253"/>
      <c r="H429" s="11"/>
      <c r="I429" s="429"/>
      <c r="J429" s="427"/>
      <c r="K429" s="395"/>
      <c r="L429" s="431"/>
      <c r="M429" s="11"/>
      <c r="N429" s="11"/>
      <c r="O429" s="71"/>
      <c r="P429" s="427"/>
      <c r="Q429" s="397"/>
      <c r="R429" s="395"/>
      <c r="S429" s="398"/>
      <c r="T429" s="399"/>
      <c r="U429" s="11"/>
      <c r="V429" s="11"/>
      <c r="W429" s="11"/>
      <c r="X429" s="11"/>
      <c r="Y429" s="11"/>
      <c r="Z429" s="402"/>
      <c r="AA429" s="402"/>
    </row>
    <row r="430" ht="13.5" customHeight="1">
      <c r="A430" s="11"/>
      <c r="B430" s="11"/>
      <c r="C430" s="11"/>
      <c r="D430" s="11"/>
      <c r="E430" s="11"/>
      <c r="F430" s="253"/>
      <c r="G430" s="253"/>
      <c r="H430" s="11"/>
      <c r="I430" s="429"/>
      <c r="J430" s="427"/>
      <c r="K430" s="395"/>
      <c r="L430" s="431"/>
      <c r="M430" s="11"/>
      <c r="N430" s="11"/>
      <c r="O430" s="71"/>
      <c r="P430" s="427"/>
      <c r="Q430" s="397"/>
      <c r="R430" s="395"/>
      <c r="S430" s="398"/>
      <c r="T430" s="399"/>
      <c r="U430" s="11"/>
      <c r="V430" s="11"/>
      <c r="W430" s="11"/>
      <c r="X430" s="11"/>
      <c r="Y430" s="11"/>
      <c r="Z430" s="402"/>
      <c r="AA430" s="402"/>
    </row>
    <row r="431" ht="13.5" customHeight="1">
      <c r="A431" s="11"/>
      <c r="B431" s="11"/>
      <c r="C431" s="11"/>
      <c r="D431" s="11"/>
      <c r="E431" s="11"/>
      <c r="F431" s="253"/>
      <c r="G431" s="253"/>
      <c r="H431" s="11"/>
      <c r="I431" s="429"/>
      <c r="J431" s="427"/>
      <c r="K431" s="395"/>
      <c r="L431" s="431"/>
      <c r="M431" s="11"/>
      <c r="N431" s="11"/>
      <c r="O431" s="71"/>
      <c r="P431" s="427"/>
      <c r="Q431" s="397"/>
      <c r="R431" s="395"/>
      <c r="S431" s="398"/>
      <c r="T431" s="399"/>
      <c r="U431" s="11"/>
      <c r="V431" s="11"/>
      <c r="W431" s="11"/>
      <c r="X431" s="11"/>
      <c r="Y431" s="11"/>
      <c r="Z431" s="402"/>
      <c r="AA431" s="402"/>
    </row>
    <row r="432" ht="13.5" customHeight="1">
      <c r="A432" s="11"/>
      <c r="B432" s="11"/>
      <c r="C432" s="11"/>
      <c r="D432" s="11"/>
      <c r="E432" s="11"/>
      <c r="F432" s="253"/>
      <c r="G432" s="253"/>
      <c r="H432" s="11"/>
      <c r="I432" s="429"/>
      <c r="J432" s="427"/>
      <c r="K432" s="395"/>
      <c r="L432" s="431"/>
      <c r="M432" s="11"/>
      <c r="N432" s="11"/>
      <c r="O432" s="71"/>
      <c r="P432" s="427"/>
      <c r="Q432" s="397"/>
      <c r="R432" s="395"/>
      <c r="S432" s="398"/>
      <c r="T432" s="399"/>
      <c r="U432" s="11"/>
      <c r="V432" s="11"/>
      <c r="W432" s="11"/>
      <c r="X432" s="11"/>
      <c r="Y432" s="11"/>
      <c r="Z432" s="402"/>
      <c r="AA432" s="402"/>
    </row>
    <row r="433" ht="13.5" customHeight="1">
      <c r="A433" s="11"/>
      <c r="B433" s="11"/>
      <c r="C433" s="11"/>
      <c r="D433" s="11"/>
      <c r="E433" s="11"/>
      <c r="F433" s="253"/>
      <c r="G433" s="253"/>
      <c r="H433" s="11"/>
      <c r="I433" s="429"/>
      <c r="J433" s="427"/>
      <c r="K433" s="395"/>
      <c r="L433" s="431"/>
      <c r="M433" s="11"/>
      <c r="N433" s="11"/>
      <c r="O433" s="71"/>
      <c r="P433" s="427"/>
      <c r="Q433" s="397"/>
      <c r="R433" s="395"/>
      <c r="S433" s="398"/>
      <c r="T433" s="399"/>
      <c r="U433" s="11"/>
      <c r="V433" s="11"/>
      <c r="W433" s="11"/>
      <c r="X433" s="11"/>
      <c r="Y433" s="11"/>
      <c r="Z433" s="402"/>
      <c r="AA433" s="402"/>
    </row>
    <row r="434" ht="13.5" customHeight="1">
      <c r="A434" s="11"/>
      <c r="B434" s="11"/>
      <c r="C434" s="11"/>
      <c r="D434" s="11"/>
      <c r="E434" s="11"/>
      <c r="F434" s="253"/>
      <c r="G434" s="253"/>
      <c r="H434" s="11"/>
      <c r="I434" s="429"/>
      <c r="J434" s="427"/>
      <c r="K434" s="395"/>
      <c r="L434" s="431"/>
      <c r="M434" s="11"/>
      <c r="N434" s="11"/>
      <c r="O434" s="71"/>
      <c r="P434" s="427"/>
      <c r="Q434" s="397"/>
      <c r="R434" s="395"/>
      <c r="S434" s="398"/>
      <c r="T434" s="399"/>
      <c r="U434" s="11"/>
      <c r="V434" s="11"/>
      <c r="W434" s="11"/>
      <c r="X434" s="11"/>
      <c r="Y434" s="11"/>
      <c r="Z434" s="402"/>
      <c r="AA434" s="402"/>
    </row>
    <row r="435" ht="13.5" customHeight="1">
      <c r="A435" s="11"/>
      <c r="B435" s="11"/>
      <c r="C435" s="11"/>
      <c r="D435" s="11"/>
      <c r="E435" s="11"/>
      <c r="F435" s="253"/>
      <c r="G435" s="253"/>
      <c r="H435" s="11"/>
      <c r="I435" s="429"/>
      <c r="J435" s="427"/>
      <c r="K435" s="395"/>
      <c r="L435" s="431"/>
      <c r="M435" s="11"/>
      <c r="N435" s="11"/>
      <c r="O435" s="71"/>
      <c r="P435" s="427"/>
      <c r="Q435" s="397"/>
      <c r="R435" s="395"/>
      <c r="S435" s="398"/>
      <c r="T435" s="399"/>
      <c r="U435" s="11"/>
      <c r="V435" s="11"/>
      <c r="W435" s="11"/>
      <c r="X435" s="11"/>
      <c r="Y435" s="11"/>
      <c r="Z435" s="402"/>
      <c r="AA435" s="402"/>
    </row>
    <row r="436" ht="13.5" customHeight="1">
      <c r="A436" s="11"/>
      <c r="B436" s="11"/>
      <c r="C436" s="11"/>
      <c r="D436" s="11"/>
      <c r="E436" s="11"/>
      <c r="F436" s="253"/>
      <c r="G436" s="253"/>
      <c r="H436" s="11"/>
      <c r="I436" s="429"/>
      <c r="J436" s="427"/>
      <c r="K436" s="395"/>
      <c r="L436" s="431"/>
      <c r="M436" s="11"/>
      <c r="N436" s="11"/>
      <c r="O436" s="71"/>
      <c r="P436" s="427"/>
      <c r="Q436" s="397"/>
      <c r="R436" s="395"/>
      <c r="S436" s="398"/>
      <c r="T436" s="399"/>
      <c r="U436" s="11"/>
      <c r="V436" s="11"/>
      <c r="W436" s="11"/>
      <c r="X436" s="11"/>
      <c r="Y436" s="11"/>
      <c r="Z436" s="402"/>
      <c r="AA436" s="402"/>
    </row>
    <row r="437" ht="13.5" customHeight="1">
      <c r="A437" s="11"/>
      <c r="B437" s="11"/>
      <c r="C437" s="11"/>
      <c r="D437" s="11"/>
      <c r="E437" s="11"/>
      <c r="F437" s="253"/>
      <c r="G437" s="253"/>
      <c r="H437" s="11"/>
      <c r="I437" s="429"/>
      <c r="J437" s="427"/>
      <c r="K437" s="395"/>
      <c r="L437" s="431"/>
      <c r="M437" s="11"/>
      <c r="N437" s="11"/>
      <c r="O437" s="71"/>
      <c r="P437" s="427"/>
      <c r="Q437" s="397"/>
      <c r="R437" s="395"/>
      <c r="S437" s="398"/>
      <c r="T437" s="399"/>
      <c r="U437" s="11"/>
      <c r="V437" s="11"/>
      <c r="W437" s="11"/>
      <c r="X437" s="11"/>
      <c r="Y437" s="11"/>
      <c r="Z437" s="402"/>
      <c r="AA437" s="402"/>
    </row>
    <row r="438" ht="13.5" customHeight="1">
      <c r="A438" s="11"/>
      <c r="B438" s="11"/>
      <c r="C438" s="11"/>
      <c r="D438" s="11"/>
      <c r="E438" s="11"/>
      <c r="F438" s="253"/>
      <c r="G438" s="253"/>
      <c r="H438" s="11"/>
      <c r="I438" s="429"/>
      <c r="J438" s="427"/>
      <c r="K438" s="395"/>
      <c r="L438" s="431"/>
      <c r="M438" s="11"/>
      <c r="N438" s="11"/>
      <c r="O438" s="71"/>
      <c r="P438" s="427"/>
      <c r="Q438" s="397"/>
      <c r="R438" s="395"/>
      <c r="S438" s="398"/>
      <c r="T438" s="399"/>
      <c r="U438" s="11"/>
      <c r="V438" s="11"/>
      <c r="W438" s="11"/>
      <c r="X438" s="11"/>
      <c r="Y438" s="11"/>
      <c r="Z438" s="402"/>
      <c r="AA438" s="402"/>
    </row>
    <row r="439" ht="13.5" customHeight="1">
      <c r="A439" s="11"/>
      <c r="B439" s="11"/>
      <c r="C439" s="11"/>
      <c r="D439" s="11"/>
      <c r="E439" s="11"/>
      <c r="F439" s="253"/>
      <c r="G439" s="253"/>
      <c r="H439" s="11"/>
      <c r="I439" s="429"/>
      <c r="J439" s="427"/>
      <c r="K439" s="395"/>
      <c r="L439" s="431"/>
      <c r="M439" s="11"/>
      <c r="N439" s="11"/>
      <c r="O439" s="71"/>
      <c r="P439" s="427"/>
      <c r="Q439" s="397"/>
      <c r="R439" s="395"/>
      <c r="S439" s="398"/>
      <c r="T439" s="399"/>
      <c r="U439" s="11"/>
      <c r="V439" s="11"/>
      <c r="W439" s="11"/>
      <c r="X439" s="11"/>
      <c r="Y439" s="11"/>
      <c r="Z439" s="402"/>
      <c r="AA439" s="402"/>
    </row>
    <row r="440" ht="13.5" customHeight="1">
      <c r="A440" s="11"/>
      <c r="B440" s="11"/>
      <c r="C440" s="11"/>
      <c r="D440" s="11"/>
      <c r="E440" s="11"/>
      <c r="F440" s="253"/>
      <c r="G440" s="253"/>
      <c r="H440" s="11"/>
      <c r="I440" s="429"/>
      <c r="J440" s="427"/>
      <c r="K440" s="395"/>
      <c r="L440" s="431"/>
      <c r="M440" s="11"/>
      <c r="N440" s="11"/>
      <c r="O440" s="71"/>
      <c r="P440" s="427"/>
      <c r="Q440" s="397"/>
      <c r="R440" s="395"/>
      <c r="S440" s="398"/>
      <c r="T440" s="399"/>
      <c r="U440" s="11"/>
      <c r="V440" s="11"/>
      <c r="W440" s="11"/>
      <c r="X440" s="11"/>
      <c r="Y440" s="11"/>
      <c r="Z440" s="402"/>
      <c r="AA440" s="402"/>
    </row>
    <row r="441" ht="13.5" customHeight="1">
      <c r="A441" s="11"/>
      <c r="B441" s="11"/>
      <c r="C441" s="11"/>
      <c r="D441" s="11"/>
      <c r="E441" s="11"/>
      <c r="F441" s="253"/>
      <c r="G441" s="253"/>
      <c r="H441" s="11"/>
      <c r="I441" s="429"/>
      <c r="J441" s="427"/>
      <c r="K441" s="395"/>
      <c r="L441" s="431"/>
      <c r="M441" s="11"/>
      <c r="N441" s="11"/>
      <c r="O441" s="71"/>
      <c r="P441" s="427"/>
      <c r="Q441" s="397"/>
      <c r="R441" s="395"/>
      <c r="S441" s="398"/>
      <c r="T441" s="399"/>
      <c r="U441" s="11"/>
      <c r="V441" s="11"/>
      <c r="W441" s="11"/>
      <c r="X441" s="11"/>
      <c r="Y441" s="11"/>
      <c r="Z441" s="402"/>
      <c r="AA441" s="402"/>
    </row>
    <row r="442" ht="13.5" customHeight="1">
      <c r="A442" s="11"/>
      <c r="B442" s="11"/>
      <c r="C442" s="11"/>
      <c r="D442" s="11"/>
      <c r="E442" s="11"/>
      <c r="F442" s="253"/>
      <c r="G442" s="253"/>
      <c r="H442" s="11"/>
      <c r="I442" s="429"/>
      <c r="J442" s="427"/>
      <c r="K442" s="395"/>
      <c r="L442" s="431"/>
      <c r="M442" s="11"/>
      <c r="N442" s="11"/>
      <c r="O442" s="71"/>
      <c r="P442" s="427"/>
      <c r="Q442" s="397"/>
      <c r="R442" s="395"/>
      <c r="S442" s="398"/>
      <c r="T442" s="399"/>
      <c r="U442" s="11"/>
      <c r="V442" s="11"/>
      <c r="W442" s="11"/>
      <c r="X442" s="11"/>
      <c r="Y442" s="11"/>
      <c r="Z442" s="402"/>
      <c r="AA442" s="402"/>
    </row>
    <row r="443" ht="13.5" customHeight="1">
      <c r="A443" s="11"/>
      <c r="B443" s="11"/>
      <c r="C443" s="11"/>
      <c r="D443" s="11"/>
      <c r="E443" s="11"/>
      <c r="F443" s="253"/>
      <c r="G443" s="253"/>
      <c r="H443" s="11"/>
      <c r="I443" s="429"/>
      <c r="J443" s="427"/>
      <c r="K443" s="395"/>
      <c r="L443" s="431"/>
      <c r="M443" s="11"/>
      <c r="N443" s="11"/>
      <c r="O443" s="71"/>
      <c r="P443" s="427"/>
      <c r="Q443" s="397"/>
      <c r="R443" s="395"/>
      <c r="S443" s="398"/>
      <c r="T443" s="399"/>
      <c r="U443" s="11"/>
      <c r="V443" s="11"/>
      <c r="W443" s="11"/>
      <c r="X443" s="11"/>
      <c r="Y443" s="11"/>
      <c r="Z443" s="402"/>
      <c r="AA443" s="402"/>
    </row>
    <row r="444" ht="13.5" customHeight="1">
      <c r="A444" s="11"/>
      <c r="B444" s="11"/>
      <c r="C444" s="11"/>
      <c r="D444" s="11"/>
      <c r="E444" s="11"/>
      <c r="F444" s="253"/>
      <c r="G444" s="253"/>
      <c r="H444" s="11"/>
      <c r="I444" s="429"/>
      <c r="J444" s="427"/>
      <c r="K444" s="395"/>
      <c r="L444" s="431"/>
      <c r="M444" s="11"/>
      <c r="N444" s="11"/>
      <c r="O444" s="71"/>
      <c r="P444" s="427"/>
      <c r="Q444" s="397"/>
      <c r="R444" s="395"/>
      <c r="S444" s="398"/>
      <c r="T444" s="399"/>
      <c r="U444" s="11"/>
      <c r="V444" s="11"/>
      <c r="W444" s="11"/>
      <c r="X444" s="11"/>
      <c r="Y444" s="11"/>
      <c r="Z444" s="402"/>
      <c r="AA444" s="402"/>
    </row>
    <row r="445" ht="13.5" customHeight="1">
      <c r="A445" s="11"/>
      <c r="B445" s="11"/>
      <c r="C445" s="11"/>
      <c r="D445" s="11"/>
      <c r="E445" s="11"/>
      <c r="F445" s="253"/>
      <c r="G445" s="253"/>
      <c r="H445" s="11"/>
      <c r="I445" s="429"/>
      <c r="J445" s="427"/>
      <c r="K445" s="395"/>
      <c r="L445" s="431"/>
      <c r="M445" s="11"/>
      <c r="N445" s="11"/>
      <c r="O445" s="71"/>
      <c r="P445" s="427"/>
      <c r="Q445" s="397"/>
      <c r="R445" s="395"/>
      <c r="S445" s="398"/>
      <c r="T445" s="399"/>
      <c r="U445" s="11"/>
      <c r="V445" s="11"/>
      <c r="W445" s="11"/>
      <c r="X445" s="11"/>
      <c r="Y445" s="11"/>
      <c r="Z445" s="402"/>
      <c r="AA445" s="402"/>
    </row>
    <row r="446" ht="13.5" customHeight="1">
      <c r="A446" s="11"/>
      <c r="B446" s="11"/>
      <c r="C446" s="11"/>
      <c r="D446" s="11"/>
      <c r="E446" s="11"/>
      <c r="F446" s="253"/>
      <c r="G446" s="253"/>
      <c r="H446" s="11"/>
      <c r="I446" s="429"/>
      <c r="J446" s="427"/>
      <c r="K446" s="395"/>
      <c r="L446" s="431"/>
      <c r="M446" s="11"/>
      <c r="N446" s="11"/>
      <c r="O446" s="71"/>
      <c r="P446" s="427"/>
      <c r="Q446" s="397"/>
      <c r="R446" s="395"/>
      <c r="S446" s="398"/>
      <c r="T446" s="399"/>
      <c r="U446" s="11"/>
      <c r="V446" s="11"/>
      <c r="W446" s="11"/>
      <c r="X446" s="11"/>
      <c r="Y446" s="11"/>
      <c r="Z446" s="402"/>
      <c r="AA446" s="402"/>
    </row>
    <row r="447" ht="13.5" customHeight="1">
      <c r="A447" s="11"/>
      <c r="B447" s="11"/>
      <c r="C447" s="11"/>
      <c r="D447" s="11"/>
      <c r="E447" s="11"/>
      <c r="F447" s="253"/>
      <c r="G447" s="253"/>
      <c r="H447" s="11"/>
      <c r="I447" s="429"/>
      <c r="J447" s="427"/>
      <c r="K447" s="395"/>
      <c r="L447" s="431"/>
      <c r="M447" s="11"/>
      <c r="N447" s="11"/>
      <c r="O447" s="71"/>
      <c r="P447" s="427"/>
      <c r="Q447" s="397"/>
      <c r="R447" s="395"/>
      <c r="S447" s="398"/>
      <c r="T447" s="399"/>
      <c r="U447" s="11"/>
      <c r="V447" s="11"/>
      <c r="W447" s="11"/>
      <c r="X447" s="11"/>
      <c r="Y447" s="11"/>
      <c r="Z447" s="402"/>
      <c r="AA447" s="402"/>
    </row>
    <row r="448" ht="13.5" customHeight="1">
      <c r="A448" s="11"/>
      <c r="B448" s="11"/>
      <c r="C448" s="11"/>
      <c r="D448" s="11"/>
      <c r="E448" s="11"/>
      <c r="F448" s="253"/>
      <c r="G448" s="253"/>
      <c r="H448" s="11"/>
      <c r="I448" s="429"/>
      <c r="J448" s="427"/>
      <c r="K448" s="395"/>
      <c r="L448" s="431"/>
      <c r="M448" s="11"/>
      <c r="N448" s="11"/>
      <c r="O448" s="71"/>
      <c r="P448" s="427"/>
      <c r="Q448" s="397"/>
      <c r="R448" s="395"/>
      <c r="S448" s="398"/>
      <c r="T448" s="399"/>
      <c r="U448" s="11"/>
      <c r="V448" s="11"/>
      <c r="W448" s="11"/>
      <c r="X448" s="11"/>
      <c r="Y448" s="11"/>
      <c r="Z448" s="402"/>
      <c r="AA448" s="402"/>
    </row>
    <row r="449" ht="13.5" customHeight="1">
      <c r="A449" s="11"/>
      <c r="B449" s="11"/>
      <c r="C449" s="11"/>
      <c r="D449" s="11"/>
      <c r="E449" s="11"/>
      <c r="F449" s="253"/>
      <c r="G449" s="253"/>
      <c r="H449" s="11"/>
      <c r="I449" s="429"/>
      <c r="J449" s="427"/>
      <c r="K449" s="395"/>
      <c r="L449" s="431"/>
      <c r="M449" s="11"/>
      <c r="N449" s="11"/>
      <c r="O449" s="71"/>
      <c r="P449" s="427"/>
      <c r="Q449" s="397"/>
      <c r="R449" s="395"/>
      <c r="S449" s="398"/>
      <c r="T449" s="399"/>
      <c r="U449" s="11"/>
      <c r="V449" s="11"/>
      <c r="W449" s="11"/>
      <c r="X449" s="11"/>
      <c r="Y449" s="11"/>
      <c r="Z449" s="402"/>
      <c r="AA449" s="402"/>
    </row>
    <row r="450" ht="13.5" customHeight="1">
      <c r="A450" s="11"/>
      <c r="B450" s="11"/>
      <c r="C450" s="11"/>
      <c r="D450" s="11"/>
      <c r="E450" s="11"/>
      <c r="F450" s="253"/>
      <c r="G450" s="253"/>
      <c r="H450" s="11"/>
      <c r="I450" s="429"/>
      <c r="J450" s="427"/>
      <c r="K450" s="395"/>
      <c r="L450" s="431"/>
      <c r="M450" s="11"/>
      <c r="N450" s="11"/>
      <c r="O450" s="71"/>
      <c r="P450" s="427"/>
      <c r="Q450" s="397"/>
      <c r="R450" s="395"/>
      <c r="S450" s="398"/>
      <c r="T450" s="399"/>
      <c r="U450" s="11"/>
      <c r="V450" s="11"/>
      <c r="W450" s="11"/>
      <c r="X450" s="11"/>
      <c r="Y450" s="11"/>
      <c r="Z450" s="402"/>
      <c r="AA450" s="402"/>
    </row>
    <row r="451" ht="13.5" customHeight="1">
      <c r="A451" s="11"/>
      <c r="B451" s="11"/>
      <c r="C451" s="11"/>
      <c r="D451" s="11"/>
      <c r="E451" s="11"/>
      <c r="F451" s="253"/>
      <c r="G451" s="253"/>
      <c r="H451" s="11"/>
      <c r="I451" s="429"/>
      <c r="J451" s="427"/>
      <c r="K451" s="395"/>
      <c r="L451" s="431"/>
      <c r="M451" s="11"/>
      <c r="N451" s="11"/>
      <c r="O451" s="71"/>
      <c r="P451" s="427"/>
      <c r="Q451" s="397"/>
      <c r="R451" s="395"/>
      <c r="S451" s="398"/>
      <c r="T451" s="399"/>
      <c r="U451" s="11"/>
      <c r="V451" s="11"/>
      <c r="W451" s="11"/>
      <c r="X451" s="11"/>
      <c r="Y451" s="11"/>
      <c r="Z451" s="402"/>
      <c r="AA451" s="402"/>
    </row>
    <row r="452" ht="13.5" customHeight="1">
      <c r="A452" s="11"/>
      <c r="B452" s="11"/>
      <c r="C452" s="11"/>
      <c r="D452" s="11"/>
      <c r="E452" s="11"/>
      <c r="F452" s="253"/>
      <c r="G452" s="253"/>
      <c r="H452" s="11"/>
      <c r="I452" s="429"/>
      <c r="J452" s="427"/>
      <c r="K452" s="395"/>
      <c r="L452" s="431"/>
      <c r="M452" s="11"/>
      <c r="N452" s="11"/>
      <c r="O452" s="71"/>
      <c r="P452" s="427"/>
      <c r="Q452" s="397"/>
      <c r="R452" s="395"/>
      <c r="S452" s="398"/>
      <c r="T452" s="399"/>
      <c r="U452" s="11"/>
      <c r="V452" s="11"/>
      <c r="W452" s="11"/>
      <c r="X452" s="11"/>
      <c r="Y452" s="11"/>
      <c r="Z452" s="402"/>
      <c r="AA452" s="402"/>
    </row>
    <row r="453" ht="13.5" customHeight="1">
      <c r="A453" s="11"/>
      <c r="B453" s="11"/>
      <c r="C453" s="11"/>
      <c r="D453" s="11"/>
      <c r="E453" s="11"/>
      <c r="F453" s="253"/>
      <c r="G453" s="253"/>
      <c r="H453" s="11"/>
      <c r="I453" s="429"/>
      <c r="J453" s="427"/>
      <c r="K453" s="395"/>
      <c r="L453" s="431"/>
      <c r="M453" s="11"/>
      <c r="N453" s="11"/>
      <c r="O453" s="71"/>
      <c r="P453" s="427"/>
      <c r="Q453" s="397"/>
      <c r="R453" s="395"/>
      <c r="S453" s="398"/>
      <c r="T453" s="399"/>
      <c r="U453" s="11"/>
      <c r="V453" s="11"/>
      <c r="W453" s="11"/>
      <c r="X453" s="11"/>
      <c r="Y453" s="11"/>
      <c r="Z453" s="402"/>
      <c r="AA453" s="402"/>
    </row>
    <row r="454" ht="13.5" customHeight="1">
      <c r="A454" s="11"/>
      <c r="B454" s="11"/>
      <c r="C454" s="11"/>
      <c r="D454" s="11"/>
      <c r="E454" s="11"/>
      <c r="F454" s="253"/>
      <c r="G454" s="253"/>
      <c r="H454" s="11"/>
      <c r="I454" s="429"/>
      <c r="J454" s="427"/>
      <c r="K454" s="395"/>
      <c r="L454" s="431"/>
      <c r="M454" s="11"/>
      <c r="N454" s="11"/>
      <c r="O454" s="71"/>
      <c r="P454" s="427"/>
      <c r="Q454" s="397"/>
      <c r="R454" s="395"/>
      <c r="S454" s="398"/>
      <c r="T454" s="399"/>
      <c r="U454" s="11"/>
      <c r="V454" s="11"/>
      <c r="W454" s="11"/>
      <c r="X454" s="11"/>
      <c r="Y454" s="11"/>
      <c r="Z454" s="402"/>
      <c r="AA454" s="402"/>
    </row>
    <row r="455" ht="13.5" customHeight="1">
      <c r="A455" s="11"/>
      <c r="B455" s="11"/>
      <c r="C455" s="11"/>
      <c r="D455" s="11"/>
      <c r="E455" s="11"/>
      <c r="F455" s="253"/>
      <c r="G455" s="253"/>
      <c r="H455" s="11"/>
      <c r="I455" s="429"/>
      <c r="J455" s="427"/>
      <c r="K455" s="395"/>
      <c r="L455" s="431"/>
      <c r="M455" s="11"/>
      <c r="N455" s="11"/>
      <c r="O455" s="71"/>
      <c r="P455" s="427"/>
      <c r="Q455" s="397"/>
      <c r="R455" s="395"/>
      <c r="S455" s="398"/>
      <c r="T455" s="399"/>
      <c r="U455" s="11"/>
      <c r="V455" s="11"/>
      <c r="W455" s="11"/>
      <c r="X455" s="11"/>
      <c r="Y455" s="11"/>
      <c r="Z455" s="402"/>
      <c r="AA455" s="402"/>
    </row>
    <row r="456" ht="13.5" customHeight="1">
      <c r="A456" s="11"/>
      <c r="B456" s="11"/>
      <c r="C456" s="11"/>
      <c r="D456" s="11"/>
      <c r="E456" s="11"/>
      <c r="F456" s="253"/>
      <c r="G456" s="253"/>
      <c r="H456" s="11"/>
      <c r="I456" s="429"/>
      <c r="J456" s="427"/>
      <c r="K456" s="395"/>
      <c r="L456" s="431"/>
      <c r="M456" s="11"/>
      <c r="N456" s="11"/>
      <c r="O456" s="71"/>
      <c r="P456" s="427"/>
      <c r="Q456" s="397"/>
      <c r="R456" s="395"/>
      <c r="S456" s="398"/>
      <c r="T456" s="399"/>
      <c r="U456" s="11"/>
      <c r="V456" s="11"/>
      <c r="W456" s="11"/>
      <c r="X456" s="11"/>
      <c r="Y456" s="11"/>
      <c r="Z456" s="402"/>
      <c r="AA456" s="402"/>
    </row>
    <row r="457" ht="13.5" customHeight="1">
      <c r="A457" s="11"/>
      <c r="B457" s="11"/>
      <c r="C457" s="11"/>
      <c r="D457" s="11"/>
      <c r="E457" s="11"/>
      <c r="F457" s="253"/>
      <c r="G457" s="253"/>
      <c r="H457" s="11"/>
      <c r="I457" s="429"/>
      <c r="J457" s="427"/>
      <c r="K457" s="395"/>
      <c r="L457" s="431"/>
      <c r="M457" s="11"/>
      <c r="N457" s="11"/>
      <c r="O457" s="71"/>
      <c r="P457" s="427"/>
      <c r="Q457" s="397"/>
      <c r="R457" s="395"/>
      <c r="S457" s="398"/>
      <c r="T457" s="399"/>
      <c r="U457" s="11"/>
      <c r="V457" s="11"/>
      <c r="W457" s="11"/>
      <c r="X457" s="11"/>
      <c r="Y457" s="11"/>
      <c r="Z457" s="402"/>
      <c r="AA457" s="402"/>
    </row>
    <row r="458" ht="13.5" customHeight="1">
      <c r="A458" s="11"/>
      <c r="B458" s="11"/>
      <c r="C458" s="11"/>
      <c r="D458" s="11"/>
      <c r="E458" s="11"/>
      <c r="F458" s="253"/>
      <c r="G458" s="253"/>
      <c r="H458" s="11"/>
      <c r="I458" s="429"/>
      <c r="J458" s="427"/>
      <c r="K458" s="395"/>
      <c r="L458" s="431"/>
      <c r="M458" s="11"/>
      <c r="N458" s="11"/>
      <c r="O458" s="71"/>
      <c r="P458" s="427"/>
      <c r="Q458" s="397"/>
      <c r="R458" s="395"/>
      <c r="S458" s="398"/>
      <c r="T458" s="399"/>
      <c r="U458" s="11"/>
      <c r="V458" s="11"/>
      <c r="W458" s="11"/>
      <c r="X458" s="11"/>
      <c r="Y458" s="11"/>
      <c r="Z458" s="402"/>
      <c r="AA458" s="402"/>
    </row>
    <row r="459" ht="13.5" customHeight="1">
      <c r="A459" s="11"/>
      <c r="B459" s="11"/>
      <c r="C459" s="11"/>
      <c r="D459" s="11"/>
      <c r="E459" s="11"/>
      <c r="F459" s="253"/>
      <c r="G459" s="253"/>
      <c r="H459" s="11"/>
      <c r="I459" s="429"/>
      <c r="J459" s="427"/>
      <c r="K459" s="395"/>
      <c r="L459" s="431"/>
      <c r="M459" s="11"/>
      <c r="N459" s="11"/>
      <c r="O459" s="71"/>
      <c r="P459" s="427"/>
      <c r="Q459" s="397"/>
      <c r="R459" s="395"/>
      <c r="S459" s="398"/>
      <c r="T459" s="399"/>
      <c r="U459" s="11"/>
      <c r="V459" s="11"/>
      <c r="W459" s="11"/>
      <c r="X459" s="11"/>
      <c r="Y459" s="11"/>
      <c r="Z459" s="402"/>
      <c r="AA459" s="402"/>
    </row>
    <row r="460" ht="13.5" customHeight="1">
      <c r="A460" s="11"/>
      <c r="B460" s="11"/>
      <c r="C460" s="11"/>
      <c r="D460" s="11"/>
      <c r="E460" s="11"/>
      <c r="F460" s="253"/>
      <c r="G460" s="253"/>
      <c r="H460" s="11"/>
      <c r="I460" s="429"/>
      <c r="J460" s="427"/>
      <c r="K460" s="395"/>
      <c r="L460" s="431"/>
      <c r="M460" s="11"/>
      <c r="N460" s="11"/>
      <c r="O460" s="71"/>
      <c r="P460" s="427"/>
      <c r="Q460" s="397"/>
      <c r="R460" s="395"/>
      <c r="S460" s="398"/>
      <c r="T460" s="399"/>
      <c r="U460" s="11"/>
      <c r="V460" s="11"/>
      <c r="W460" s="11"/>
      <c r="X460" s="11"/>
      <c r="Y460" s="11"/>
      <c r="Z460" s="402"/>
      <c r="AA460" s="402"/>
    </row>
    <row r="461" ht="13.5" customHeight="1">
      <c r="A461" s="11"/>
      <c r="B461" s="11"/>
      <c r="C461" s="11"/>
      <c r="D461" s="11"/>
      <c r="E461" s="11"/>
      <c r="F461" s="253"/>
      <c r="G461" s="253"/>
      <c r="H461" s="11"/>
      <c r="I461" s="429"/>
      <c r="J461" s="427"/>
      <c r="K461" s="395"/>
      <c r="L461" s="431"/>
      <c r="M461" s="11"/>
      <c r="N461" s="11"/>
      <c r="O461" s="71"/>
      <c r="P461" s="427"/>
      <c r="Q461" s="397"/>
      <c r="R461" s="395"/>
      <c r="S461" s="398"/>
      <c r="T461" s="399"/>
      <c r="U461" s="11"/>
      <c r="V461" s="11"/>
      <c r="W461" s="11"/>
      <c r="X461" s="11"/>
      <c r="Y461" s="11"/>
      <c r="Z461" s="402"/>
      <c r="AA461" s="402"/>
    </row>
    <row r="462" ht="13.5" customHeight="1">
      <c r="A462" s="11"/>
      <c r="B462" s="11"/>
      <c r="C462" s="11"/>
      <c r="D462" s="11"/>
      <c r="E462" s="11"/>
      <c r="F462" s="253"/>
      <c r="G462" s="253"/>
      <c r="H462" s="11"/>
      <c r="I462" s="429"/>
      <c r="J462" s="427"/>
      <c r="K462" s="395"/>
      <c r="L462" s="431"/>
      <c r="M462" s="11"/>
      <c r="N462" s="11"/>
      <c r="O462" s="71"/>
      <c r="P462" s="427"/>
      <c r="Q462" s="397"/>
      <c r="R462" s="395"/>
      <c r="S462" s="398"/>
      <c r="T462" s="399"/>
      <c r="U462" s="11"/>
      <c r="V462" s="11"/>
      <c r="W462" s="11"/>
      <c r="X462" s="11"/>
      <c r="Y462" s="11"/>
      <c r="Z462" s="402"/>
      <c r="AA462" s="402"/>
    </row>
    <row r="463" ht="13.5" customHeight="1">
      <c r="A463" s="11"/>
      <c r="B463" s="11"/>
      <c r="C463" s="11"/>
      <c r="D463" s="11"/>
      <c r="E463" s="11"/>
      <c r="F463" s="253"/>
      <c r="G463" s="253"/>
      <c r="H463" s="11"/>
      <c r="I463" s="429"/>
      <c r="J463" s="427"/>
      <c r="K463" s="395"/>
      <c r="L463" s="431"/>
      <c r="M463" s="11"/>
      <c r="N463" s="11"/>
      <c r="O463" s="71"/>
      <c r="P463" s="427"/>
      <c r="Q463" s="397"/>
      <c r="R463" s="395"/>
      <c r="S463" s="398"/>
      <c r="T463" s="399"/>
      <c r="U463" s="11"/>
      <c r="V463" s="11"/>
      <c r="W463" s="11"/>
      <c r="X463" s="11"/>
      <c r="Y463" s="11"/>
      <c r="Z463" s="402"/>
      <c r="AA463" s="402"/>
    </row>
    <row r="464" ht="13.5" customHeight="1">
      <c r="A464" s="11"/>
      <c r="B464" s="11"/>
      <c r="C464" s="11"/>
      <c r="D464" s="11"/>
      <c r="E464" s="11"/>
      <c r="F464" s="253"/>
      <c r="G464" s="253"/>
      <c r="H464" s="11"/>
      <c r="I464" s="429"/>
      <c r="J464" s="427"/>
      <c r="K464" s="395"/>
      <c r="L464" s="431"/>
      <c r="M464" s="11"/>
      <c r="N464" s="11"/>
      <c r="O464" s="71"/>
      <c r="P464" s="427"/>
      <c r="Q464" s="397"/>
      <c r="R464" s="395"/>
      <c r="S464" s="398"/>
      <c r="T464" s="399"/>
      <c r="U464" s="11"/>
      <c r="V464" s="11"/>
      <c r="W464" s="11"/>
      <c r="X464" s="11"/>
      <c r="Y464" s="11"/>
      <c r="Z464" s="402"/>
      <c r="AA464" s="402"/>
    </row>
    <row r="465" ht="13.5" customHeight="1">
      <c r="A465" s="11"/>
      <c r="B465" s="11"/>
      <c r="C465" s="11"/>
      <c r="D465" s="11"/>
      <c r="E465" s="11"/>
      <c r="F465" s="253"/>
      <c r="G465" s="253"/>
      <c r="H465" s="11"/>
      <c r="I465" s="429"/>
      <c r="J465" s="427"/>
      <c r="K465" s="395"/>
      <c r="L465" s="431"/>
      <c r="M465" s="11"/>
      <c r="N465" s="11"/>
      <c r="O465" s="71"/>
      <c r="P465" s="427"/>
      <c r="Q465" s="397"/>
      <c r="R465" s="395"/>
      <c r="S465" s="398"/>
      <c r="T465" s="399"/>
      <c r="U465" s="11"/>
      <c r="V465" s="11"/>
      <c r="W465" s="11"/>
      <c r="X465" s="11"/>
      <c r="Y465" s="11"/>
      <c r="Z465" s="402"/>
      <c r="AA465" s="402"/>
    </row>
    <row r="466" ht="13.5" customHeight="1">
      <c r="A466" s="11"/>
      <c r="B466" s="11"/>
      <c r="C466" s="11"/>
      <c r="D466" s="11"/>
      <c r="E466" s="11"/>
      <c r="F466" s="253"/>
      <c r="G466" s="253"/>
      <c r="H466" s="11"/>
      <c r="I466" s="429"/>
      <c r="J466" s="427"/>
      <c r="K466" s="395"/>
      <c r="L466" s="431"/>
      <c r="M466" s="11"/>
      <c r="N466" s="11"/>
      <c r="O466" s="71"/>
      <c r="P466" s="427"/>
      <c r="Q466" s="397"/>
      <c r="R466" s="395"/>
      <c r="S466" s="398"/>
      <c r="T466" s="399"/>
      <c r="U466" s="11"/>
      <c r="V466" s="11"/>
      <c r="W466" s="11"/>
      <c r="X466" s="11"/>
      <c r="Y466" s="11"/>
      <c r="Z466" s="402"/>
      <c r="AA466" s="402"/>
    </row>
    <row r="467" ht="13.5" customHeight="1">
      <c r="A467" s="11"/>
      <c r="B467" s="11"/>
      <c r="C467" s="11"/>
      <c r="D467" s="11"/>
      <c r="E467" s="11"/>
      <c r="F467" s="253"/>
      <c r="G467" s="253"/>
      <c r="H467" s="11"/>
      <c r="I467" s="429"/>
      <c r="J467" s="427"/>
      <c r="K467" s="395"/>
      <c r="L467" s="431"/>
      <c r="M467" s="11"/>
      <c r="N467" s="11"/>
      <c r="O467" s="71"/>
      <c r="P467" s="427"/>
      <c r="Q467" s="397"/>
      <c r="R467" s="395"/>
      <c r="S467" s="398"/>
      <c r="T467" s="399"/>
      <c r="U467" s="11"/>
      <c r="V467" s="11"/>
      <c r="W467" s="11"/>
      <c r="X467" s="11"/>
      <c r="Y467" s="11"/>
      <c r="Z467" s="402"/>
      <c r="AA467" s="402"/>
    </row>
    <row r="468" ht="13.5" customHeight="1">
      <c r="A468" s="11"/>
      <c r="B468" s="11"/>
      <c r="C468" s="11"/>
      <c r="D468" s="11"/>
      <c r="E468" s="11"/>
      <c r="F468" s="253"/>
      <c r="G468" s="253"/>
      <c r="H468" s="11"/>
      <c r="I468" s="429"/>
      <c r="J468" s="427"/>
      <c r="K468" s="395"/>
      <c r="L468" s="431"/>
      <c r="M468" s="11"/>
      <c r="N468" s="11"/>
      <c r="O468" s="71"/>
      <c r="P468" s="427"/>
      <c r="Q468" s="397"/>
      <c r="R468" s="395"/>
      <c r="S468" s="398"/>
      <c r="T468" s="399"/>
      <c r="U468" s="11"/>
      <c r="V468" s="11"/>
      <c r="W468" s="11"/>
      <c r="X468" s="11"/>
      <c r="Y468" s="11"/>
      <c r="Z468" s="402"/>
      <c r="AA468" s="402"/>
    </row>
    <row r="469" ht="13.5" customHeight="1">
      <c r="A469" s="11"/>
      <c r="B469" s="11"/>
      <c r="C469" s="11"/>
      <c r="D469" s="11"/>
      <c r="E469" s="11"/>
      <c r="F469" s="253"/>
      <c r="G469" s="253"/>
      <c r="H469" s="11"/>
      <c r="I469" s="429"/>
      <c r="J469" s="427"/>
      <c r="K469" s="395"/>
      <c r="L469" s="431"/>
      <c r="M469" s="11"/>
      <c r="N469" s="11"/>
      <c r="O469" s="71"/>
      <c r="P469" s="427"/>
      <c r="Q469" s="397"/>
      <c r="R469" s="395"/>
      <c r="S469" s="398"/>
      <c r="T469" s="399"/>
      <c r="U469" s="11"/>
      <c r="V469" s="11"/>
      <c r="W469" s="11"/>
      <c r="X469" s="11"/>
      <c r="Y469" s="11"/>
      <c r="Z469" s="402"/>
      <c r="AA469" s="402"/>
    </row>
    <row r="470" ht="13.5" customHeight="1">
      <c r="A470" s="11"/>
      <c r="B470" s="11"/>
      <c r="C470" s="11"/>
      <c r="D470" s="11"/>
      <c r="E470" s="11"/>
      <c r="F470" s="253"/>
      <c r="G470" s="253"/>
      <c r="H470" s="11"/>
      <c r="I470" s="429"/>
      <c r="J470" s="427"/>
      <c r="K470" s="395"/>
      <c r="L470" s="431"/>
      <c r="M470" s="11"/>
      <c r="N470" s="11"/>
      <c r="O470" s="71"/>
      <c r="P470" s="427"/>
      <c r="Q470" s="397"/>
      <c r="R470" s="395"/>
      <c r="S470" s="398"/>
      <c r="T470" s="399"/>
      <c r="U470" s="11"/>
      <c r="V470" s="11"/>
      <c r="W470" s="11"/>
      <c r="X470" s="11"/>
      <c r="Y470" s="11"/>
      <c r="Z470" s="402"/>
      <c r="AA470" s="402"/>
    </row>
    <row r="471" ht="13.5" customHeight="1">
      <c r="A471" s="11"/>
      <c r="B471" s="11"/>
      <c r="C471" s="11"/>
      <c r="D471" s="11"/>
      <c r="E471" s="11"/>
      <c r="F471" s="253"/>
      <c r="G471" s="253"/>
      <c r="H471" s="11"/>
      <c r="I471" s="429"/>
      <c r="J471" s="427"/>
      <c r="K471" s="395"/>
      <c r="L471" s="431"/>
      <c r="M471" s="11"/>
      <c r="N471" s="11"/>
      <c r="O471" s="71"/>
      <c r="P471" s="427"/>
      <c r="Q471" s="397"/>
      <c r="R471" s="395"/>
      <c r="S471" s="398"/>
      <c r="T471" s="399"/>
      <c r="U471" s="11"/>
      <c r="V471" s="11"/>
      <c r="W471" s="11"/>
      <c r="X471" s="11"/>
      <c r="Y471" s="11"/>
      <c r="Z471" s="402"/>
      <c r="AA471" s="402"/>
    </row>
    <row r="472" ht="13.5" customHeight="1">
      <c r="A472" s="11"/>
      <c r="B472" s="11"/>
      <c r="C472" s="11"/>
      <c r="D472" s="11"/>
      <c r="E472" s="11"/>
      <c r="F472" s="253"/>
      <c r="G472" s="253"/>
      <c r="H472" s="11"/>
      <c r="I472" s="429"/>
      <c r="J472" s="427"/>
      <c r="K472" s="395"/>
      <c r="L472" s="431"/>
      <c r="M472" s="11"/>
      <c r="N472" s="11"/>
      <c r="O472" s="71"/>
      <c r="P472" s="427"/>
      <c r="Q472" s="397"/>
      <c r="R472" s="395"/>
      <c r="S472" s="398"/>
      <c r="T472" s="399"/>
      <c r="U472" s="11"/>
      <c r="V472" s="11"/>
      <c r="W472" s="11"/>
      <c r="X472" s="11"/>
      <c r="Y472" s="11"/>
      <c r="Z472" s="402"/>
      <c r="AA472" s="402"/>
    </row>
    <row r="473" ht="13.5" customHeight="1">
      <c r="A473" s="11"/>
      <c r="B473" s="11"/>
      <c r="C473" s="11"/>
      <c r="D473" s="11"/>
      <c r="E473" s="11"/>
      <c r="F473" s="253"/>
      <c r="G473" s="253"/>
      <c r="H473" s="11"/>
      <c r="I473" s="429"/>
      <c r="J473" s="427"/>
      <c r="K473" s="395"/>
      <c r="L473" s="431"/>
      <c r="M473" s="11"/>
      <c r="N473" s="11"/>
      <c r="O473" s="71"/>
      <c r="P473" s="427"/>
      <c r="Q473" s="397"/>
      <c r="R473" s="395"/>
      <c r="S473" s="398"/>
      <c r="T473" s="399"/>
      <c r="U473" s="11"/>
      <c r="V473" s="11"/>
      <c r="W473" s="11"/>
      <c r="X473" s="11"/>
      <c r="Y473" s="11"/>
      <c r="Z473" s="402"/>
      <c r="AA473" s="402"/>
    </row>
    <row r="474" ht="13.5" customHeight="1">
      <c r="A474" s="11"/>
      <c r="B474" s="11"/>
      <c r="C474" s="11"/>
      <c r="D474" s="11"/>
      <c r="E474" s="11"/>
      <c r="F474" s="253"/>
      <c r="G474" s="253"/>
      <c r="H474" s="11"/>
      <c r="I474" s="429"/>
      <c r="J474" s="427"/>
      <c r="K474" s="395"/>
      <c r="L474" s="431"/>
      <c r="M474" s="11"/>
      <c r="N474" s="11"/>
      <c r="O474" s="71"/>
      <c r="P474" s="427"/>
      <c r="Q474" s="397"/>
      <c r="R474" s="395"/>
      <c r="S474" s="398"/>
      <c r="T474" s="399"/>
      <c r="U474" s="11"/>
      <c r="V474" s="11"/>
      <c r="W474" s="11"/>
      <c r="X474" s="11"/>
      <c r="Y474" s="11"/>
      <c r="Z474" s="402"/>
      <c r="AA474" s="402"/>
    </row>
    <row r="475" ht="13.5" customHeight="1">
      <c r="A475" s="11"/>
      <c r="B475" s="11"/>
      <c r="C475" s="11"/>
      <c r="D475" s="11"/>
      <c r="E475" s="11"/>
      <c r="F475" s="253"/>
      <c r="G475" s="253"/>
      <c r="H475" s="11"/>
      <c r="I475" s="429"/>
      <c r="J475" s="427"/>
      <c r="K475" s="395"/>
      <c r="L475" s="431"/>
      <c r="M475" s="11"/>
      <c r="N475" s="11"/>
      <c r="O475" s="71"/>
      <c r="P475" s="427"/>
      <c r="Q475" s="397"/>
      <c r="R475" s="395"/>
      <c r="S475" s="398"/>
      <c r="T475" s="399"/>
      <c r="U475" s="11"/>
      <c r="V475" s="11"/>
      <c r="W475" s="11"/>
      <c r="X475" s="11"/>
      <c r="Y475" s="11"/>
      <c r="Z475" s="402"/>
      <c r="AA475" s="402"/>
    </row>
    <row r="476" ht="13.5" customHeight="1">
      <c r="A476" s="11"/>
      <c r="B476" s="11"/>
      <c r="C476" s="11"/>
      <c r="D476" s="11"/>
      <c r="E476" s="11"/>
      <c r="F476" s="253"/>
      <c r="G476" s="253"/>
      <c r="H476" s="11"/>
      <c r="I476" s="429"/>
      <c r="J476" s="427"/>
      <c r="K476" s="395"/>
      <c r="L476" s="431"/>
      <c r="M476" s="11"/>
      <c r="N476" s="11"/>
      <c r="O476" s="71"/>
      <c r="P476" s="427"/>
      <c r="Q476" s="397"/>
      <c r="R476" s="395"/>
      <c r="S476" s="398"/>
      <c r="T476" s="399"/>
      <c r="U476" s="11"/>
      <c r="V476" s="11"/>
      <c r="W476" s="11"/>
      <c r="X476" s="11"/>
      <c r="Y476" s="11"/>
      <c r="Z476" s="402"/>
      <c r="AA476" s="402"/>
    </row>
    <row r="477" ht="13.5" customHeight="1">
      <c r="A477" s="11"/>
      <c r="B477" s="11"/>
      <c r="C477" s="11"/>
      <c r="D477" s="11"/>
      <c r="E477" s="11"/>
      <c r="F477" s="253"/>
      <c r="G477" s="253"/>
      <c r="H477" s="11"/>
      <c r="I477" s="429"/>
      <c r="J477" s="427"/>
      <c r="K477" s="395"/>
      <c r="L477" s="431"/>
      <c r="M477" s="11"/>
      <c r="N477" s="11"/>
      <c r="O477" s="71"/>
      <c r="P477" s="427"/>
      <c r="Q477" s="397"/>
      <c r="R477" s="395"/>
      <c r="S477" s="398"/>
      <c r="T477" s="399"/>
      <c r="U477" s="11"/>
      <c r="V477" s="11"/>
      <c r="W477" s="11"/>
      <c r="X477" s="11"/>
      <c r="Y477" s="11"/>
      <c r="Z477" s="402"/>
      <c r="AA477" s="402"/>
    </row>
    <row r="478" ht="13.5" customHeight="1">
      <c r="A478" s="11"/>
      <c r="B478" s="11"/>
      <c r="C478" s="11"/>
      <c r="D478" s="11"/>
      <c r="E478" s="11"/>
      <c r="F478" s="253"/>
      <c r="G478" s="253"/>
      <c r="H478" s="11"/>
      <c r="I478" s="429"/>
      <c r="J478" s="427"/>
      <c r="K478" s="395"/>
      <c r="L478" s="431"/>
      <c r="M478" s="11"/>
      <c r="N478" s="11"/>
      <c r="O478" s="71"/>
      <c r="P478" s="427"/>
      <c r="Q478" s="397"/>
      <c r="R478" s="395"/>
      <c r="S478" s="398"/>
      <c r="T478" s="399"/>
      <c r="U478" s="11"/>
      <c r="V478" s="11"/>
      <c r="W478" s="11"/>
      <c r="X478" s="11"/>
      <c r="Y478" s="11"/>
      <c r="Z478" s="402"/>
      <c r="AA478" s="402"/>
    </row>
    <row r="479" ht="13.5" customHeight="1">
      <c r="A479" s="11"/>
      <c r="B479" s="11"/>
      <c r="C479" s="11"/>
      <c r="D479" s="11"/>
      <c r="E479" s="11"/>
      <c r="F479" s="253"/>
      <c r="G479" s="253"/>
      <c r="H479" s="11"/>
      <c r="I479" s="429"/>
      <c r="J479" s="427"/>
      <c r="K479" s="395"/>
      <c r="L479" s="431"/>
      <c r="M479" s="11"/>
      <c r="N479" s="11"/>
      <c r="O479" s="71"/>
      <c r="P479" s="427"/>
      <c r="Q479" s="397"/>
      <c r="R479" s="395"/>
      <c r="S479" s="398"/>
      <c r="T479" s="399"/>
      <c r="U479" s="11"/>
      <c r="V479" s="11"/>
      <c r="W479" s="11"/>
      <c r="X479" s="11"/>
      <c r="Y479" s="11"/>
      <c r="Z479" s="402"/>
      <c r="AA479" s="402"/>
    </row>
    <row r="480" ht="13.5" customHeight="1">
      <c r="A480" s="11"/>
      <c r="B480" s="11"/>
      <c r="C480" s="11"/>
      <c r="D480" s="11"/>
      <c r="E480" s="11"/>
      <c r="F480" s="253"/>
      <c r="G480" s="253"/>
      <c r="H480" s="11"/>
      <c r="I480" s="429"/>
      <c r="J480" s="427"/>
      <c r="K480" s="395"/>
      <c r="L480" s="431"/>
      <c r="M480" s="11"/>
      <c r="N480" s="11"/>
      <c r="O480" s="71"/>
      <c r="P480" s="427"/>
      <c r="Q480" s="397"/>
      <c r="R480" s="395"/>
      <c r="S480" s="398"/>
      <c r="T480" s="399"/>
      <c r="U480" s="11"/>
      <c r="V480" s="11"/>
      <c r="W480" s="11"/>
      <c r="X480" s="11"/>
      <c r="Y480" s="11"/>
      <c r="Z480" s="402"/>
      <c r="AA480" s="402"/>
    </row>
    <row r="481" ht="13.5" customHeight="1">
      <c r="A481" s="11"/>
      <c r="B481" s="11"/>
      <c r="C481" s="11"/>
      <c r="D481" s="11"/>
      <c r="E481" s="11"/>
      <c r="F481" s="253"/>
      <c r="G481" s="253"/>
      <c r="H481" s="11"/>
      <c r="I481" s="429"/>
      <c r="J481" s="427"/>
      <c r="K481" s="395"/>
      <c r="L481" s="431"/>
      <c r="M481" s="11"/>
      <c r="N481" s="11"/>
      <c r="O481" s="71"/>
      <c r="P481" s="427"/>
      <c r="Q481" s="397"/>
      <c r="R481" s="395"/>
      <c r="S481" s="398"/>
      <c r="T481" s="399"/>
      <c r="U481" s="11"/>
      <c r="V481" s="11"/>
      <c r="W481" s="11"/>
      <c r="X481" s="11"/>
      <c r="Y481" s="11"/>
      <c r="Z481" s="402"/>
      <c r="AA481" s="402"/>
    </row>
    <row r="482" ht="13.5" customHeight="1">
      <c r="A482" s="11"/>
      <c r="B482" s="11"/>
      <c r="C482" s="11"/>
      <c r="D482" s="11"/>
      <c r="E482" s="11"/>
      <c r="F482" s="253"/>
      <c r="G482" s="253"/>
      <c r="H482" s="11"/>
      <c r="I482" s="429"/>
      <c r="J482" s="427"/>
      <c r="K482" s="395"/>
      <c r="L482" s="431"/>
      <c r="M482" s="11"/>
      <c r="N482" s="11"/>
      <c r="O482" s="71"/>
      <c r="P482" s="427"/>
      <c r="Q482" s="397"/>
      <c r="R482" s="395"/>
      <c r="S482" s="398"/>
      <c r="T482" s="399"/>
      <c r="U482" s="11"/>
      <c r="V482" s="11"/>
      <c r="W482" s="11"/>
      <c r="X482" s="11"/>
      <c r="Y482" s="11"/>
      <c r="Z482" s="402"/>
      <c r="AA482" s="402"/>
    </row>
    <row r="483" ht="13.5" customHeight="1">
      <c r="A483" s="11"/>
      <c r="B483" s="11"/>
      <c r="C483" s="11"/>
      <c r="D483" s="11"/>
      <c r="E483" s="11"/>
      <c r="F483" s="253"/>
      <c r="G483" s="253"/>
      <c r="H483" s="11"/>
      <c r="I483" s="429"/>
      <c r="J483" s="427"/>
      <c r="K483" s="395"/>
      <c r="L483" s="431"/>
      <c r="M483" s="11"/>
      <c r="N483" s="11"/>
      <c r="O483" s="71"/>
      <c r="P483" s="427"/>
      <c r="Q483" s="397"/>
      <c r="R483" s="395"/>
      <c r="S483" s="398"/>
      <c r="T483" s="399"/>
      <c r="U483" s="11"/>
      <c r="V483" s="11"/>
      <c r="W483" s="11"/>
      <c r="X483" s="11"/>
      <c r="Y483" s="11"/>
      <c r="Z483" s="402"/>
      <c r="AA483" s="402"/>
    </row>
    <row r="484" ht="13.5" customHeight="1">
      <c r="A484" s="11"/>
      <c r="B484" s="11"/>
      <c r="C484" s="11"/>
      <c r="D484" s="11"/>
      <c r="E484" s="11"/>
      <c r="F484" s="253"/>
      <c r="G484" s="253"/>
      <c r="H484" s="11"/>
      <c r="I484" s="429"/>
      <c r="J484" s="427"/>
      <c r="K484" s="395"/>
      <c r="L484" s="431"/>
      <c r="M484" s="11"/>
      <c r="N484" s="11"/>
      <c r="O484" s="71"/>
      <c r="P484" s="427"/>
      <c r="Q484" s="397"/>
      <c r="R484" s="395"/>
      <c r="S484" s="398"/>
      <c r="T484" s="399"/>
      <c r="U484" s="11"/>
      <c r="V484" s="11"/>
      <c r="W484" s="11"/>
      <c r="X484" s="11"/>
      <c r="Y484" s="11"/>
      <c r="Z484" s="402"/>
      <c r="AA484" s="402"/>
    </row>
    <row r="485" ht="13.5" customHeight="1">
      <c r="A485" s="11"/>
      <c r="B485" s="11"/>
      <c r="C485" s="11"/>
      <c r="D485" s="11"/>
      <c r="E485" s="11"/>
      <c r="F485" s="253"/>
      <c r="G485" s="253"/>
      <c r="H485" s="11"/>
      <c r="I485" s="429"/>
      <c r="J485" s="427"/>
      <c r="K485" s="395"/>
      <c r="L485" s="431"/>
      <c r="M485" s="11"/>
      <c r="N485" s="11"/>
      <c r="O485" s="71"/>
      <c r="P485" s="427"/>
      <c r="Q485" s="397"/>
      <c r="R485" s="395"/>
      <c r="S485" s="398"/>
      <c r="T485" s="399"/>
      <c r="U485" s="11"/>
      <c r="V485" s="11"/>
      <c r="W485" s="11"/>
      <c r="X485" s="11"/>
      <c r="Y485" s="11"/>
      <c r="Z485" s="402"/>
      <c r="AA485" s="402"/>
    </row>
    <row r="486" ht="13.5" customHeight="1">
      <c r="A486" s="11"/>
      <c r="B486" s="11"/>
      <c r="C486" s="11"/>
      <c r="D486" s="11"/>
      <c r="E486" s="11"/>
      <c r="F486" s="253"/>
      <c r="G486" s="253"/>
      <c r="H486" s="11"/>
      <c r="I486" s="429"/>
      <c r="J486" s="427"/>
      <c r="K486" s="395"/>
      <c r="L486" s="431"/>
      <c r="M486" s="11"/>
      <c r="N486" s="11"/>
      <c r="O486" s="71"/>
      <c r="P486" s="427"/>
      <c r="Q486" s="397"/>
      <c r="R486" s="395"/>
      <c r="S486" s="398"/>
      <c r="T486" s="399"/>
      <c r="U486" s="11"/>
      <c r="V486" s="11"/>
      <c r="W486" s="11"/>
      <c r="X486" s="11"/>
      <c r="Y486" s="11"/>
      <c r="Z486" s="402"/>
      <c r="AA486" s="402"/>
    </row>
    <row r="487" ht="13.5" customHeight="1">
      <c r="A487" s="11"/>
      <c r="B487" s="11"/>
      <c r="C487" s="11"/>
      <c r="D487" s="11"/>
      <c r="E487" s="11"/>
      <c r="F487" s="253"/>
      <c r="G487" s="253"/>
      <c r="H487" s="11"/>
      <c r="I487" s="429"/>
      <c r="J487" s="427"/>
      <c r="K487" s="395"/>
      <c r="L487" s="431"/>
      <c r="M487" s="11"/>
      <c r="N487" s="11"/>
      <c r="O487" s="71"/>
      <c r="P487" s="427"/>
      <c r="Q487" s="397"/>
      <c r="R487" s="395"/>
      <c r="S487" s="398"/>
      <c r="T487" s="399"/>
      <c r="U487" s="11"/>
      <c r="V487" s="11"/>
      <c r="W487" s="11"/>
      <c r="X487" s="11"/>
      <c r="Y487" s="11"/>
      <c r="Z487" s="402"/>
      <c r="AA487" s="402"/>
    </row>
    <row r="488" ht="13.5" customHeight="1">
      <c r="A488" s="11"/>
      <c r="B488" s="11"/>
      <c r="C488" s="11"/>
      <c r="D488" s="11"/>
      <c r="E488" s="11"/>
      <c r="F488" s="253"/>
      <c r="G488" s="253"/>
      <c r="H488" s="11"/>
      <c r="I488" s="429"/>
      <c r="J488" s="427"/>
      <c r="K488" s="395"/>
      <c r="L488" s="431"/>
      <c r="M488" s="11"/>
      <c r="N488" s="11"/>
      <c r="O488" s="71"/>
      <c r="P488" s="427"/>
      <c r="Q488" s="397"/>
      <c r="R488" s="395"/>
      <c r="S488" s="398"/>
      <c r="T488" s="399"/>
      <c r="U488" s="11"/>
      <c r="V488" s="11"/>
      <c r="W488" s="11"/>
      <c r="X488" s="11"/>
      <c r="Y488" s="11"/>
      <c r="Z488" s="402"/>
      <c r="AA488" s="402"/>
    </row>
    <row r="489" ht="13.5" customHeight="1">
      <c r="A489" s="11"/>
      <c r="B489" s="11"/>
      <c r="C489" s="11"/>
      <c r="D489" s="11"/>
      <c r="E489" s="11"/>
      <c r="F489" s="253"/>
      <c r="G489" s="253"/>
      <c r="H489" s="11"/>
      <c r="I489" s="429"/>
      <c r="J489" s="427"/>
      <c r="K489" s="395"/>
      <c r="L489" s="431"/>
      <c r="M489" s="11"/>
      <c r="N489" s="11"/>
      <c r="O489" s="71"/>
      <c r="P489" s="427"/>
      <c r="Q489" s="397"/>
      <c r="R489" s="395"/>
      <c r="S489" s="398"/>
      <c r="T489" s="399"/>
      <c r="U489" s="11"/>
      <c r="V489" s="11"/>
      <c r="W489" s="11"/>
      <c r="X489" s="11"/>
      <c r="Y489" s="11"/>
      <c r="Z489" s="402"/>
      <c r="AA489" s="402"/>
    </row>
    <row r="490" ht="13.5" customHeight="1">
      <c r="A490" s="11"/>
      <c r="B490" s="11"/>
      <c r="C490" s="11"/>
      <c r="D490" s="11"/>
      <c r="E490" s="11"/>
      <c r="F490" s="253"/>
      <c r="G490" s="253"/>
      <c r="H490" s="11"/>
      <c r="I490" s="429"/>
      <c r="J490" s="427"/>
      <c r="K490" s="395"/>
      <c r="L490" s="431"/>
      <c r="M490" s="11"/>
      <c r="N490" s="11"/>
      <c r="O490" s="71"/>
      <c r="P490" s="427"/>
      <c r="Q490" s="397"/>
      <c r="R490" s="395"/>
      <c r="S490" s="398"/>
      <c r="T490" s="399"/>
      <c r="U490" s="11"/>
      <c r="V490" s="11"/>
      <c r="W490" s="11"/>
      <c r="X490" s="11"/>
      <c r="Y490" s="11"/>
      <c r="Z490" s="402"/>
      <c r="AA490" s="402"/>
    </row>
    <row r="491" ht="13.5" customHeight="1">
      <c r="A491" s="11"/>
      <c r="B491" s="11"/>
      <c r="C491" s="11"/>
      <c r="D491" s="11"/>
      <c r="E491" s="11"/>
      <c r="F491" s="253"/>
      <c r="G491" s="253"/>
      <c r="H491" s="11"/>
      <c r="I491" s="429"/>
      <c r="J491" s="427"/>
      <c r="K491" s="395"/>
      <c r="L491" s="431"/>
      <c r="M491" s="11"/>
      <c r="N491" s="11"/>
      <c r="O491" s="71"/>
      <c r="P491" s="427"/>
      <c r="Q491" s="397"/>
      <c r="R491" s="395"/>
      <c r="S491" s="398"/>
      <c r="T491" s="399"/>
      <c r="U491" s="11"/>
      <c r="V491" s="11"/>
      <c r="W491" s="11"/>
      <c r="X491" s="11"/>
      <c r="Y491" s="11"/>
      <c r="Z491" s="402"/>
      <c r="AA491" s="402"/>
    </row>
    <row r="492" ht="13.5" customHeight="1">
      <c r="A492" s="11"/>
      <c r="B492" s="11"/>
      <c r="C492" s="11"/>
      <c r="D492" s="11"/>
      <c r="E492" s="11"/>
      <c r="F492" s="253"/>
      <c r="G492" s="253"/>
      <c r="H492" s="11"/>
      <c r="I492" s="429"/>
      <c r="J492" s="427"/>
      <c r="K492" s="395"/>
      <c r="L492" s="431"/>
      <c r="M492" s="11"/>
      <c r="N492" s="11"/>
      <c r="O492" s="71"/>
      <c r="P492" s="427"/>
      <c r="Q492" s="397"/>
      <c r="R492" s="395"/>
      <c r="S492" s="398"/>
      <c r="T492" s="399"/>
      <c r="U492" s="11"/>
      <c r="V492" s="11"/>
      <c r="W492" s="11"/>
      <c r="X492" s="11"/>
      <c r="Y492" s="11"/>
      <c r="Z492" s="402"/>
      <c r="AA492" s="402"/>
    </row>
    <row r="493" ht="13.5" customHeight="1">
      <c r="A493" s="11"/>
      <c r="B493" s="11"/>
      <c r="C493" s="11"/>
      <c r="D493" s="11"/>
      <c r="E493" s="11"/>
      <c r="F493" s="253"/>
      <c r="G493" s="253"/>
      <c r="H493" s="11"/>
      <c r="I493" s="429"/>
      <c r="J493" s="427"/>
      <c r="K493" s="395"/>
      <c r="L493" s="431"/>
      <c r="M493" s="11"/>
      <c r="N493" s="11"/>
      <c r="O493" s="71"/>
      <c r="P493" s="427"/>
      <c r="Q493" s="397"/>
      <c r="R493" s="395"/>
      <c r="S493" s="398"/>
      <c r="T493" s="399"/>
      <c r="U493" s="11"/>
      <c r="V493" s="11"/>
      <c r="W493" s="11"/>
      <c r="X493" s="11"/>
      <c r="Y493" s="11"/>
      <c r="Z493" s="402"/>
      <c r="AA493" s="402"/>
    </row>
    <row r="494" ht="13.5" customHeight="1">
      <c r="A494" s="11"/>
      <c r="B494" s="11"/>
      <c r="C494" s="11"/>
      <c r="D494" s="11"/>
      <c r="E494" s="11"/>
      <c r="F494" s="253"/>
      <c r="G494" s="253"/>
      <c r="H494" s="11"/>
      <c r="I494" s="429"/>
      <c r="J494" s="427"/>
      <c r="K494" s="395"/>
      <c r="L494" s="431"/>
      <c r="M494" s="11"/>
      <c r="N494" s="11"/>
      <c r="O494" s="71"/>
      <c r="P494" s="427"/>
      <c r="Q494" s="397"/>
      <c r="R494" s="395"/>
      <c r="S494" s="398"/>
      <c r="T494" s="399"/>
      <c r="U494" s="11"/>
      <c r="V494" s="11"/>
      <c r="W494" s="11"/>
      <c r="X494" s="11"/>
      <c r="Y494" s="11"/>
      <c r="Z494" s="402"/>
      <c r="AA494" s="402"/>
    </row>
    <row r="495" ht="13.5" customHeight="1">
      <c r="A495" s="11"/>
      <c r="B495" s="11"/>
      <c r="C495" s="11"/>
      <c r="D495" s="11"/>
      <c r="E495" s="11"/>
      <c r="F495" s="253"/>
      <c r="G495" s="253"/>
      <c r="H495" s="11"/>
      <c r="I495" s="429"/>
      <c r="J495" s="427"/>
      <c r="K495" s="395"/>
      <c r="L495" s="431"/>
      <c r="M495" s="11"/>
      <c r="N495" s="11"/>
      <c r="O495" s="71"/>
      <c r="P495" s="427"/>
      <c r="Q495" s="397"/>
      <c r="R495" s="395"/>
      <c r="S495" s="398"/>
      <c r="T495" s="399"/>
      <c r="U495" s="11"/>
      <c r="V495" s="11"/>
      <c r="W495" s="11"/>
      <c r="X495" s="11"/>
      <c r="Y495" s="11"/>
      <c r="Z495" s="402"/>
      <c r="AA495" s="402"/>
    </row>
    <row r="496" ht="13.5" customHeight="1">
      <c r="A496" s="11"/>
      <c r="B496" s="11"/>
      <c r="C496" s="11"/>
      <c r="D496" s="11"/>
      <c r="E496" s="11"/>
      <c r="F496" s="253"/>
      <c r="G496" s="253"/>
      <c r="H496" s="11"/>
      <c r="I496" s="429"/>
      <c r="J496" s="427"/>
      <c r="K496" s="395"/>
      <c r="L496" s="431"/>
      <c r="M496" s="11"/>
      <c r="N496" s="11"/>
      <c r="O496" s="71"/>
      <c r="P496" s="427"/>
      <c r="Q496" s="397"/>
      <c r="R496" s="395"/>
      <c r="S496" s="398"/>
      <c r="T496" s="399"/>
      <c r="U496" s="11"/>
      <c r="V496" s="11"/>
      <c r="W496" s="11"/>
      <c r="X496" s="11"/>
      <c r="Y496" s="11"/>
      <c r="Z496" s="402"/>
      <c r="AA496" s="402"/>
    </row>
    <row r="497" ht="13.5" customHeight="1">
      <c r="A497" s="11"/>
      <c r="B497" s="11"/>
      <c r="C497" s="11"/>
      <c r="D497" s="11"/>
      <c r="E497" s="11"/>
      <c r="F497" s="253"/>
      <c r="G497" s="253"/>
      <c r="H497" s="11"/>
      <c r="I497" s="429"/>
      <c r="J497" s="427"/>
      <c r="K497" s="395"/>
      <c r="L497" s="431"/>
      <c r="M497" s="11"/>
      <c r="N497" s="11"/>
      <c r="O497" s="71"/>
      <c r="P497" s="427"/>
      <c r="Q497" s="397"/>
      <c r="R497" s="395"/>
      <c r="S497" s="398"/>
      <c r="T497" s="399"/>
      <c r="U497" s="11"/>
      <c r="V497" s="11"/>
      <c r="W497" s="11"/>
      <c r="X497" s="11"/>
      <c r="Y497" s="11"/>
      <c r="Z497" s="402"/>
      <c r="AA497" s="402"/>
    </row>
    <row r="498" ht="13.5" customHeight="1">
      <c r="A498" s="11"/>
      <c r="B498" s="11"/>
      <c r="C498" s="11"/>
      <c r="D498" s="11"/>
      <c r="E498" s="11"/>
      <c r="F498" s="253"/>
      <c r="G498" s="253"/>
      <c r="H498" s="11"/>
      <c r="I498" s="429"/>
      <c r="J498" s="427"/>
      <c r="K498" s="395"/>
      <c r="L498" s="431"/>
      <c r="M498" s="11"/>
      <c r="N498" s="11"/>
      <c r="O498" s="71"/>
      <c r="P498" s="427"/>
      <c r="Q498" s="397"/>
      <c r="R498" s="395"/>
      <c r="S498" s="398"/>
      <c r="T498" s="399"/>
      <c r="U498" s="11"/>
      <c r="V498" s="11"/>
      <c r="W498" s="11"/>
      <c r="X498" s="11"/>
      <c r="Y498" s="11"/>
      <c r="Z498" s="402"/>
      <c r="AA498" s="402"/>
    </row>
    <row r="499" ht="13.5" customHeight="1">
      <c r="A499" s="11"/>
      <c r="B499" s="11"/>
      <c r="C499" s="11"/>
      <c r="D499" s="11"/>
      <c r="E499" s="11"/>
      <c r="F499" s="253"/>
      <c r="G499" s="253"/>
      <c r="H499" s="11"/>
      <c r="I499" s="429"/>
      <c r="J499" s="427"/>
      <c r="K499" s="395"/>
      <c r="L499" s="431"/>
      <c r="M499" s="11"/>
      <c r="N499" s="11"/>
      <c r="O499" s="71"/>
      <c r="P499" s="427"/>
      <c r="Q499" s="397"/>
      <c r="R499" s="395"/>
      <c r="S499" s="398"/>
      <c r="T499" s="399"/>
      <c r="U499" s="11"/>
      <c r="V499" s="11"/>
      <c r="W499" s="11"/>
      <c r="X499" s="11"/>
      <c r="Y499" s="11"/>
      <c r="Z499" s="402"/>
      <c r="AA499" s="402"/>
    </row>
    <row r="500" ht="13.5" customHeight="1">
      <c r="A500" s="11"/>
      <c r="B500" s="11"/>
      <c r="C500" s="11"/>
      <c r="D500" s="11"/>
      <c r="E500" s="11"/>
      <c r="F500" s="253"/>
      <c r="G500" s="253"/>
      <c r="H500" s="11"/>
      <c r="I500" s="429"/>
      <c r="J500" s="427"/>
      <c r="K500" s="395"/>
      <c r="L500" s="431"/>
      <c r="M500" s="11"/>
      <c r="N500" s="11"/>
      <c r="O500" s="71"/>
      <c r="P500" s="427"/>
      <c r="Q500" s="397"/>
      <c r="R500" s="395"/>
      <c r="S500" s="398"/>
      <c r="T500" s="399"/>
      <c r="U500" s="11"/>
      <c r="V500" s="11"/>
      <c r="W500" s="11"/>
      <c r="X500" s="11"/>
      <c r="Y500" s="11"/>
      <c r="Z500" s="402"/>
      <c r="AA500" s="402"/>
    </row>
    <row r="501" ht="13.5" customHeight="1">
      <c r="A501" s="11"/>
      <c r="B501" s="11"/>
      <c r="C501" s="11"/>
      <c r="D501" s="11"/>
      <c r="E501" s="11"/>
      <c r="F501" s="253"/>
      <c r="G501" s="253"/>
      <c r="H501" s="11"/>
      <c r="I501" s="429"/>
      <c r="J501" s="427"/>
      <c r="K501" s="395"/>
      <c r="L501" s="431"/>
      <c r="M501" s="11"/>
      <c r="N501" s="11"/>
      <c r="O501" s="71"/>
      <c r="P501" s="427"/>
      <c r="Q501" s="397"/>
      <c r="R501" s="395"/>
      <c r="S501" s="398"/>
      <c r="T501" s="399"/>
      <c r="U501" s="11"/>
      <c r="V501" s="11"/>
      <c r="W501" s="11"/>
      <c r="X501" s="11"/>
      <c r="Y501" s="11"/>
      <c r="Z501" s="402"/>
      <c r="AA501" s="402"/>
    </row>
    <row r="502" ht="13.5" customHeight="1">
      <c r="A502" s="11"/>
      <c r="B502" s="11"/>
      <c r="C502" s="11"/>
      <c r="D502" s="11"/>
      <c r="E502" s="11"/>
      <c r="F502" s="253"/>
      <c r="G502" s="253"/>
      <c r="H502" s="11"/>
      <c r="I502" s="429"/>
      <c r="J502" s="427"/>
      <c r="K502" s="395"/>
      <c r="L502" s="431"/>
      <c r="M502" s="11"/>
      <c r="N502" s="11"/>
      <c r="O502" s="71"/>
      <c r="P502" s="427"/>
      <c r="Q502" s="397"/>
      <c r="R502" s="395"/>
      <c r="S502" s="398"/>
      <c r="T502" s="399"/>
      <c r="U502" s="11"/>
      <c r="V502" s="11"/>
      <c r="W502" s="11"/>
      <c r="X502" s="11"/>
      <c r="Y502" s="11"/>
      <c r="Z502" s="402"/>
      <c r="AA502" s="402"/>
    </row>
    <row r="503" ht="13.5" customHeight="1">
      <c r="A503" s="11"/>
      <c r="B503" s="11"/>
      <c r="C503" s="11"/>
      <c r="D503" s="11"/>
      <c r="E503" s="11"/>
      <c r="F503" s="253"/>
      <c r="G503" s="253"/>
      <c r="H503" s="11"/>
      <c r="I503" s="429"/>
      <c r="J503" s="427"/>
      <c r="K503" s="395"/>
      <c r="L503" s="431"/>
      <c r="M503" s="11"/>
      <c r="N503" s="11"/>
      <c r="O503" s="71"/>
      <c r="P503" s="427"/>
      <c r="Q503" s="397"/>
      <c r="R503" s="395"/>
      <c r="S503" s="398"/>
      <c r="T503" s="399"/>
      <c r="U503" s="11"/>
      <c r="V503" s="11"/>
      <c r="W503" s="11"/>
      <c r="X503" s="11"/>
      <c r="Y503" s="11"/>
      <c r="Z503" s="402"/>
      <c r="AA503" s="402"/>
    </row>
    <row r="504" ht="13.5" customHeight="1">
      <c r="A504" s="11"/>
      <c r="B504" s="11"/>
      <c r="C504" s="11"/>
      <c r="D504" s="11"/>
      <c r="E504" s="11"/>
      <c r="F504" s="253"/>
      <c r="G504" s="253"/>
      <c r="H504" s="11"/>
      <c r="I504" s="429"/>
      <c r="J504" s="427"/>
      <c r="K504" s="395"/>
      <c r="L504" s="431"/>
      <c r="M504" s="11"/>
      <c r="N504" s="11"/>
      <c r="O504" s="71"/>
      <c r="P504" s="427"/>
      <c r="Q504" s="397"/>
      <c r="R504" s="395"/>
      <c r="S504" s="398"/>
      <c r="T504" s="399"/>
      <c r="U504" s="11"/>
      <c r="V504" s="11"/>
      <c r="W504" s="11"/>
      <c r="X504" s="11"/>
      <c r="Y504" s="11"/>
      <c r="Z504" s="402"/>
      <c r="AA504" s="402"/>
    </row>
    <row r="505" ht="13.5" customHeight="1">
      <c r="A505" s="11"/>
      <c r="B505" s="11"/>
      <c r="C505" s="11"/>
      <c r="D505" s="11"/>
      <c r="E505" s="11"/>
      <c r="F505" s="253"/>
      <c r="G505" s="253"/>
      <c r="H505" s="11"/>
      <c r="I505" s="429"/>
      <c r="J505" s="427"/>
      <c r="K505" s="395"/>
      <c r="L505" s="431"/>
      <c r="M505" s="11"/>
      <c r="N505" s="11"/>
      <c r="O505" s="71"/>
      <c r="P505" s="427"/>
      <c r="Q505" s="397"/>
      <c r="R505" s="395"/>
      <c r="S505" s="398"/>
      <c r="T505" s="399"/>
      <c r="U505" s="11"/>
      <c r="V505" s="11"/>
      <c r="W505" s="11"/>
      <c r="X505" s="11"/>
      <c r="Y505" s="11"/>
      <c r="Z505" s="402"/>
      <c r="AA505" s="402"/>
    </row>
    <row r="506" ht="13.5" customHeight="1">
      <c r="A506" s="11"/>
      <c r="B506" s="11"/>
      <c r="C506" s="11"/>
      <c r="D506" s="11"/>
      <c r="E506" s="11"/>
      <c r="F506" s="253"/>
      <c r="G506" s="253"/>
      <c r="H506" s="11"/>
      <c r="I506" s="429"/>
      <c r="J506" s="427"/>
      <c r="K506" s="395"/>
      <c r="L506" s="431"/>
      <c r="M506" s="11"/>
      <c r="N506" s="11"/>
      <c r="O506" s="71"/>
      <c r="P506" s="427"/>
      <c r="Q506" s="397"/>
      <c r="R506" s="395"/>
      <c r="S506" s="398"/>
      <c r="T506" s="399"/>
      <c r="U506" s="11"/>
      <c r="V506" s="11"/>
      <c r="W506" s="11"/>
      <c r="X506" s="11"/>
      <c r="Y506" s="11"/>
      <c r="Z506" s="402"/>
      <c r="AA506" s="402"/>
    </row>
    <row r="507" ht="13.5" customHeight="1">
      <c r="A507" s="11"/>
      <c r="B507" s="11"/>
      <c r="C507" s="11"/>
      <c r="D507" s="11"/>
      <c r="E507" s="11"/>
      <c r="F507" s="253"/>
      <c r="G507" s="253"/>
      <c r="H507" s="11"/>
      <c r="I507" s="429"/>
      <c r="J507" s="427"/>
      <c r="K507" s="395"/>
      <c r="L507" s="431"/>
      <c r="M507" s="11"/>
      <c r="N507" s="11"/>
      <c r="O507" s="71"/>
      <c r="P507" s="427"/>
      <c r="Q507" s="397"/>
      <c r="R507" s="395"/>
      <c r="S507" s="398"/>
      <c r="T507" s="399"/>
      <c r="U507" s="11"/>
      <c r="V507" s="11"/>
      <c r="W507" s="11"/>
      <c r="X507" s="11"/>
      <c r="Y507" s="11"/>
      <c r="Z507" s="402"/>
      <c r="AA507" s="402"/>
    </row>
    <row r="508" ht="13.5" customHeight="1">
      <c r="A508" s="11"/>
      <c r="B508" s="11"/>
      <c r="C508" s="11"/>
      <c r="D508" s="11"/>
      <c r="E508" s="11"/>
      <c r="F508" s="253"/>
      <c r="G508" s="253"/>
      <c r="H508" s="11"/>
      <c r="I508" s="429"/>
      <c r="J508" s="427"/>
      <c r="K508" s="395"/>
      <c r="L508" s="431"/>
      <c r="M508" s="11"/>
      <c r="N508" s="11"/>
      <c r="O508" s="71"/>
      <c r="P508" s="427"/>
      <c r="Q508" s="397"/>
      <c r="R508" s="395"/>
      <c r="S508" s="398"/>
      <c r="T508" s="399"/>
      <c r="U508" s="11"/>
      <c r="V508" s="11"/>
      <c r="W508" s="11"/>
      <c r="X508" s="11"/>
      <c r="Y508" s="11"/>
      <c r="Z508" s="402"/>
      <c r="AA508" s="402"/>
    </row>
    <row r="509" ht="13.5" customHeight="1">
      <c r="A509" s="11"/>
      <c r="B509" s="11"/>
      <c r="C509" s="11"/>
      <c r="D509" s="11"/>
      <c r="E509" s="11"/>
      <c r="F509" s="253"/>
      <c r="G509" s="253"/>
      <c r="H509" s="11"/>
      <c r="I509" s="429"/>
      <c r="J509" s="427"/>
      <c r="K509" s="395"/>
      <c r="L509" s="431"/>
      <c r="M509" s="11"/>
      <c r="N509" s="11"/>
      <c r="O509" s="71"/>
      <c r="P509" s="427"/>
      <c r="Q509" s="397"/>
      <c r="R509" s="395"/>
      <c r="S509" s="398"/>
      <c r="T509" s="399"/>
      <c r="U509" s="11"/>
      <c r="V509" s="11"/>
      <c r="W509" s="11"/>
      <c r="X509" s="11"/>
      <c r="Y509" s="11"/>
      <c r="Z509" s="402"/>
      <c r="AA509" s="402"/>
    </row>
    <row r="510" ht="13.5" customHeight="1">
      <c r="A510" s="11"/>
      <c r="B510" s="11"/>
      <c r="C510" s="11"/>
      <c r="D510" s="11"/>
      <c r="E510" s="11"/>
      <c r="F510" s="253"/>
      <c r="G510" s="253"/>
      <c r="H510" s="11"/>
      <c r="I510" s="429"/>
      <c r="J510" s="427"/>
      <c r="K510" s="395"/>
      <c r="L510" s="431"/>
      <c r="M510" s="11"/>
      <c r="N510" s="11"/>
      <c r="O510" s="71"/>
      <c r="P510" s="427"/>
      <c r="Q510" s="397"/>
      <c r="R510" s="395"/>
      <c r="S510" s="398"/>
      <c r="T510" s="399"/>
      <c r="U510" s="11"/>
      <c r="V510" s="11"/>
      <c r="W510" s="11"/>
      <c r="X510" s="11"/>
      <c r="Y510" s="11"/>
      <c r="Z510" s="402"/>
      <c r="AA510" s="402"/>
    </row>
    <row r="511" ht="13.5" customHeight="1">
      <c r="A511" s="11"/>
      <c r="B511" s="11"/>
      <c r="C511" s="11"/>
      <c r="D511" s="11"/>
      <c r="E511" s="11"/>
      <c r="F511" s="253"/>
      <c r="G511" s="253"/>
      <c r="H511" s="11"/>
      <c r="I511" s="429"/>
      <c r="J511" s="427"/>
      <c r="K511" s="395"/>
      <c r="L511" s="431"/>
      <c r="M511" s="11"/>
      <c r="N511" s="11"/>
      <c r="O511" s="71"/>
      <c r="P511" s="427"/>
      <c r="Q511" s="397"/>
      <c r="R511" s="395"/>
      <c r="S511" s="398"/>
      <c r="T511" s="399"/>
      <c r="U511" s="11"/>
      <c r="V511" s="11"/>
      <c r="W511" s="11"/>
      <c r="X511" s="11"/>
      <c r="Y511" s="11"/>
      <c r="Z511" s="402"/>
      <c r="AA511" s="402"/>
    </row>
    <row r="512" ht="13.5" customHeight="1">
      <c r="A512" s="11"/>
      <c r="B512" s="11"/>
      <c r="C512" s="11"/>
      <c r="D512" s="11"/>
      <c r="E512" s="11"/>
      <c r="F512" s="253"/>
      <c r="G512" s="253"/>
      <c r="H512" s="11"/>
      <c r="I512" s="429"/>
      <c r="J512" s="427"/>
      <c r="K512" s="395"/>
      <c r="L512" s="431"/>
      <c r="M512" s="11"/>
      <c r="N512" s="11"/>
      <c r="O512" s="71"/>
      <c r="P512" s="427"/>
      <c r="Q512" s="397"/>
      <c r="R512" s="395"/>
      <c r="S512" s="398"/>
      <c r="T512" s="399"/>
      <c r="U512" s="11"/>
      <c r="V512" s="11"/>
      <c r="W512" s="11"/>
      <c r="X512" s="11"/>
      <c r="Y512" s="11"/>
      <c r="Z512" s="402"/>
      <c r="AA512" s="402"/>
    </row>
    <row r="513" ht="13.5" customHeight="1">
      <c r="A513" s="11"/>
      <c r="B513" s="11"/>
      <c r="C513" s="11"/>
      <c r="D513" s="11"/>
      <c r="E513" s="11"/>
      <c r="F513" s="253"/>
      <c r="G513" s="253"/>
      <c r="H513" s="11"/>
      <c r="I513" s="429"/>
      <c r="J513" s="427"/>
      <c r="K513" s="395"/>
      <c r="L513" s="431"/>
      <c r="M513" s="11"/>
      <c r="N513" s="11"/>
      <c r="O513" s="71"/>
      <c r="P513" s="427"/>
      <c r="Q513" s="397"/>
      <c r="R513" s="395"/>
      <c r="S513" s="398"/>
      <c r="T513" s="399"/>
      <c r="U513" s="11"/>
      <c r="V513" s="11"/>
      <c r="W513" s="11"/>
      <c r="X513" s="11"/>
      <c r="Y513" s="11"/>
      <c r="Z513" s="402"/>
      <c r="AA513" s="402"/>
    </row>
    <row r="514" ht="13.5" customHeight="1">
      <c r="A514" s="11"/>
      <c r="B514" s="11"/>
      <c r="C514" s="11"/>
      <c r="D514" s="11"/>
      <c r="E514" s="11"/>
      <c r="F514" s="253"/>
      <c r="G514" s="253"/>
      <c r="H514" s="11"/>
      <c r="I514" s="429"/>
      <c r="J514" s="427"/>
      <c r="K514" s="395"/>
      <c r="L514" s="431"/>
      <c r="M514" s="11"/>
      <c r="N514" s="11"/>
      <c r="O514" s="71"/>
      <c r="P514" s="427"/>
      <c r="Q514" s="397"/>
      <c r="R514" s="395"/>
      <c r="S514" s="398"/>
      <c r="T514" s="399"/>
      <c r="U514" s="11"/>
      <c r="V514" s="11"/>
      <c r="W514" s="11"/>
      <c r="X514" s="11"/>
      <c r="Y514" s="11"/>
      <c r="Z514" s="402"/>
      <c r="AA514" s="402"/>
    </row>
  </sheetData>
  <mergeCells count="55">
    <mergeCell ref="P243:Q243"/>
    <mergeCell ref="P244:Q244"/>
    <mergeCell ref="P245:Q245"/>
    <mergeCell ref="P246:Q246"/>
    <mergeCell ref="P247:Q247"/>
    <mergeCell ref="C248:K248"/>
    <mergeCell ref="P248:Q248"/>
    <mergeCell ref="C237:L237"/>
    <mergeCell ref="M237:R237"/>
    <mergeCell ref="P238:Q238"/>
    <mergeCell ref="P239:Q239"/>
    <mergeCell ref="P240:Q240"/>
    <mergeCell ref="P241:Q241"/>
    <mergeCell ref="P242:Q242"/>
    <mergeCell ref="A101:A108"/>
    <mergeCell ref="A109:A196"/>
    <mergeCell ref="A197:A198"/>
    <mergeCell ref="A2:A100"/>
    <mergeCell ref="F91:I91"/>
    <mergeCell ref="F92:I92"/>
    <mergeCell ref="F93:I93"/>
    <mergeCell ref="F94:I94"/>
    <mergeCell ref="F95:I95"/>
    <mergeCell ref="F96:I96"/>
    <mergeCell ref="F97:I97"/>
    <mergeCell ref="F98:I98"/>
    <mergeCell ref="C207:L207"/>
    <mergeCell ref="M207:R207"/>
    <mergeCell ref="P208:Q208"/>
    <mergeCell ref="P209:Q209"/>
    <mergeCell ref="P210:Q210"/>
    <mergeCell ref="C219:K219"/>
    <mergeCell ref="C222:L222"/>
    <mergeCell ref="M222:R222"/>
    <mergeCell ref="P211:Q211"/>
    <mergeCell ref="P212:Q212"/>
    <mergeCell ref="P213:Q213"/>
    <mergeCell ref="P214:Q214"/>
    <mergeCell ref="P215:Q215"/>
    <mergeCell ref="P216:Q216"/>
    <mergeCell ref="C218:K218"/>
    <mergeCell ref="P217:Q217"/>
    <mergeCell ref="P218:Q218"/>
    <mergeCell ref="P223:Q223"/>
    <mergeCell ref="P224:Q224"/>
    <mergeCell ref="P225:Q225"/>
    <mergeCell ref="P226:Q226"/>
    <mergeCell ref="P227:Q227"/>
    <mergeCell ref="P228:Q228"/>
    <mergeCell ref="P229:Q229"/>
    <mergeCell ref="P230:Q230"/>
    <mergeCell ref="P231:Q231"/>
    <mergeCell ref="P232:Q232"/>
    <mergeCell ref="C233:K233"/>
    <mergeCell ref="P233:Q233"/>
  </mergeCells>
  <conditionalFormatting sqref="P209:Q218 P224:Q233 P239:Q248">
    <cfRule type="cellIs" dxfId="0" priority="1" operator="greaterThanOrEqual">
      <formula>1</formula>
    </cfRule>
  </conditionalFormatting>
  <printOptions/>
  <pageMargins bottom="0.75" footer="0.0" header="0.0" left="0.7" right="0.7" top="0.75"/>
  <pageSetup orientation="landscape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 outlineLevelCol="1" outlineLevelRow="1"/>
  <cols>
    <col customWidth="1" min="1" max="1" width="6.29"/>
    <col customWidth="1" min="2" max="2" width="20.29"/>
    <col customWidth="1" min="3" max="3" width="13.43"/>
    <col customWidth="1" min="4" max="4" width="12.0"/>
    <col customWidth="1" min="5" max="5" width="14.43"/>
    <col customWidth="1" hidden="1" min="6" max="6" width="10.29" outlineLevel="1"/>
    <col customWidth="1" hidden="1" min="7" max="7" width="9.71" outlineLevel="1"/>
    <col customWidth="1" hidden="1" min="8" max="8" width="13.29" outlineLevel="1"/>
    <col collapsed="1" customWidth="1" min="9" max="9" width="8.71"/>
    <col customWidth="1" min="10" max="10" width="8.0"/>
    <col customWidth="1" min="11" max="11" width="7.71"/>
    <col customWidth="1" min="12" max="12" width="12.86"/>
    <col customWidth="1" min="13" max="13" width="12.57"/>
    <col customWidth="1" min="14" max="14" width="9.86"/>
    <col customWidth="1" min="15" max="15" width="11.43"/>
    <col customWidth="1" hidden="1" min="16" max="16" width="11.57" outlineLevel="1"/>
    <col collapsed="1" customWidth="1" min="17" max="17" width="12.71"/>
    <col customWidth="1" min="18" max="18" width="14.57"/>
    <col customWidth="1" hidden="1" min="19" max="19" width="13.0" outlineLevel="1"/>
    <col customWidth="1" hidden="1" min="20" max="20" width="13.14" outlineLevel="1"/>
    <col collapsed="1" customWidth="1" min="21" max="21" width="9.71"/>
    <col customWidth="1" min="22" max="22" width="8.71"/>
    <col customWidth="1" min="23" max="25" width="10.71"/>
    <col customWidth="1" min="26" max="27" width="8.71"/>
  </cols>
  <sheetData>
    <row r="1" ht="13.5" customHeight="1">
      <c r="A1" s="134" t="s">
        <v>34</v>
      </c>
      <c r="B1" s="135" t="s">
        <v>22</v>
      </c>
      <c r="C1" s="136" t="s">
        <v>35</v>
      </c>
      <c r="D1" s="77" t="s">
        <v>24</v>
      </c>
      <c r="E1" s="77" t="s">
        <v>25</v>
      </c>
      <c r="F1" s="77" t="s">
        <v>36</v>
      </c>
      <c r="G1" s="137" t="s">
        <v>37</v>
      </c>
      <c r="H1" s="77" t="s">
        <v>38</v>
      </c>
      <c r="I1" s="138" t="s">
        <v>26</v>
      </c>
      <c r="J1" s="139" t="s">
        <v>27</v>
      </c>
      <c r="K1" s="77" t="s">
        <v>39</v>
      </c>
      <c r="L1" s="77" t="s">
        <v>40</v>
      </c>
      <c r="M1" s="77" t="s">
        <v>41</v>
      </c>
      <c r="N1" s="136" t="s">
        <v>42</v>
      </c>
      <c r="O1" s="103" t="s">
        <v>43</v>
      </c>
      <c r="P1" s="77" t="s">
        <v>44</v>
      </c>
      <c r="Q1" s="79" t="s">
        <v>45</v>
      </c>
      <c r="R1" s="140" t="s">
        <v>46</v>
      </c>
      <c r="S1" s="77" t="s">
        <v>47</v>
      </c>
      <c r="T1" s="136" t="s">
        <v>48</v>
      </c>
      <c r="U1" s="141" t="s">
        <v>49</v>
      </c>
      <c r="V1" s="74"/>
      <c r="W1" s="75"/>
      <c r="X1" s="75"/>
      <c r="Y1" s="75"/>
      <c r="Z1" s="4"/>
      <c r="AA1" s="4"/>
    </row>
    <row r="2" ht="13.5" customHeight="1">
      <c r="A2" s="142" t="s">
        <v>50</v>
      </c>
      <c r="B2" s="143" t="s">
        <v>51</v>
      </c>
      <c r="C2" s="143"/>
      <c r="D2" s="143"/>
      <c r="E2" s="143"/>
      <c r="F2" s="143"/>
      <c r="G2" s="143"/>
      <c r="H2" s="143"/>
      <c r="I2" s="144"/>
      <c r="J2" s="145"/>
      <c r="K2" s="143"/>
      <c r="L2" s="143"/>
      <c r="M2" s="143"/>
      <c r="N2" s="146"/>
      <c r="O2" s="147"/>
      <c r="P2" s="143"/>
      <c r="Q2" s="148"/>
      <c r="R2" s="149"/>
      <c r="S2" s="143"/>
      <c r="T2" s="143"/>
      <c r="U2" s="150"/>
      <c r="V2" s="33"/>
      <c r="W2" s="33"/>
      <c r="X2" s="33"/>
      <c r="Y2" s="33"/>
      <c r="Z2" s="33"/>
      <c r="AA2" s="33"/>
    </row>
    <row r="3" ht="14.25" customHeight="1" outlineLevel="1">
      <c r="A3" s="151"/>
      <c r="B3" s="152"/>
      <c r="C3" s="153">
        <v>0.027</v>
      </c>
      <c r="D3" s="154">
        <v>0.14</v>
      </c>
      <c r="E3" s="155">
        <v>4.2</v>
      </c>
      <c r="F3" s="156">
        <f t="shared" ref="F3:F28" si="1">C3*D3*E3</f>
        <v>0.015876</v>
      </c>
      <c r="G3" s="156">
        <f t="shared" ref="G3:G28" si="2">D3*E3</f>
        <v>0.588</v>
      </c>
      <c r="H3" s="157">
        <v>401.52</v>
      </c>
      <c r="I3" s="158">
        <f t="shared" ref="I3:I4" si="3">ROUND(H3*1.1667,0)</f>
        <v>468</v>
      </c>
      <c r="J3" s="159">
        <f t="shared" ref="J3:J10" si="4">ROUND((I3*0.992)*1.21,0)*(C3*D3*E3)</f>
        <v>8.922312</v>
      </c>
      <c r="K3" s="160">
        <f t="shared" ref="K3:K28" si="5">J3/(D3*E3)</f>
        <v>15.174</v>
      </c>
      <c r="L3" s="161">
        <f t="shared" ref="L3:L18" si="6">T3+R3-O3</f>
        <v>181</v>
      </c>
      <c r="M3" s="162">
        <f t="shared" ref="M3:M28" si="7">L3*F3</f>
        <v>2.873556</v>
      </c>
      <c r="N3" s="163">
        <f t="shared" ref="N3:N28" si="8">L3*G3</f>
        <v>106.428</v>
      </c>
      <c r="O3" s="164"/>
      <c r="P3" s="165" t="str">
        <f t="shared" ref="P3:P28" si="9">IF(O3="","",(O3*F3))</f>
        <v/>
      </c>
      <c r="Q3" s="166"/>
      <c r="R3" s="167"/>
      <c r="S3" s="155">
        <f t="shared" ref="S3:S28" si="10">R3*F3</f>
        <v>0</v>
      </c>
      <c r="T3" s="168">
        <v>181.0</v>
      </c>
      <c r="U3" s="169">
        <f t="shared" ref="U3:U28" si="11">J3*L3</f>
        <v>1614.938472</v>
      </c>
      <c r="V3" s="38" t="str">
        <f t="shared" ref="V3:V126" si="12">IF(O3="","",Q3-(O3*(H3*F3)))</f>
        <v/>
      </c>
      <c r="W3" s="38" t="str">
        <f t="shared" ref="W3:W129" si="13">IF(O3="","",(P3*H3))</f>
        <v/>
      </c>
      <c r="X3" s="11"/>
      <c r="Y3" s="11"/>
      <c r="Z3" s="11"/>
      <c r="AA3" s="11"/>
    </row>
    <row r="4" ht="14.25" customHeight="1" outlineLevel="1">
      <c r="A4" s="151"/>
      <c r="B4" s="152"/>
      <c r="C4" s="153">
        <v>0.027</v>
      </c>
      <c r="D4" s="170">
        <v>0.14</v>
      </c>
      <c r="E4" s="155">
        <v>4.8</v>
      </c>
      <c r="F4" s="156">
        <f t="shared" si="1"/>
        <v>0.018144</v>
      </c>
      <c r="G4" s="156">
        <f t="shared" si="2"/>
        <v>0.672</v>
      </c>
      <c r="H4" s="157">
        <v>401.52</v>
      </c>
      <c r="I4" s="158">
        <f t="shared" si="3"/>
        <v>468</v>
      </c>
      <c r="J4" s="159">
        <f t="shared" si="4"/>
        <v>10.196928</v>
      </c>
      <c r="K4" s="160">
        <f t="shared" si="5"/>
        <v>15.174</v>
      </c>
      <c r="L4" s="161">
        <f t="shared" si="6"/>
        <v>226</v>
      </c>
      <c r="M4" s="162">
        <f t="shared" si="7"/>
        <v>4.100544</v>
      </c>
      <c r="N4" s="163">
        <f t="shared" si="8"/>
        <v>151.872</v>
      </c>
      <c r="O4" s="171"/>
      <c r="P4" s="165" t="str">
        <f t="shared" si="9"/>
        <v/>
      </c>
      <c r="Q4" s="172"/>
      <c r="R4" s="167"/>
      <c r="S4" s="155">
        <f t="shared" si="10"/>
        <v>0</v>
      </c>
      <c r="T4" s="168">
        <v>226.0</v>
      </c>
      <c r="U4" s="169">
        <f t="shared" si="11"/>
        <v>2304.505728</v>
      </c>
      <c r="V4" s="38" t="str">
        <f t="shared" si="12"/>
        <v/>
      </c>
      <c r="W4" s="38" t="str">
        <f t="shared" si="13"/>
        <v/>
      </c>
      <c r="X4" s="11"/>
      <c r="Y4" s="11"/>
      <c r="Z4" s="11"/>
      <c r="AA4" s="11"/>
    </row>
    <row r="5" ht="14.25" customHeight="1" outlineLevel="1">
      <c r="A5" s="151"/>
      <c r="B5" s="152"/>
      <c r="C5" s="153">
        <v>0.028</v>
      </c>
      <c r="D5" s="170">
        <v>0.095</v>
      </c>
      <c r="E5" s="155">
        <v>3.0</v>
      </c>
      <c r="F5" s="173">
        <f t="shared" si="1"/>
        <v>0.00798</v>
      </c>
      <c r="G5" s="173">
        <f t="shared" si="2"/>
        <v>0.285</v>
      </c>
      <c r="H5" s="157">
        <v>404.93</v>
      </c>
      <c r="I5" s="158">
        <f>ROUND(H5*1.12,0)</f>
        <v>454</v>
      </c>
      <c r="J5" s="159">
        <f t="shared" si="4"/>
        <v>4.3491</v>
      </c>
      <c r="K5" s="174">
        <f t="shared" si="5"/>
        <v>15.26</v>
      </c>
      <c r="L5" s="161">
        <f t="shared" si="6"/>
        <v>599</v>
      </c>
      <c r="M5" s="162">
        <f t="shared" si="7"/>
        <v>4.78002</v>
      </c>
      <c r="N5" s="175">
        <f t="shared" si="8"/>
        <v>170.715</v>
      </c>
      <c r="O5" s="171"/>
      <c r="P5" s="165" t="str">
        <f t="shared" si="9"/>
        <v/>
      </c>
      <c r="Q5" s="176"/>
      <c r="R5" s="167"/>
      <c r="S5" s="155">
        <f t="shared" si="10"/>
        <v>0</v>
      </c>
      <c r="T5" s="168">
        <v>599.0</v>
      </c>
      <c r="U5" s="169">
        <f t="shared" si="11"/>
        <v>2605.1109</v>
      </c>
      <c r="V5" s="38" t="str">
        <f t="shared" si="12"/>
        <v/>
      </c>
      <c r="W5" s="38" t="str">
        <f t="shared" si="13"/>
        <v/>
      </c>
      <c r="X5" s="11"/>
      <c r="Y5" s="11"/>
      <c r="Z5" s="11"/>
      <c r="AA5" s="11"/>
    </row>
    <row r="6" ht="14.25" customHeight="1" outlineLevel="1">
      <c r="A6" s="151"/>
      <c r="B6" s="152"/>
      <c r="C6" s="153">
        <v>0.028</v>
      </c>
      <c r="D6" s="170">
        <v>0.115</v>
      </c>
      <c r="E6" s="155">
        <v>3.0</v>
      </c>
      <c r="F6" s="156">
        <f t="shared" si="1"/>
        <v>0.00966</v>
      </c>
      <c r="G6" s="156">
        <f t="shared" si="2"/>
        <v>0.345</v>
      </c>
      <c r="H6" s="157">
        <v>402.09</v>
      </c>
      <c r="I6" s="158">
        <f>ROUND(H6*1.13,0)</f>
        <v>454</v>
      </c>
      <c r="J6" s="159">
        <f t="shared" si="4"/>
        <v>5.2647</v>
      </c>
      <c r="K6" s="160">
        <f t="shared" si="5"/>
        <v>15.26</v>
      </c>
      <c r="L6" s="161">
        <f t="shared" si="6"/>
        <v>52</v>
      </c>
      <c r="M6" s="162">
        <f t="shared" si="7"/>
        <v>0.50232</v>
      </c>
      <c r="N6" s="163">
        <f t="shared" si="8"/>
        <v>17.94</v>
      </c>
      <c r="O6" s="177"/>
      <c r="P6" s="165" t="str">
        <f t="shared" si="9"/>
        <v/>
      </c>
      <c r="Q6" s="166"/>
      <c r="R6" s="167"/>
      <c r="S6" s="155">
        <f t="shared" si="10"/>
        <v>0</v>
      </c>
      <c r="T6" s="168">
        <v>52.0</v>
      </c>
      <c r="U6" s="169">
        <f t="shared" si="11"/>
        <v>273.7644</v>
      </c>
      <c r="V6" s="38" t="str">
        <f t="shared" si="12"/>
        <v/>
      </c>
      <c r="W6" s="38" t="str">
        <f t="shared" si="13"/>
        <v/>
      </c>
      <c r="X6" s="11"/>
      <c r="Y6" s="11"/>
      <c r="Z6" s="11"/>
      <c r="AA6" s="11"/>
    </row>
    <row r="7" ht="14.25" customHeight="1" outlineLevel="1">
      <c r="A7" s="151"/>
      <c r="B7" s="178" t="s">
        <v>52</v>
      </c>
      <c r="C7" s="153">
        <v>0.028</v>
      </c>
      <c r="D7" s="170">
        <v>0.12</v>
      </c>
      <c r="E7" s="155">
        <v>4.5</v>
      </c>
      <c r="F7" s="173">
        <f t="shared" si="1"/>
        <v>0.01512</v>
      </c>
      <c r="G7" s="173">
        <f t="shared" si="2"/>
        <v>0.54</v>
      </c>
      <c r="H7" s="157">
        <f>395+(50/1.709)</f>
        <v>424.2568754</v>
      </c>
      <c r="I7" s="158">
        <f>ROUND(H7*1.067,0)</f>
        <v>453</v>
      </c>
      <c r="J7" s="159">
        <f t="shared" si="4"/>
        <v>8.22528</v>
      </c>
      <c r="K7" s="174">
        <f t="shared" si="5"/>
        <v>15.232</v>
      </c>
      <c r="L7" s="161">
        <f t="shared" si="6"/>
        <v>329</v>
      </c>
      <c r="M7" s="162">
        <f t="shared" si="7"/>
        <v>4.97448</v>
      </c>
      <c r="N7" s="175">
        <f t="shared" si="8"/>
        <v>177.66</v>
      </c>
      <c r="O7" s="171"/>
      <c r="P7" s="165" t="str">
        <f t="shared" si="9"/>
        <v/>
      </c>
      <c r="Q7" s="176"/>
      <c r="R7" s="179"/>
      <c r="S7" s="155">
        <f t="shared" si="10"/>
        <v>0</v>
      </c>
      <c r="T7" s="168">
        <v>329.0</v>
      </c>
      <c r="U7" s="169">
        <f t="shared" si="11"/>
        <v>2706.11712</v>
      </c>
      <c r="V7" s="38" t="str">
        <f t="shared" si="12"/>
        <v/>
      </c>
      <c r="W7" s="38" t="str">
        <f t="shared" si="13"/>
        <v/>
      </c>
      <c r="X7" s="11"/>
      <c r="Y7" s="11"/>
      <c r="Z7" s="11"/>
      <c r="AA7" s="11"/>
    </row>
    <row r="8" ht="13.5" customHeight="1" outlineLevel="1">
      <c r="A8" s="151"/>
      <c r="B8" s="180"/>
      <c r="C8" s="181">
        <v>0.028</v>
      </c>
      <c r="D8" s="182">
        <v>0.12</v>
      </c>
      <c r="E8" s="183">
        <v>4.8</v>
      </c>
      <c r="F8" s="184">
        <f t="shared" si="1"/>
        <v>0.016128</v>
      </c>
      <c r="G8" s="184">
        <f t="shared" si="2"/>
        <v>0.576</v>
      </c>
      <c r="H8" s="185">
        <v>400.0</v>
      </c>
      <c r="I8" s="158">
        <f>ROUND(H8*1.1667,0)</f>
        <v>467</v>
      </c>
      <c r="J8" s="159">
        <f t="shared" si="4"/>
        <v>9.047808</v>
      </c>
      <c r="K8" s="186">
        <f t="shared" si="5"/>
        <v>15.708</v>
      </c>
      <c r="L8" s="161">
        <f t="shared" si="6"/>
        <v>54</v>
      </c>
      <c r="M8" s="187">
        <f t="shared" si="7"/>
        <v>0.870912</v>
      </c>
      <c r="N8" s="188">
        <f t="shared" si="8"/>
        <v>31.104</v>
      </c>
      <c r="O8" s="189"/>
      <c r="P8" s="165" t="str">
        <f t="shared" si="9"/>
        <v/>
      </c>
      <c r="Q8" s="190"/>
      <c r="R8" s="191"/>
      <c r="S8" s="192">
        <f t="shared" si="10"/>
        <v>0</v>
      </c>
      <c r="T8" s="193">
        <v>54.0</v>
      </c>
      <c r="U8" s="169">
        <f t="shared" si="11"/>
        <v>488.581632</v>
      </c>
      <c r="V8" s="38" t="str">
        <f t="shared" si="12"/>
        <v/>
      </c>
      <c r="W8" s="38" t="str">
        <f t="shared" si="13"/>
        <v/>
      </c>
      <c r="X8" s="11"/>
      <c r="Y8" s="11"/>
      <c r="Z8" s="11"/>
      <c r="AA8" s="11"/>
    </row>
    <row r="9" ht="13.5" customHeight="1" outlineLevel="1">
      <c r="A9" s="151"/>
      <c r="B9" s="194" t="s">
        <v>53</v>
      </c>
      <c r="C9" s="195">
        <v>0.028</v>
      </c>
      <c r="D9" s="87">
        <v>0.145</v>
      </c>
      <c r="E9" s="88">
        <v>2.4</v>
      </c>
      <c r="F9" s="156">
        <f t="shared" si="1"/>
        <v>0.009744</v>
      </c>
      <c r="G9" s="156">
        <f t="shared" si="2"/>
        <v>0.348</v>
      </c>
      <c r="H9" s="157">
        <v>745.69</v>
      </c>
      <c r="I9" s="158">
        <f t="shared" ref="I9:I10" si="14">ROUND(H9*1.058,0)</f>
        <v>789</v>
      </c>
      <c r="J9" s="159">
        <f t="shared" si="4"/>
        <v>9.227568</v>
      </c>
      <c r="K9" s="160">
        <f t="shared" si="5"/>
        <v>26.516</v>
      </c>
      <c r="L9" s="161">
        <f t="shared" si="6"/>
        <v>1057</v>
      </c>
      <c r="M9" s="162">
        <f t="shared" si="7"/>
        <v>10.299408</v>
      </c>
      <c r="N9" s="163">
        <f t="shared" si="8"/>
        <v>367.836</v>
      </c>
      <c r="O9" s="177"/>
      <c r="P9" s="165" t="str">
        <f t="shared" si="9"/>
        <v/>
      </c>
      <c r="Q9" s="166"/>
      <c r="R9" s="167"/>
      <c r="S9" s="155">
        <f t="shared" si="10"/>
        <v>0</v>
      </c>
      <c r="T9" s="168">
        <v>1057.0</v>
      </c>
      <c r="U9" s="169">
        <f t="shared" si="11"/>
        <v>9753.539376</v>
      </c>
      <c r="V9" s="38" t="str">
        <f t="shared" si="12"/>
        <v/>
      </c>
      <c r="W9" s="38" t="str">
        <f t="shared" si="13"/>
        <v/>
      </c>
      <c r="X9" s="11"/>
      <c r="Y9" s="11"/>
      <c r="Z9" s="11"/>
      <c r="AA9" s="11"/>
    </row>
    <row r="10" ht="13.5" customHeight="1" outlineLevel="1">
      <c r="A10" s="151"/>
      <c r="B10" s="194" t="s">
        <v>53</v>
      </c>
      <c r="C10" s="153">
        <v>0.028</v>
      </c>
      <c r="D10" s="196">
        <v>0.145</v>
      </c>
      <c r="E10" s="197">
        <v>3.0</v>
      </c>
      <c r="F10" s="156">
        <f t="shared" si="1"/>
        <v>0.01218</v>
      </c>
      <c r="G10" s="156">
        <f t="shared" si="2"/>
        <v>0.435</v>
      </c>
      <c r="H10" s="157">
        <v>745.69</v>
      </c>
      <c r="I10" s="158">
        <f t="shared" si="14"/>
        <v>789</v>
      </c>
      <c r="J10" s="159">
        <f t="shared" si="4"/>
        <v>11.53446</v>
      </c>
      <c r="K10" s="160">
        <f t="shared" si="5"/>
        <v>26.516</v>
      </c>
      <c r="L10" s="161">
        <f t="shared" si="6"/>
        <v>766</v>
      </c>
      <c r="M10" s="162">
        <f t="shared" si="7"/>
        <v>9.32988</v>
      </c>
      <c r="N10" s="163">
        <f t="shared" si="8"/>
        <v>333.21</v>
      </c>
      <c r="O10" s="198"/>
      <c r="P10" s="165" t="str">
        <f t="shared" si="9"/>
        <v/>
      </c>
      <c r="Q10" s="172"/>
      <c r="R10" s="199"/>
      <c r="S10" s="155">
        <f t="shared" si="10"/>
        <v>0</v>
      </c>
      <c r="T10" s="168">
        <v>766.0</v>
      </c>
      <c r="U10" s="169">
        <f t="shared" si="11"/>
        <v>8835.39636</v>
      </c>
      <c r="V10" s="38" t="str">
        <f t="shared" si="12"/>
        <v/>
      </c>
      <c r="W10" s="38" t="str">
        <f t="shared" si="13"/>
        <v/>
      </c>
      <c r="X10" s="11"/>
      <c r="Y10" s="11"/>
      <c r="Z10" s="11"/>
      <c r="AA10" s="11"/>
    </row>
    <row r="11" ht="13.5" customHeight="1" outlineLevel="1">
      <c r="A11" s="151"/>
      <c r="B11" s="200" t="s">
        <v>54</v>
      </c>
      <c r="C11" s="195">
        <v>0.028</v>
      </c>
      <c r="D11" s="87">
        <v>0.145</v>
      </c>
      <c r="E11" s="88">
        <v>3.0</v>
      </c>
      <c r="F11" s="156">
        <f t="shared" si="1"/>
        <v>0.01218</v>
      </c>
      <c r="G11" s="156">
        <f t="shared" si="2"/>
        <v>0.435</v>
      </c>
      <c r="H11" s="157">
        <v>399.29</v>
      </c>
      <c r="I11" s="158">
        <f t="shared" ref="I11:I12" si="15">ROUND(H11*1.025,0)</f>
        <v>409</v>
      </c>
      <c r="J11" s="159">
        <f>ROUND((I11*0.74)*1.21,0)*(C11*D11*E11)</f>
        <v>4.45788</v>
      </c>
      <c r="K11" s="160">
        <f t="shared" si="5"/>
        <v>10.248</v>
      </c>
      <c r="L11" s="161">
        <f t="shared" si="6"/>
        <v>52</v>
      </c>
      <c r="M11" s="162">
        <f t="shared" si="7"/>
        <v>0.63336</v>
      </c>
      <c r="N11" s="163">
        <f t="shared" si="8"/>
        <v>22.62</v>
      </c>
      <c r="O11" s="164"/>
      <c r="P11" s="165" t="str">
        <f t="shared" si="9"/>
        <v/>
      </c>
      <c r="Q11" s="166"/>
      <c r="R11" s="167"/>
      <c r="S11" s="155">
        <f t="shared" si="10"/>
        <v>0</v>
      </c>
      <c r="T11" s="168">
        <v>52.0</v>
      </c>
      <c r="U11" s="169">
        <f t="shared" si="11"/>
        <v>231.80976</v>
      </c>
      <c r="V11" s="38" t="str">
        <f t="shared" si="12"/>
        <v/>
      </c>
      <c r="W11" s="38" t="str">
        <f t="shared" si="13"/>
        <v/>
      </c>
      <c r="X11" s="11"/>
      <c r="Y11" s="11"/>
      <c r="Z11" s="11"/>
      <c r="AA11" s="11"/>
    </row>
    <row r="12" ht="13.5" customHeight="1" outlineLevel="1">
      <c r="A12" s="151"/>
      <c r="B12" s="200" t="s">
        <v>54</v>
      </c>
      <c r="C12" s="195">
        <v>0.028</v>
      </c>
      <c r="D12" s="87">
        <v>0.145</v>
      </c>
      <c r="E12" s="88">
        <v>3.6</v>
      </c>
      <c r="F12" s="156">
        <f t="shared" si="1"/>
        <v>0.014616</v>
      </c>
      <c r="G12" s="156">
        <f t="shared" si="2"/>
        <v>0.522</v>
      </c>
      <c r="H12" s="157">
        <v>399.29</v>
      </c>
      <c r="I12" s="158">
        <f t="shared" si="15"/>
        <v>409</v>
      </c>
      <c r="J12" s="159">
        <f>ROUND((I12*0.83)*1.21,0)*(C12*D12*E12)</f>
        <v>6.007176</v>
      </c>
      <c r="K12" s="160">
        <f t="shared" si="5"/>
        <v>11.508</v>
      </c>
      <c r="L12" s="161">
        <f t="shared" si="6"/>
        <v>40</v>
      </c>
      <c r="M12" s="162">
        <f t="shared" si="7"/>
        <v>0.58464</v>
      </c>
      <c r="N12" s="163">
        <f t="shared" si="8"/>
        <v>20.88</v>
      </c>
      <c r="O12" s="201"/>
      <c r="P12" s="165" t="str">
        <f t="shared" si="9"/>
        <v/>
      </c>
      <c r="Q12" s="172"/>
      <c r="R12" s="167"/>
      <c r="S12" s="155">
        <f t="shared" si="10"/>
        <v>0</v>
      </c>
      <c r="T12" s="168">
        <v>40.0</v>
      </c>
      <c r="U12" s="169">
        <f t="shared" si="11"/>
        <v>240.28704</v>
      </c>
      <c r="V12" s="38" t="str">
        <f t="shared" si="12"/>
        <v/>
      </c>
      <c r="W12" s="38" t="str">
        <f t="shared" si="13"/>
        <v/>
      </c>
      <c r="X12" s="11"/>
      <c r="Y12" s="11"/>
      <c r="Z12" s="11"/>
      <c r="AA12" s="11"/>
    </row>
    <row r="13" ht="13.5" customHeight="1" outlineLevel="1">
      <c r="A13" s="151"/>
      <c r="B13" s="152"/>
      <c r="C13" s="153">
        <v>0.028</v>
      </c>
      <c r="D13" s="170">
        <v>0.145</v>
      </c>
      <c r="E13" s="155">
        <v>6.0</v>
      </c>
      <c r="F13" s="173">
        <f t="shared" si="1"/>
        <v>0.02436</v>
      </c>
      <c r="G13" s="173">
        <f t="shared" si="2"/>
        <v>0.87</v>
      </c>
      <c r="H13" s="157">
        <v>399.29</v>
      </c>
      <c r="I13" s="158">
        <f>ROUND(H13*1.1357,0)</f>
        <v>453</v>
      </c>
      <c r="J13" s="159">
        <f>ROUND((I13*0.992)*1.21,0)*(C13*D13*E13)</f>
        <v>13.25184</v>
      </c>
      <c r="K13" s="174">
        <f t="shared" si="5"/>
        <v>15.232</v>
      </c>
      <c r="L13" s="161">
        <f t="shared" si="6"/>
        <v>43</v>
      </c>
      <c r="M13" s="162">
        <f t="shared" si="7"/>
        <v>1.04748</v>
      </c>
      <c r="N13" s="175">
        <f t="shared" si="8"/>
        <v>37.41</v>
      </c>
      <c r="O13" s="202"/>
      <c r="P13" s="165" t="str">
        <f t="shared" si="9"/>
        <v/>
      </c>
      <c r="Q13" s="176"/>
      <c r="R13" s="167"/>
      <c r="S13" s="155">
        <f t="shared" si="10"/>
        <v>0</v>
      </c>
      <c r="T13" s="168">
        <v>43.0</v>
      </c>
      <c r="U13" s="169">
        <f t="shared" si="11"/>
        <v>569.82912</v>
      </c>
      <c r="V13" s="38" t="str">
        <f t="shared" si="12"/>
        <v/>
      </c>
      <c r="W13" s="38" t="str">
        <f t="shared" si="13"/>
        <v/>
      </c>
      <c r="X13" s="11"/>
      <c r="Y13" s="11"/>
      <c r="Z13" s="11"/>
      <c r="AA13" s="11"/>
    </row>
    <row r="14" ht="13.5" customHeight="1" outlineLevel="1">
      <c r="A14" s="151"/>
      <c r="B14" s="200" t="s">
        <v>54</v>
      </c>
      <c r="C14" s="195">
        <v>0.028</v>
      </c>
      <c r="D14" s="87">
        <v>0.145</v>
      </c>
      <c r="E14" s="88">
        <v>6.0</v>
      </c>
      <c r="F14" s="156">
        <f t="shared" si="1"/>
        <v>0.02436</v>
      </c>
      <c r="G14" s="156">
        <f t="shared" si="2"/>
        <v>0.87</v>
      </c>
      <c r="H14" s="157">
        <v>399.29</v>
      </c>
      <c r="I14" s="158">
        <f>ROUND(H14*1.025,0)</f>
        <v>409</v>
      </c>
      <c r="J14" s="159">
        <f>ROUND((I14*0.83)*1.21,0)*(C14*D14*E14)</f>
        <v>10.01196</v>
      </c>
      <c r="K14" s="160">
        <f t="shared" si="5"/>
        <v>11.508</v>
      </c>
      <c r="L14" s="161">
        <f t="shared" si="6"/>
        <v>72</v>
      </c>
      <c r="M14" s="162">
        <f t="shared" si="7"/>
        <v>1.75392</v>
      </c>
      <c r="N14" s="163">
        <f t="shared" si="8"/>
        <v>62.64</v>
      </c>
      <c r="O14" s="203"/>
      <c r="P14" s="165" t="str">
        <f t="shared" si="9"/>
        <v/>
      </c>
      <c r="Q14" s="172"/>
      <c r="R14" s="167"/>
      <c r="S14" s="155">
        <f t="shared" si="10"/>
        <v>0</v>
      </c>
      <c r="T14" s="168">
        <v>72.0</v>
      </c>
      <c r="U14" s="169">
        <f t="shared" si="11"/>
        <v>720.86112</v>
      </c>
      <c r="V14" s="38" t="str">
        <f t="shared" si="12"/>
        <v/>
      </c>
      <c r="W14" s="38" t="str">
        <f t="shared" si="13"/>
        <v/>
      </c>
      <c r="X14" s="11"/>
      <c r="Y14" s="11"/>
      <c r="Z14" s="11"/>
      <c r="AA14" s="11"/>
    </row>
    <row r="15" ht="13.5" customHeight="1" outlineLevel="1">
      <c r="A15" s="151"/>
      <c r="B15" s="200" t="s">
        <v>55</v>
      </c>
      <c r="C15" s="195">
        <v>0.03</v>
      </c>
      <c r="D15" s="87">
        <v>0.1</v>
      </c>
      <c r="E15" s="88">
        <v>3.0</v>
      </c>
      <c r="F15" s="156">
        <f t="shared" si="1"/>
        <v>0.009</v>
      </c>
      <c r="G15" s="156">
        <f t="shared" si="2"/>
        <v>0.3</v>
      </c>
      <c r="H15" s="157">
        <v>400.75</v>
      </c>
      <c r="I15" s="158">
        <f>ROUND(H15*1.09,0)</f>
        <v>437</v>
      </c>
      <c r="J15" s="159">
        <f>ROUND((I15*0.91)*1.21,0)*(C15*D15*E15)</f>
        <v>4.329</v>
      </c>
      <c r="K15" s="160">
        <f t="shared" si="5"/>
        <v>14.43</v>
      </c>
      <c r="L15" s="161">
        <f t="shared" si="6"/>
        <v>184</v>
      </c>
      <c r="M15" s="162">
        <f t="shared" si="7"/>
        <v>1.656</v>
      </c>
      <c r="N15" s="163">
        <f t="shared" si="8"/>
        <v>55.2</v>
      </c>
      <c r="O15" s="203"/>
      <c r="P15" s="165" t="str">
        <f t="shared" si="9"/>
        <v/>
      </c>
      <c r="Q15" s="172"/>
      <c r="R15" s="167"/>
      <c r="S15" s="155">
        <f t="shared" si="10"/>
        <v>0</v>
      </c>
      <c r="T15" s="168">
        <v>184.0</v>
      </c>
      <c r="U15" s="169">
        <f t="shared" si="11"/>
        <v>796.536</v>
      </c>
      <c r="V15" s="38" t="str">
        <f t="shared" si="12"/>
        <v/>
      </c>
      <c r="W15" s="38" t="str">
        <f t="shared" si="13"/>
        <v/>
      </c>
      <c r="X15" s="11"/>
      <c r="Y15" s="11"/>
      <c r="Z15" s="11"/>
      <c r="AA15" s="11"/>
    </row>
    <row r="16" ht="13.5" customHeight="1" outlineLevel="1">
      <c r="A16" s="151"/>
      <c r="B16" s="200" t="s">
        <v>54</v>
      </c>
      <c r="C16" s="195">
        <v>0.03</v>
      </c>
      <c r="D16" s="87">
        <v>0.1</v>
      </c>
      <c r="E16" s="88">
        <v>6.0</v>
      </c>
      <c r="F16" s="156">
        <f t="shared" si="1"/>
        <v>0.018</v>
      </c>
      <c r="G16" s="156">
        <f t="shared" si="2"/>
        <v>0.6</v>
      </c>
      <c r="H16" s="157">
        <v>400.75</v>
      </c>
      <c r="I16" s="158">
        <f t="shared" ref="I16:I19" si="16">ROUND(H16*1.025,0)</f>
        <v>411</v>
      </c>
      <c r="J16" s="159">
        <f t="shared" ref="J16:J19" si="17">ROUND((I16*0.83)*1.21,0)*(C16*D16*E16)</f>
        <v>7.434</v>
      </c>
      <c r="K16" s="160">
        <f t="shared" si="5"/>
        <v>12.39</v>
      </c>
      <c r="L16" s="161">
        <f t="shared" si="6"/>
        <v>45</v>
      </c>
      <c r="M16" s="162">
        <f t="shared" si="7"/>
        <v>0.81</v>
      </c>
      <c r="N16" s="163">
        <f t="shared" si="8"/>
        <v>27</v>
      </c>
      <c r="O16" s="203"/>
      <c r="P16" s="165" t="str">
        <f t="shared" si="9"/>
        <v/>
      </c>
      <c r="Q16" s="172"/>
      <c r="R16" s="167"/>
      <c r="S16" s="155">
        <f t="shared" si="10"/>
        <v>0</v>
      </c>
      <c r="T16" s="168">
        <v>45.0</v>
      </c>
      <c r="U16" s="169">
        <f t="shared" si="11"/>
        <v>334.53</v>
      </c>
      <c r="V16" s="38" t="str">
        <f t="shared" si="12"/>
        <v/>
      </c>
      <c r="W16" s="38" t="str">
        <f t="shared" si="13"/>
        <v/>
      </c>
      <c r="X16" s="11"/>
      <c r="Y16" s="11"/>
      <c r="Z16" s="11"/>
      <c r="AA16" s="11"/>
    </row>
    <row r="17" ht="13.5" customHeight="1" outlineLevel="1">
      <c r="A17" s="151"/>
      <c r="B17" s="200" t="s">
        <v>54</v>
      </c>
      <c r="C17" s="195">
        <v>0.03</v>
      </c>
      <c r="D17" s="87">
        <v>0.12</v>
      </c>
      <c r="E17" s="88">
        <v>3.6</v>
      </c>
      <c r="F17" s="156">
        <f t="shared" si="1"/>
        <v>0.01296</v>
      </c>
      <c r="G17" s="156">
        <f t="shared" si="2"/>
        <v>0.432</v>
      </c>
      <c r="H17" s="157">
        <v>398.18</v>
      </c>
      <c r="I17" s="158">
        <f t="shared" si="16"/>
        <v>408</v>
      </c>
      <c r="J17" s="159">
        <f t="shared" si="17"/>
        <v>5.3136</v>
      </c>
      <c r="K17" s="160">
        <f t="shared" si="5"/>
        <v>12.3</v>
      </c>
      <c r="L17" s="161">
        <f t="shared" si="6"/>
        <v>102</v>
      </c>
      <c r="M17" s="162">
        <f t="shared" si="7"/>
        <v>1.32192</v>
      </c>
      <c r="N17" s="163">
        <f t="shared" si="8"/>
        <v>44.064</v>
      </c>
      <c r="O17" s="204"/>
      <c r="P17" s="165" t="str">
        <f t="shared" si="9"/>
        <v/>
      </c>
      <c r="Q17" s="166"/>
      <c r="R17" s="167"/>
      <c r="S17" s="155">
        <f t="shared" si="10"/>
        <v>0</v>
      </c>
      <c r="T17" s="168">
        <v>102.0</v>
      </c>
      <c r="U17" s="169">
        <f t="shared" si="11"/>
        <v>541.9872</v>
      </c>
      <c r="V17" s="38" t="str">
        <f t="shared" si="12"/>
        <v/>
      </c>
      <c r="W17" s="38" t="str">
        <f t="shared" si="13"/>
        <v/>
      </c>
      <c r="X17" s="11"/>
      <c r="Y17" s="11"/>
      <c r="Z17" s="11"/>
      <c r="AA17" s="11"/>
    </row>
    <row r="18" ht="13.5" customHeight="1" outlineLevel="1">
      <c r="A18" s="151"/>
      <c r="B18" s="200" t="s">
        <v>54</v>
      </c>
      <c r="C18" s="195">
        <v>0.03</v>
      </c>
      <c r="D18" s="87">
        <v>0.12</v>
      </c>
      <c r="E18" s="88">
        <v>4.8</v>
      </c>
      <c r="F18" s="156">
        <f t="shared" si="1"/>
        <v>0.01728</v>
      </c>
      <c r="G18" s="156">
        <f t="shared" si="2"/>
        <v>0.576</v>
      </c>
      <c r="H18" s="157">
        <v>396.34</v>
      </c>
      <c r="I18" s="158">
        <f t="shared" si="16"/>
        <v>406</v>
      </c>
      <c r="J18" s="159">
        <f t="shared" si="17"/>
        <v>7.05024</v>
      </c>
      <c r="K18" s="160">
        <f t="shared" si="5"/>
        <v>12.24</v>
      </c>
      <c r="L18" s="161">
        <f t="shared" si="6"/>
        <v>62</v>
      </c>
      <c r="M18" s="162">
        <f t="shared" si="7"/>
        <v>1.07136</v>
      </c>
      <c r="N18" s="163">
        <f t="shared" si="8"/>
        <v>35.712</v>
      </c>
      <c r="O18" s="203"/>
      <c r="P18" s="165" t="str">
        <f t="shared" si="9"/>
        <v/>
      </c>
      <c r="Q18" s="172"/>
      <c r="R18" s="167"/>
      <c r="S18" s="155">
        <f t="shared" si="10"/>
        <v>0</v>
      </c>
      <c r="T18" s="168">
        <v>62.0</v>
      </c>
      <c r="U18" s="169">
        <f t="shared" si="11"/>
        <v>437.11488</v>
      </c>
      <c r="V18" s="38" t="str">
        <f t="shared" si="12"/>
        <v/>
      </c>
      <c r="W18" s="38" t="str">
        <f t="shared" si="13"/>
        <v/>
      </c>
      <c r="X18" s="11"/>
      <c r="Y18" s="11"/>
      <c r="Z18" s="11"/>
      <c r="AA18" s="11"/>
    </row>
    <row r="19" ht="13.5" customHeight="1" outlineLevel="1">
      <c r="A19" s="151"/>
      <c r="B19" s="200" t="s">
        <v>54</v>
      </c>
      <c r="C19" s="195">
        <v>0.03</v>
      </c>
      <c r="D19" s="87">
        <v>0.14</v>
      </c>
      <c r="E19" s="88">
        <v>3.6</v>
      </c>
      <c r="F19" s="156">
        <f t="shared" si="1"/>
        <v>0.01512</v>
      </c>
      <c r="G19" s="156">
        <f t="shared" si="2"/>
        <v>0.504</v>
      </c>
      <c r="H19" s="157">
        <v>396.34</v>
      </c>
      <c r="I19" s="158">
        <f t="shared" si="16"/>
        <v>406</v>
      </c>
      <c r="J19" s="159">
        <f t="shared" si="17"/>
        <v>6.16896</v>
      </c>
      <c r="K19" s="160">
        <f t="shared" si="5"/>
        <v>12.24</v>
      </c>
      <c r="L19" s="205">
        <v>110.0</v>
      </c>
      <c r="M19" s="162">
        <f t="shared" si="7"/>
        <v>1.6632</v>
      </c>
      <c r="N19" s="163">
        <f t="shared" si="8"/>
        <v>55.44</v>
      </c>
      <c r="O19" s="202"/>
      <c r="P19" s="165" t="str">
        <f t="shared" si="9"/>
        <v/>
      </c>
      <c r="Q19" s="166"/>
      <c r="R19" s="167"/>
      <c r="S19" s="155">
        <f t="shared" si="10"/>
        <v>0</v>
      </c>
      <c r="T19" s="448">
        <v>110.0</v>
      </c>
      <c r="U19" s="169">
        <f t="shared" si="11"/>
        <v>678.5856</v>
      </c>
      <c r="V19" s="38" t="str">
        <f t="shared" si="12"/>
        <v/>
      </c>
      <c r="W19" s="38" t="str">
        <f t="shared" si="13"/>
        <v/>
      </c>
      <c r="X19" s="11"/>
      <c r="Y19" s="11"/>
      <c r="Z19" s="11"/>
      <c r="AA19" s="11"/>
    </row>
    <row r="20" ht="13.5" customHeight="1" outlineLevel="1">
      <c r="A20" s="151"/>
      <c r="B20" s="152"/>
      <c r="C20" s="153">
        <v>0.03</v>
      </c>
      <c r="D20" s="170">
        <v>0.145</v>
      </c>
      <c r="E20" s="155">
        <v>3.6</v>
      </c>
      <c r="F20" s="156">
        <f t="shared" si="1"/>
        <v>0.01566</v>
      </c>
      <c r="G20" s="156">
        <f t="shared" si="2"/>
        <v>0.522</v>
      </c>
      <c r="H20" s="157">
        <v>395.96</v>
      </c>
      <c r="I20" s="158">
        <f>ROUND(H20*1.1667,0)</f>
        <v>462</v>
      </c>
      <c r="J20" s="159">
        <f>ROUND((I20*0.992)*1.21,0)*(C20*D20*E20)</f>
        <v>8.6913</v>
      </c>
      <c r="K20" s="160">
        <f t="shared" si="5"/>
        <v>16.65</v>
      </c>
      <c r="L20" s="161">
        <f t="shared" ref="L20:L28" si="18">T20+R20-O20</f>
        <v>10</v>
      </c>
      <c r="M20" s="162">
        <f t="shared" si="7"/>
        <v>0.1566</v>
      </c>
      <c r="N20" s="206">
        <f t="shared" si="8"/>
        <v>5.22</v>
      </c>
      <c r="O20" s="171"/>
      <c r="P20" s="165" t="str">
        <f t="shared" si="9"/>
        <v/>
      </c>
      <c r="Q20" s="166"/>
      <c r="R20" s="167"/>
      <c r="S20" s="155">
        <f t="shared" si="10"/>
        <v>0</v>
      </c>
      <c r="T20" s="168">
        <v>10.0</v>
      </c>
      <c r="U20" s="169">
        <f t="shared" si="11"/>
        <v>86.913</v>
      </c>
      <c r="V20" s="38" t="str">
        <f t="shared" si="12"/>
        <v/>
      </c>
      <c r="W20" s="38" t="str">
        <f t="shared" si="13"/>
        <v/>
      </c>
      <c r="X20" s="11"/>
      <c r="Y20" s="11"/>
      <c r="Z20" s="11"/>
      <c r="AA20" s="11"/>
    </row>
    <row r="21" ht="13.5" customHeight="1" outlineLevel="1">
      <c r="A21" s="151"/>
      <c r="B21" s="200" t="s">
        <v>54</v>
      </c>
      <c r="C21" s="195">
        <v>0.03</v>
      </c>
      <c r="D21" s="87">
        <v>0.145</v>
      </c>
      <c r="E21" s="88">
        <v>3.6</v>
      </c>
      <c r="F21" s="156">
        <f t="shared" si="1"/>
        <v>0.01566</v>
      </c>
      <c r="G21" s="156">
        <f t="shared" si="2"/>
        <v>0.522</v>
      </c>
      <c r="H21" s="157">
        <v>395.96</v>
      </c>
      <c r="I21" s="158">
        <f>ROUND(H21*1.025,0)</f>
        <v>406</v>
      </c>
      <c r="J21" s="159">
        <f>ROUND((I21*0.83)*1.21,0)*(C21*D21*E21)</f>
        <v>6.38928</v>
      </c>
      <c r="K21" s="160">
        <f t="shared" si="5"/>
        <v>12.24</v>
      </c>
      <c r="L21" s="161">
        <f t="shared" si="18"/>
        <v>97</v>
      </c>
      <c r="M21" s="162">
        <f t="shared" si="7"/>
        <v>1.51902</v>
      </c>
      <c r="N21" s="163">
        <f t="shared" si="8"/>
        <v>50.634</v>
      </c>
      <c r="O21" s="207"/>
      <c r="P21" s="165" t="str">
        <f t="shared" si="9"/>
        <v/>
      </c>
      <c r="Q21" s="172"/>
      <c r="R21" s="167"/>
      <c r="S21" s="155">
        <f t="shared" si="10"/>
        <v>0</v>
      </c>
      <c r="T21" s="168">
        <v>97.0</v>
      </c>
      <c r="U21" s="169">
        <f t="shared" si="11"/>
        <v>619.76016</v>
      </c>
      <c r="V21" s="38" t="str">
        <f t="shared" si="12"/>
        <v/>
      </c>
      <c r="W21" s="38" t="str">
        <f t="shared" si="13"/>
        <v/>
      </c>
      <c r="X21" s="11"/>
      <c r="Y21" s="11"/>
      <c r="Z21" s="11"/>
      <c r="AA21" s="11"/>
    </row>
    <row r="22" ht="13.5" customHeight="1" outlineLevel="1">
      <c r="A22" s="151"/>
      <c r="B22" s="152"/>
      <c r="C22" s="153">
        <v>0.03</v>
      </c>
      <c r="D22" s="170">
        <v>0.145</v>
      </c>
      <c r="E22" s="155">
        <v>4.8</v>
      </c>
      <c r="F22" s="156">
        <f t="shared" si="1"/>
        <v>0.02088</v>
      </c>
      <c r="G22" s="156">
        <f t="shared" si="2"/>
        <v>0.696</v>
      </c>
      <c r="H22" s="157">
        <v>395.96</v>
      </c>
      <c r="I22" s="158">
        <f>ROUND(H22*1.1667,0)</f>
        <v>462</v>
      </c>
      <c r="J22" s="159">
        <f>ROUND((I22*0.992)*1.21,0)*(C22*D22*E22)</f>
        <v>11.5884</v>
      </c>
      <c r="K22" s="160">
        <f t="shared" si="5"/>
        <v>16.65</v>
      </c>
      <c r="L22" s="161">
        <f t="shared" si="18"/>
        <v>44</v>
      </c>
      <c r="M22" s="162">
        <f t="shared" si="7"/>
        <v>0.91872</v>
      </c>
      <c r="N22" s="163">
        <f t="shared" si="8"/>
        <v>30.624</v>
      </c>
      <c r="O22" s="202"/>
      <c r="P22" s="165" t="str">
        <f t="shared" si="9"/>
        <v/>
      </c>
      <c r="Q22" s="166"/>
      <c r="R22" s="167"/>
      <c r="S22" s="155">
        <f t="shared" si="10"/>
        <v>0</v>
      </c>
      <c r="T22" s="168">
        <v>44.0</v>
      </c>
      <c r="U22" s="169">
        <f t="shared" si="11"/>
        <v>509.8896</v>
      </c>
      <c r="V22" s="38" t="str">
        <f t="shared" si="12"/>
        <v/>
      </c>
      <c r="W22" s="38" t="str">
        <f t="shared" si="13"/>
        <v/>
      </c>
      <c r="X22" s="11"/>
      <c r="Y22" s="11"/>
      <c r="Z22" s="11"/>
      <c r="AA22" s="11"/>
    </row>
    <row r="23" ht="13.5" customHeight="1" outlineLevel="1">
      <c r="A23" s="151"/>
      <c r="B23" s="200" t="s">
        <v>54</v>
      </c>
      <c r="C23" s="195">
        <v>0.03</v>
      </c>
      <c r="D23" s="87">
        <v>0.145</v>
      </c>
      <c r="E23" s="88">
        <v>4.8</v>
      </c>
      <c r="F23" s="156">
        <f t="shared" si="1"/>
        <v>0.02088</v>
      </c>
      <c r="G23" s="156">
        <f t="shared" si="2"/>
        <v>0.696</v>
      </c>
      <c r="H23" s="157">
        <v>395.96</v>
      </c>
      <c r="I23" s="158">
        <f>ROUND(H23*1.025,0)</f>
        <v>406</v>
      </c>
      <c r="J23" s="159">
        <f>ROUND((I23*0.83)*1.21,0)*(C23*D23*E23)</f>
        <v>8.51904</v>
      </c>
      <c r="K23" s="160">
        <f t="shared" si="5"/>
        <v>12.24</v>
      </c>
      <c r="L23" s="161">
        <f t="shared" si="18"/>
        <v>221</v>
      </c>
      <c r="M23" s="162">
        <f t="shared" si="7"/>
        <v>4.61448</v>
      </c>
      <c r="N23" s="163">
        <f t="shared" si="8"/>
        <v>153.816</v>
      </c>
      <c r="O23" s="202"/>
      <c r="P23" s="165" t="str">
        <f t="shared" si="9"/>
        <v/>
      </c>
      <c r="Q23" s="172"/>
      <c r="R23" s="167"/>
      <c r="S23" s="155">
        <f t="shared" si="10"/>
        <v>0</v>
      </c>
      <c r="T23" s="168">
        <v>221.0</v>
      </c>
      <c r="U23" s="169">
        <f t="shared" si="11"/>
        <v>1882.70784</v>
      </c>
      <c r="V23" s="38" t="str">
        <f t="shared" si="12"/>
        <v/>
      </c>
      <c r="W23" s="38" t="str">
        <f t="shared" si="13"/>
        <v/>
      </c>
      <c r="X23" s="11"/>
      <c r="Y23" s="11"/>
      <c r="Z23" s="11"/>
      <c r="AA23" s="11"/>
    </row>
    <row r="24" ht="13.5" customHeight="1" outlineLevel="1">
      <c r="A24" s="151"/>
      <c r="B24" s="152"/>
      <c r="C24" s="153">
        <v>0.03</v>
      </c>
      <c r="D24" s="170">
        <v>0.145</v>
      </c>
      <c r="E24" s="155">
        <v>5.1</v>
      </c>
      <c r="F24" s="156">
        <f t="shared" si="1"/>
        <v>0.022185</v>
      </c>
      <c r="G24" s="156">
        <f t="shared" si="2"/>
        <v>0.7395</v>
      </c>
      <c r="H24" s="157">
        <v>395.96</v>
      </c>
      <c r="I24" s="158">
        <f>ROUND(H24*1.1667,0)</f>
        <v>462</v>
      </c>
      <c r="J24" s="159">
        <f>ROUND((I24*0.992)*1.21,0)*(C24*D24*E24)</f>
        <v>12.312675</v>
      </c>
      <c r="K24" s="160">
        <f t="shared" si="5"/>
        <v>16.65</v>
      </c>
      <c r="L24" s="161">
        <f t="shared" si="18"/>
        <v>224</v>
      </c>
      <c r="M24" s="162">
        <f t="shared" si="7"/>
        <v>4.96944</v>
      </c>
      <c r="N24" s="163">
        <f t="shared" si="8"/>
        <v>165.648</v>
      </c>
      <c r="O24" s="171"/>
      <c r="P24" s="165" t="str">
        <f t="shared" si="9"/>
        <v/>
      </c>
      <c r="Q24" s="166"/>
      <c r="R24" s="167"/>
      <c r="S24" s="155">
        <f t="shared" si="10"/>
        <v>0</v>
      </c>
      <c r="T24" s="168">
        <v>224.0</v>
      </c>
      <c r="U24" s="169">
        <f t="shared" si="11"/>
        <v>2758.0392</v>
      </c>
      <c r="V24" s="38" t="str">
        <f t="shared" si="12"/>
        <v/>
      </c>
      <c r="W24" s="38" t="str">
        <f t="shared" si="13"/>
        <v/>
      </c>
      <c r="X24" s="11"/>
      <c r="Y24" s="11"/>
      <c r="Z24" s="11"/>
      <c r="AA24" s="11"/>
    </row>
    <row r="25" ht="13.5" customHeight="1" outlineLevel="1">
      <c r="A25" s="151"/>
      <c r="B25" s="208" t="s">
        <v>55</v>
      </c>
      <c r="C25" s="153">
        <v>0.045</v>
      </c>
      <c r="D25" s="196">
        <v>0.12</v>
      </c>
      <c r="E25" s="197">
        <v>3.0</v>
      </c>
      <c r="F25" s="156">
        <f t="shared" si="1"/>
        <v>0.0162</v>
      </c>
      <c r="G25" s="156">
        <f t="shared" si="2"/>
        <v>0.36</v>
      </c>
      <c r="H25" s="157">
        <v>382.56</v>
      </c>
      <c r="I25" s="158">
        <f>ROUND(H25*1.09,0)</f>
        <v>417</v>
      </c>
      <c r="J25" s="159">
        <f>ROUND((I25*0.91)*1.21,0)*(C25*D25*E25)</f>
        <v>7.4358</v>
      </c>
      <c r="K25" s="160">
        <f t="shared" si="5"/>
        <v>20.655</v>
      </c>
      <c r="L25" s="161">
        <f t="shared" si="18"/>
        <v>805</v>
      </c>
      <c r="M25" s="162">
        <f t="shared" si="7"/>
        <v>13.041</v>
      </c>
      <c r="N25" s="163">
        <f t="shared" si="8"/>
        <v>289.8</v>
      </c>
      <c r="O25" s="209"/>
      <c r="P25" s="165" t="str">
        <f t="shared" si="9"/>
        <v/>
      </c>
      <c r="Q25" s="172"/>
      <c r="R25" s="199"/>
      <c r="S25" s="155">
        <f t="shared" si="10"/>
        <v>0</v>
      </c>
      <c r="T25" s="168">
        <v>805.0</v>
      </c>
      <c r="U25" s="169">
        <f t="shared" si="11"/>
        <v>5985.819</v>
      </c>
      <c r="V25" s="38" t="str">
        <f t="shared" si="12"/>
        <v/>
      </c>
      <c r="W25" s="38" t="str">
        <f t="shared" si="13"/>
        <v/>
      </c>
      <c r="X25" s="11"/>
      <c r="Y25" s="11"/>
      <c r="Z25" s="11"/>
      <c r="AA25" s="11"/>
    </row>
    <row r="26" ht="13.5" customHeight="1" outlineLevel="1">
      <c r="A26" s="151"/>
      <c r="B26" s="152"/>
      <c r="C26" s="153">
        <v>0.045</v>
      </c>
      <c r="D26" s="170">
        <v>0.145</v>
      </c>
      <c r="E26" s="155">
        <v>6.0</v>
      </c>
      <c r="F26" s="156">
        <f t="shared" si="1"/>
        <v>0.03915</v>
      </c>
      <c r="G26" s="156">
        <f t="shared" si="2"/>
        <v>0.87</v>
      </c>
      <c r="H26" s="157">
        <v>380.44</v>
      </c>
      <c r="I26" s="158">
        <f>ROUND(H26*1.1667,0)</f>
        <v>444</v>
      </c>
      <c r="J26" s="159">
        <f>ROUND((I26*0.992)*1.21,0)*(C26*D26*E26)</f>
        <v>20.86695</v>
      </c>
      <c r="K26" s="160">
        <f t="shared" si="5"/>
        <v>23.985</v>
      </c>
      <c r="L26" s="161">
        <f t="shared" si="18"/>
        <v>23</v>
      </c>
      <c r="M26" s="162">
        <f t="shared" si="7"/>
        <v>0.90045</v>
      </c>
      <c r="N26" s="163">
        <f t="shared" si="8"/>
        <v>20.01</v>
      </c>
      <c r="O26" s="171"/>
      <c r="P26" s="165" t="str">
        <f t="shared" si="9"/>
        <v/>
      </c>
      <c r="Q26" s="166"/>
      <c r="R26" s="167"/>
      <c r="S26" s="155">
        <f t="shared" si="10"/>
        <v>0</v>
      </c>
      <c r="T26" s="168">
        <v>23.0</v>
      </c>
      <c r="U26" s="169">
        <f t="shared" si="11"/>
        <v>479.93985</v>
      </c>
      <c r="V26" s="38" t="str">
        <f t="shared" si="12"/>
        <v/>
      </c>
      <c r="W26" s="38" t="str">
        <f t="shared" si="13"/>
        <v/>
      </c>
      <c r="X26" s="11"/>
      <c r="Y26" s="11"/>
      <c r="Z26" s="11"/>
      <c r="AA26" s="11"/>
    </row>
    <row r="27" ht="13.5" customHeight="1" outlineLevel="1">
      <c r="A27" s="151"/>
      <c r="B27" s="200" t="s">
        <v>54</v>
      </c>
      <c r="C27" s="195">
        <v>0.045</v>
      </c>
      <c r="D27" s="87">
        <v>0.145</v>
      </c>
      <c r="E27" s="88">
        <v>6.0</v>
      </c>
      <c r="F27" s="156">
        <f t="shared" si="1"/>
        <v>0.03915</v>
      </c>
      <c r="G27" s="156">
        <f t="shared" si="2"/>
        <v>0.87</v>
      </c>
      <c r="H27" s="157">
        <v>380.44</v>
      </c>
      <c r="I27" s="158">
        <f t="shared" ref="I27:I28" si="19">ROUND(H27*1.025,0)</f>
        <v>390</v>
      </c>
      <c r="J27" s="159">
        <f t="shared" ref="J27:J28" si="20">ROUND((I27*0.83)*1.21,0)*(C27*D27*E27)</f>
        <v>15.3468</v>
      </c>
      <c r="K27" s="160">
        <f t="shared" si="5"/>
        <v>17.64</v>
      </c>
      <c r="L27" s="161">
        <f t="shared" si="18"/>
        <v>138</v>
      </c>
      <c r="M27" s="162">
        <f t="shared" si="7"/>
        <v>5.4027</v>
      </c>
      <c r="N27" s="163">
        <f t="shared" si="8"/>
        <v>120.06</v>
      </c>
      <c r="O27" s="207"/>
      <c r="P27" s="165" t="str">
        <f t="shared" si="9"/>
        <v/>
      </c>
      <c r="Q27" s="172"/>
      <c r="R27" s="167"/>
      <c r="S27" s="155">
        <f t="shared" si="10"/>
        <v>0</v>
      </c>
      <c r="T27" s="168">
        <v>138.0</v>
      </c>
      <c r="U27" s="169">
        <f t="shared" si="11"/>
        <v>2117.8584</v>
      </c>
      <c r="V27" s="38" t="str">
        <f t="shared" si="12"/>
        <v/>
      </c>
      <c r="W27" s="38" t="str">
        <f t="shared" si="13"/>
        <v/>
      </c>
      <c r="X27" s="11"/>
      <c r="Y27" s="11"/>
      <c r="Z27" s="11"/>
      <c r="AA27" s="11"/>
    </row>
    <row r="28" ht="13.5" customHeight="1" outlineLevel="1">
      <c r="A28" s="151"/>
      <c r="B28" s="200" t="s">
        <v>54</v>
      </c>
      <c r="C28" s="195">
        <v>0.045</v>
      </c>
      <c r="D28" s="87">
        <v>0.195</v>
      </c>
      <c r="E28" s="88">
        <v>6.0</v>
      </c>
      <c r="F28" s="156">
        <f t="shared" si="1"/>
        <v>0.05265</v>
      </c>
      <c r="G28" s="156">
        <f t="shared" si="2"/>
        <v>1.17</v>
      </c>
      <c r="H28" s="157">
        <v>377.82</v>
      </c>
      <c r="I28" s="158">
        <f t="shared" si="19"/>
        <v>387</v>
      </c>
      <c r="J28" s="159">
        <f t="shared" si="20"/>
        <v>20.48085</v>
      </c>
      <c r="K28" s="160">
        <f t="shared" si="5"/>
        <v>17.505</v>
      </c>
      <c r="L28" s="161">
        <f t="shared" si="18"/>
        <v>11</v>
      </c>
      <c r="M28" s="162">
        <f t="shared" si="7"/>
        <v>0.57915</v>
      </c>
      <c r="N28" s="163">
        <f t="shared" si="8"/>
        <v>12.87</v>
      </c>
      <c r="O28" s="207"/>
      <c r="P28" s="165" t="str">
        <f t="shared" si="9"/>
        <v/>
      </c>
      <c r="Q28" s="172"/>
      <c r="R28" s="167"/>
      <c r="S28" s="155">
        <f t="shared" si="10"/>
        <v>0</v>
      </c>
      <c r="T28" s="168">
        <v>11.0</v>
      </c>
      <c r="U28" s="169">
        <f t="shared" si="11"/>
        <v>225.28935</v>
      </c>
      <c r="V28" s="38" t="str">
        <f t="shared" si="12"/>
        <v/>
      </c>
      <c r="W28" s="38" t="str">
        <f t="shared" si="13"/>
        <v/>
      </c>
      <c r="X28" s="11"/>
      <c r="Y28" s="11"/>
      <c r="Z28" s="11"/>
      <c r="AA28" s="11"/>
    </row>
    <row r="29" ht="13.5" customHeight="1">
      <c r="A29" s="151"/>
      <c r="B29" s="210" t="s">
        <v>56</v>
      </c>
      <c r="C29" s="211"/>
      <c r="D29" s="212"/>
      <c r="E29" s="211"/>
      <c r="F29" s="213"/>
      <c r="G29" s="213"/>
      <c r="H29" s="214">
        <f t="shared" ref="H29:I29" si="21">AVERAGE(H3:H28)</f>
        <v>423.7029567</v>
      </c>
      <c r="I29" s="215">
        <f t="shared" si="21"/>
        <v>458.6923077</v>
      </c>
      <c r="J29" s="216"/>
      <c r="K29" s="214">
        <f>AVERAGE(K3:K28)</f>
        <v>15.8135</v>
      </c>
      <c r="L29" s="217"/>
      <c r="M29" s="218">
        <f>SUM(M3:M28)</f>
        <v>80.37456</v>
      </c>
      <c r="N29" s="214"/>
      <c r="O29" s="219"/>
      <c r="P29" s="220">
        <f t="shared" ref="P29:Q29" si="22">SUM(P3:P28)</f>
        <v>0</v>
      </c>
      <c r="Q29" s="221">
        <f t="shared" si="22"/>
        <v>0</v>
      </c>
      <c r="R29" s="222"/>
      <c r="S29" s="223">
        <f>SUM(S3:S28)</f>
        <v>0</v>
      </c>
      <c r="T29" s="224"/>
      <c r="U29" s="225">
        <f>SUM(U3:U28)</f>
        <v>47799.71111</v>
      </c>
      <c r="V29" s="38" t="str">
        <f t="shared" si="12"/>
        <v/>
      </c>
      <c r="W29" s="38" t="str">
        <f t="shared" si="13"/>
        <v/>
      </c>
      <c r="X29" s="11"/>
      <c r="Y29" s="11"/>
      <c r="Z29" s="11"/>
      <c r="AA29" s="11"/>
    </row>
    <row r="30" ht="13.5" customHeight="1">
      <c r="A30" s="151"/>
      <c r="B30" s="226" t="s">
        <v>57</v>
      </c>
      <c r="C30" s="227"/>
      <c r="D30" s="227"/>
      <c r="E30" s="226"/>
      <c r="F30" s="228"/>
      <c r="G30" s="228"/>
      <c r="H30" s="229"/>
      <c r="I30" s="230"/>
      <c r="J30" s="231"/>
      <c r="K30" s="226"/>
      <c r="L30" s="226"/>
      <c r="M30" s="226"/>
      <c r="N30" s="232"/>
      <c r="O30" s="233"/>
      <c r="P30" s="234"/>
      <c r="Q30" s="235"/>
      <c r="R30" s="236"/>
      <c r="S30" s="226"/>
      <c r="T30" s="226"/>
      <c r="U30" s="237"/>
      <c r="V30" s="38" t="str">
        <f t="shared" si="12"/>
        <v/>
      </c>
      <c r="W30" s="38" t="str">
        <f t="shared" si="13"/>
        <v/>
      </c>
      <c r="X30" s="11"/>
      <c r="Y30" s="11"/>
      <c r="Z30" s="11"/>
      <c r="AA30" s="11"/>
    </row>
    <row r="31" ht="13.5" customHeight="1" outlineLevel="1">
      <c r="A31" s="151"/>
      <c r="B31" s="85"/>
      <c r="C31" s="238">
        <v>0.01</v>
      </c>
      <c r="D31" s="239">
        <v>0.15</v>
      </c>
      <c r="E31" s="165">
        <v>4.8</v>
      </c>
      <c r="F31" s="156">
        <f t="shared" ref="F31:F57" si="23">C31*D31*E31</f>
        <v>0.0072</v>
      </c>
      <c r="G31" s="156">
        <f t="shared" ref="G31:G57" si="24">D31*E31</f>
        <v>0.72</v>
      </c>
      <c r="H31" s="240">
        <v>488.69</v>
      </c>
      <c r="I31" s="158">
        <f>ROUND(H31*1.104,0)</f>
        <v>540</v>
      </c>
      <c r="J31" s="159">
        <f t="shared" ref="J31:J57" si="25">ROUND((I31*0.992)*1.21,0)*(C31*D31*E31)</f>
        <v>4.6656</v>
      </c>
      <c r="K31" s="160">
        <f t="shared" ref="K31:K57" si="26">J31/(D31*E31)</f>
        <v>6.48</v>
      </c>
      <c r="L31" s="161">
        <f t="shared" ref="L31:L57" si="27">T31+R31-O31</f>
        <v>151</v>
      </c>
      <c r="M31" s="241">
        <f t="shared" ref="M31:M57" si="28">L31*F31</f>
        <v>1.0872</v>
      </c>
      <c r="N31" s="163">
        <f t="shared" ref="N31:N57" si="29">L31*G31</f>
        <v>108.72</v>
      </c>
      <c r="O31" s="242"/>
      <c r="P31" s="165" t="str">
        <f t="shared" ref="P31:P35" si="30">IF(O31="","",(O31*F31))</f>
        <v/>
      </c>
      <c r="Q31" s="166"/>
      <c r="R31" s="243"/>
      <c r="S31" s="165">
        <f t="shared" ref="S31:S57" si="31">R31*F31</f>
        <v>0</v>
      </c>
      <c r="T31" s="244">
        <v>151.0</v>
      </c>
      <c r="U31" s="169">
        <f t="shared" ref="U31:U57" si="32">J31*L31</f>
        <v>704.5056</v>
      </c>
      <c r="V31" s="38" t="str">
        <f t="shared" si="12"/>
        <v/>
      </c>
      <c r="W31" s="38" t="str">
        <f t="shared" si="13"/>
        <v/>
      </c>
      <c r="X31" s="11"/>
      <c r="Y31" s="11"/>
      <c r="Z31" s="11"/>
      <c r="AA31" s="11"/>
    </row>
    <row r="32" ht="13.5" customHeight="1" outlineLevel="1">
      <c r="A32" s="151"/>
      <c r="B32" s="85"/>
      <c r="C32" s="238">
        <v>0.01</v>
      </c>
      <c r="D32" s="239">
        <v>0.15</v>
      </c>
      <c r="E32" s="245">
        <v>5.1</v>
      </c>
      <c r="F32" s="156">
        <f t="shared" si="23"/>
        <v>0.00765</v>
      </c>
      <c r="G32" s="156">
        <f t="shared" si="24"/>
        <v>0.765</v>
      </c>
      <c r="H32" s="240">
        <v>488.69</v>
      </c>
      <c r="I32" s="158">
        <f>ROUND(H32*1.089,0)</f>
        <v>532</v>
      </c>
      <c r="J32" s="159">
        <f t="shared" si="25"/>
        <v>4.88835</v>
      </c>
      <c r="K32" s="160">
        <f t="shared" si="26"/>
        <v>6.39</v>
      </c>
      <c r="L32" s="161">
        <f t="shared" si="27"/>
        <v>22</v>
      </c>
      <c r="M32" s="241">
        <f t="shared" si="28"/>
        <v>0.1683</v>
      </c>
      <c r="N32" s="163">
        <f t="shared" si="29"/>
        <v>16.83</v>
      </c>
      <c r="O32" s="246"/>
      <c r="P32" s="165" t="str">
        <f t="shared" si="30"/>
        <v/>
      </c>
      <c r="Q32" s="166"/>
      <c r="R32" s="247"/>
      <c r="S32" s="165">
        <f t="shared" si="31"/>
        <v>0</v>
      </c>
      <c r="T32" s="244">
        <v>22.0</v>
      </c>
      <c r="U32" s="169">
        <f t="shared" si="32"/>
        <v>107.5437</v>
      </c>
      <c r="V32" s="38" t="str">
        <f t="shared" si="12"/>
        <v/>
      </c>
      <c r="W32" s="38" t="str">
        <f t="shared" si="13"/>
        <v/>
      </c>
      <c r="X32" s="11"/>
      <c r="Y32" s="11"/>
      <c r="Z32" s="11"/>
      <c r="AA32" s="11"/>
    </row>
    <row r="33" ht="13.5" customHeight="1" outlineLevel="1">
      <c r="A33" s="151"/>
      <c r="B33" s="248"/>
      <c r="C33" s="249">
        <v>0.012</v>
      </c>
      <c r="D33" s="170">
        <v>0.12</v>
      </c>
      <c r="E33" s="250">
        <v>4.5</v>
      </c>
      <c r="F33" s="156">
        <f t="shared" si="23"/>
        <v>0.00648</v>
      </c>
      <c r="G33" s="156">
        <f t="shared" si="24"/>
        <v>0.54</v>
      </c>
      <c r="H33" s="240">
        <v>615.0</v>
      </c>
      <c r="I33" s="158">
        <f t="shared" ref="I33:I39" si="33">ROUND(H33*1.1667,0)</f>
        <v>718</v>
      </c>
      <c r="J33" s="159">
        <f t="shared" si="25"/>
        <v>5.58576</v>
      </c>
      <c r="K33" s="160">
        <f t="shared" si="26"/>
        <v>10.344</v>
      </c>
      <c r="L33" s="161">
        <f t="shared" si="27"/>
        <v>616</v>
      </c>
      <c r="M33" s="241">
        <f t="shared" si="28"/>
        <v>3.99168</v>
      </c>
      <c r="N33" s="163">
        <f t="shared" si="29"/>
        <v>332.64</v>
      </c>
      <c r="O33" s="242"/>
      <c r="P33" s="165" t="str">
        <f t="shared" si="30"/>
        <v/>
      </c>
      <c r="Q33" s="166"/>
      <c r="R33" s="243"/>
      <c r="S33" s="165">
        <f t="shared" si="31"/>
        <v>0</v>
      </c>
      <c r="T33" s="244">
        <v>616.0</v>
      </c>
      <c r="U33" s="169">
        <f t="shared" si="32"/>
        <v>3440.82816</v>
      </c>
      <c r="V33" s="38" t="str">
        <f t="shared" si="12"/>
        <v/>
      </c>
      <c r="W33" s="38" t="str">
        <f t="shared" si="13"/>
        <v/>
      </c>
      <c r="X33" s="11"/>
      <c r="Y33" s="11"/>
      <c r="Z33" s="11"/>
      <c r="AA33" s="11"/>
    </row>
    <row r="34" ht="13.5" customHeight="1" outlineLevel="1">
      <c r="A34" s="151"/>
      <c r="B34" s="248"/>
      <c r="C34" s="249">
        <v>0.014</v>
      </c>
      <c r="D34" s="170">
        <v>0.09</v>
      </c>
      <c r="E34" s="155">
        <v>2.4</v>
      </c>
      <c r="F34" s="156">
        <f t="shared" si="23"/>
        <v>0.003024</v>
      </c>
      <c r="G34" s="156">
        <f t="shared" si="24"/>
        <v>0.216</v>
      </c>
      <c r="H34" s="240">
        <v>456.57</v>
      </c>
      <c r="I34" s="158">
        <f t="shared" si="33"/>
        <v>533</v>
      </c>
      <c r="J34" s="159">
        <f t="shared" si="25"/>
        <v>1.93536</v>
      </c>
      <c r="K34" s="160">
        <f t="shared" si="26"/>
        <v>8.96</v>
      </c>
      <c r="L34" s="161">
        <f t="shared" si="27"/>
        <v>99</v>
      </c>
      <c r="M34" s="241">
        <f t="shared" si="28"/>
        <v>0.299376</v>
      </c>
      <c r="N34" s="163">
        <f t="shared" si="29"/>
        <v>21.384</v>
      </c>
      <c r="O34" s="242"/>
      <c r="P34" s="165" t="str">
        <f t="shared" si="30"/>
        <v/>
      </c>
      <c r="Q34" s="166"/>
      <c r="R34" s="243"/>
      <c r="S34" s="165">
        <f t="shared" si="31"/>
        <v>0</v>
      </c>
      <c r="T34" s="244">
        <v>99.0</v>
      </c>
      <c r="U34" s="169">
        <f t="shared" si="32"/>
        <v>191.60064</v>
      </c>
      <c r="V34" s="38" t="str">
        <f t="shared" si="12"/>
        <v/>
      </c>
      <c r="W34" s="38" t="str">
        <f t="shared" si="13"/>
        <v/>
      </c>
      <c r="X34" s="11"/>
      <c r="Y34" s="11"/>
      <c r="Z34" s="11"/>
      <c r="AA34" s="11"/>
    </row>
    <row r="35" ht="13.5" customHeight="1" outlineLevel="1">
      <c r="A35" s="151"/>
      <c r="B35" s="248" t="s">
        <v>58</v>
      </c>
      <c r="C35" s="249">
        <v>0.014</v>
      </c>
      <c r="D35" s="170">
        <v>0.121</v>
      </c>
      <c r="E35" s="155">
        <v>4.8</v>
      </c>
      <c r="F35" s="156">
        <f t="shared" si="23"/>
        <v>0.0081312</v>
      </c>
      <c r="G35" s="156">
        <f t="shared" si="24"/>
        <v>0.5808</v>
      </c>
      <c r="H35" s="240">
        <v>445.0</v>
      </c>
      <c r="I35" s="158">
        <f t="shared" si="33"/>
        <v>519</v>
      </c>
      <c r="J35" s="159">
        <f t="shared" si="25"/>
        <v>5.0657376</v>
      </c>
      <c r="K35" s="160">
        <f t="shared" si="26"/>
        <v>8.722</v>
      </c>
      <c r="L35" s="161">
        <f t="shared" si="27"/>
        <v>58</v>
      </c>
      <c r="M35" s="241">
        <f t="shared" si="28"/>
        <v>0.4716096</v>
      </c>
      <c r="N35" s="163">
        <f t="shared" si="29"/>
        <v>33.6864</v>
      </c>
      <c r="O35" s="242"/>
      <c r="P35" s="165" t="str">
        <f t="shared" si="30"/>
        <v/>
      </c>
      <c r="Q35" s="166"/>
      <c r="R35" s="243"/>
      <c r="S35" s="165">
        <f t="shared" si="31"/>
        <v>0</v>
      </c>
      <c r="T35" s="244">
        <v>58.0</v>
      </c>
      <c r="U35" s="169">
        <f t="shared" si="32"/>
        <v>293.8127808</v>
      </c>
      <c r="V35" s="38" t="str">
        <f t="shared" si="12"/>
        <v/>
      </c>
      <c r="W35" s="38" t="str">
        <f t="shared" si="13"/>
        <v/>
      </c>
      <c r="X35" s="11"/>
      <c r="Y35" s="11"/>
      <c r="Z35" s="11"/>
      <c r="AA35" s="11"/>
    </row>
    <row r="36" ht="13.5" customHeight="1" outlineLevel="1">
      <c r="A36" s="151"/>
      <c r="B36" s="248" t="s">
        <v>59</v>
      </c>
      <c r="C36" s="249">
        <v>0.014</v>
      </c>
      <c r="D36" s="170">
        <v>0.121</v>
      </c>
      <c r="E36" s="155">
        <v>4.8</v>
      </c>
      <c r="F36" s="156">
        <f t="shared" si="23"/>
        <v>0.0081312</v>
      </c>
      <c r="G36" s="156">
        <f t="shared" si="24"/>
        <v>0.5808</v>
      </c>
      <c r="H36" s="240">
        <v>445.0</v>
      </c>
      <c r="I36" s="158">
        <f t="shared" si="33"/>
        <v>519</v>
      </c>
      <c r="J36" s="159">
        <f t="shared" si="25"/>
        <v>5.0657376</v>
      </c>
      <c r="K36" s="160">
        <f t="shared" si="26"/>
        <v>8.722</v>
      </c>
      <c r="L36" s="161">
        <f t="shared" si="27"/>
        <v>257</v>
      </c>
      <c r="M36" s="241">
        <f t="shared" si="28"/>
        <v>2.0897184</v>
      </c>
      <c r="N36" s="163">
        <f t="shared" si="29"/>
        <v>149.2656</v>
      </c>
      <c r="O36" s="242"/>
      <c r="P36" s="165"/>
      <c r="Q36" s="166"/>
      <c r="R36" s="243"/>
      <c r="S36" s="165">
        <f t="shared" si="31"/>
        <v>0</v>
      </c>
      <c r="T36" s="244">
        <v>257.0</v>
      </c>
      <c r="U36" s="169">
        <f t="shared" si="32"/>
        <v>1301.894563</v>
      </c>
      <c r="V36" s="38" t="str">
        <f t="shared" si="12"/>
        <v/>
      </c>
      <c r="W36" s="38" t="str">
        <f t="shared" si="13"/>
        <v/>
      </c>
      <c r="X36" s="11"/>
      <c r="Y36" s="11"/>
      <c r="Z36" s="11"/>
      <c r="AA36" s="11"/>
    </row>
    <row r="37" ht="13.5" customHeight="1" outlineLevel="1">
      <c r="A37" s="151"/>
      <c r="B37" s="248"/>
      <c r="C37" s="251">
        <v>0.018</v>
      </c>
      <c r="D37" s="170">
        <v>0.12</v>
      </c>
      <c r="E37" s="88">
        <v>4.5</v>
      </c>
      <c r="F37" s="156">
        <f t="shared" si="23"/>
        <v>0.00972</v>
      </c>
      <c r="G37" s="156">
        <f t="shared" si="24"/>
        <v>0.54</v>
      </c>
      <c r="H37" s="240">
        <v>450.0</v>
      </c>
      <c r="I37" s="158">
        <f t="shared" si="33"/>
        <v>525</v>
      </c>
      <c r="J37" s="159">
        <f t="shared" si="25"/>
        <v>6.1236</v>
      </c>
      <c r="K37" s="160">
        <f t="shared" si="26"/>
        <v>11.34</v>
      </c>
      <c r="L37" s="161">
        <f t="shared" si="27"/>
        <v>59</v>
      </c>
      <c r="M37" s="241">
        <f t="shared" si="28"/>
        <v>0.57348</v>
      </c>
      <c r="N37" s="163">
        <f t="shared" si="29"/>
        <v>31.86</v>
      </c>
      <c r="O37" s="242"/>
      <c r="P37" s="165" t="str">
        <f t="shared" ref="P37:P57" si="34">IF(O37="","",(O37*F37))</f>
        <v/>
      </c>
      <c r="Q37" s="166"/>
      <c r="R37" s="243"/>
      <c r="S37" s="165">
        <f t="shared" si="31"/>
        <v>0</v>
      </c>
      <c r="T37" s="244">
        <v>59.0</v>
      </c>
      <c r="U37" s="169">
        <f t="shared" si="32"/>
        <v>361.2924</v>
      </c>
      <c r="V37" s="38" t="str">
        <f t="shared" si="12"/>
        <v/>
      </c>
      <c r="W37" s="38" t="str">
        <f t="shared" si="13"/>
        <v/>
      </c>
      <c r="X37" s="11"/>
      <c r="Y37" s="11"/>
      <c r="Z37" s="11"/>
      <c r="AA37" s="11"/>
    </row>
    <row r="38" ht="13.5" customHeight="1" outlineLevel="1">
      <c r="A38" s="151"/>
      <c r="B38" s="248"/>
      <c r="C38" s="249">
        <v>0.018</v>
      </c>
      <c r="D38" s="170">
        <v>0.121</v>
      </c>
      <c r="E38" s="155">
        <v>3.9</v>
      </c>
      <c r="F38" s="156">
        <f t="shared" si="23"/>
        <v>0.0084942</v>
      </c>
      <c r="G38" s="156">
        <f t="shared" si="24"/>
        <v>0.4719</v>
      </c>
      <c r="H38" s="240">
        <v>477.5</v>
      </c>
      <c r="I38" s="158">
        <f t="shared" si="33"/>
        <v>557</v>
      </c>
      <c r="J38" s="159">
        <f t="shared" si="25"/>
        <v>5.6826198</v>
      </c>
      <c r="K38" s="160">
        <f t="shared" si="26"/>
        <v>12.042</v>
      </c>
      <c r="L38" s="161">
        <f t="shared" si="27"/>
        <v>148</v>
      </c>
      <c r="M38" s="241">
        <f t="shared" si="28"/>
        <v>1.2571416</v>
      </c>
      <c r="N38" s="163">
        <f t="shared" si="29"/>
        <v>69.8412</v>
      </c>
      <c r="O38" s="252"/>
      <c r="P38" s="165" t="str">
        <f t="shared" si="34"/>
        <v/>
      </c>
      <c r="Q38" s="172"/>
      <c r="R38" s="243"/>
      <c r="S38" s="165">
        <f t="shared" si="31"/>
        <v>0</v>
      </c>
      <c r="T38" s="244">
        <v>148.0</v>
      </c>
      <c r="U38" s="169">
        <f t="shared" si="32"/>
        <v>841.0277304</v>
      </c>
      <c r="V38" s="38" t="str">
        <f t="shared" si="12"/>
        <v/>
      </c>
      <c r="W38" s="38" t="str">
        <f t="shared" si="13"/>
        <v/>
      </c>
      <c r="X38" s="11"/>
      <c r="Y38" s="11"/>
      <c r="Z38" s="11"/>
      <c r="AA38" s="11"/>
    </row>
    <row r="39" ht="13.5" customHeight="1" outlineLevel="1">
      <c r="A39" s="151"/>
      <c r="B39" s="85"/>
      <c r="C39" s="238">
        <v>0.018</v>
      </c>
      <c r="D39" s="239">
        <v>0.145</v>
      </c>
      <c r="E39" s="245">
        <v>3.0</v>
      </c>
      <c r="F39" s="156">
        <f t="shared" si="23"/>
        <v>0.00783</v>
      </c>
      <c r="G39" s="156">
        <f t="shared" si="24"/>
        <v>0.435</v>
      </c>
      <c r="H39" s="240">
        <v>340.0</v>
      </c>
      <c r="I39" s="158">
        <f t="shared" si="33"/>
        <v>397</v>
      </c>
      <c r="J39" s="159">
        <f t="shared" si="25"/>
        <v>3.73491</v>
      </c>
      <c r="K39" s="160">
        <f t="shared" si="26"/>
        <v>8.586</v>
      </c>
      <c r="L39" s="161">
        <f t="shared" si="27"/>
        <v>0</v>
      </c>
      <c r="M39" s="241">
        <f t="shared" si="28"/>
        <v>0</v>
      </c>
      <c r="N39" s="206">
        <f t="shared" si="29"/>
        <v>0</v>
      </c>
      <c r="O39" s="242"/>
      <c r="P39" s="165" t="str">
        <f t="shared" si="34"/>
        <v/>
      </c>
      <c r="Q39" s="166"/>
      <c r="R39" s="243"/>
      <c r="S39" s="165">
        <f t="shared" si="31"/>
        <v>0</v>
      </c>
      <c r="T39" s="244">
        <v>0.0</v>
      </c>
      <c r="U39" s="169">
        <f t="shared" si="32"/>
        <v>0</v>
      </c>
      <c r="V39" s="38" t="str">
        <f t="shared" si="12"/>
        <v/>
      </c>
      <c r="W39" s="38" t="str">
        <f t="shared" si="13"/>
        <v/>
      </c>
      <c r="X39" s="253"/>
      <c r="Y39" s="11"/>
      <c r="Z39" s="11"/>
      <c r="AA39" s="11"/>
    </row>
    <row r="40" ht="13.5" customHeight="1" outlineLevel="1">
      <c r="A40" s="151"/>
      <c r="B40" s="85" t="s">
        <v>60</v>
      </c>
      <c r="C40" s="86">
        <v>0.018</v>
      </c>
      <c r="D40" s="170">
        <v>0.145</v>
      </c>
      <c r="E40" s="155">
        <v>6.0</v>
      </c>
      <c r="F40" s="156">
        <f t="shared" si="23"/>
        <v>0.01566</v>
      </c>
      <c r="G40" s="156">
        <f t="shared" si="24"/>
        <v>0.87</v>
      </c>
      <c r="H40" s="240">
        <v>427.02</v>
      </c>
      <c r="I40" s="158">
        <f t="shared" ref="I40:I41" si="35">ROUND(H40*1.063,0)</f>
        <v>454</v>
      </c>
      <c r="J40" s="159">
        <f t="shared" si="25"/>
        <v>8.5347</v>
      </c>
      <c r="K40" s="160">
        <f t="shared" si="26"/>
        <v>9.81</v>
      </c>
      <c r="L40" s="161">
        <f t="shared" si="27"/>
        <v>618</v>
      </c>
      <c r="M40" s="241">
        <f t="shared" si="28"/>
        <v>9.67788</v>
      </c>
      <c r="N40" s="163">
        <f t="shared" si="29"/>
        <v>537.66</v>
      </c>
      <c r="O40" s="246"/>
      <c r="P40" s="165" t="str">
        <f t="shared" si="34"/>
        <v/>
      </c>
      <c r="Q40" s="166"/>
      <c r="R40" s="243"/>
      <c r="S40" s="165">
        <f t="shared" si="31"/>
        <v>0</v>
      </c>
      <c r="T40" s="244">
        <v>618.0</v>
      </c>
      <c r="U40" s="169">
        <f t="shared" si="32"/>
        <v>5274.4446</v>
      </c>
      <c r="V40" s="38" t="str">
        <f t="shared" si="12"/>
        <v/>
      </c>
      <c r="W40" s="38" t="str">
        <f t="shared" si="13"/>
        <v/>
      </c>
      <c r="X40" s="11"/>
      <c r="Y40" s="11"/>
      <c r="Z40" s="11"/>
      <c r="AA40" s="11"/>
    </row>
    <row r="41" ht="13.5" customHeight="1" outlineLevel="1">
      <c r="A41" s="151"/>
      <c r="B41" s="85" t="s">
        <v>30</v>
      </c>
      <c r="C41" s="86">
        <v>0.018</v>
      </c>
      <c r="D41" s="87">
        <v>0.145</v>
      </c>
      <c r="E41" s="88">
        <v>6.0</v>
      </c>
      <c r="F41" s="156">
        <f t="shared" si="23"/>
        <v>0.01566</v>
      </c>
      <c r="G41" s="156">
        <f t="shared" si="24"/>
        <v>0.87</v>
      </c>
      <c r="H41" s="240">
        <v>427.02</v>
      </c>
      <c r="I41" s="158">
        <f t="shared" si="35"/>
        <v>454</v>
      </c>
      <c r="J41" s="159">
        <f t="shared" si="25"/>
        <v>8.5347</v>
      </c>
      <c r="K41" s="160">
        <f t="shared" si="26"/>
        <v>9.81</v>
      </c>
      <c r="L41" s="161">
        <f t="shared" si="27"/>
        <v>36</v>
      </c>
      <c r="M41" s="241">
        <f t="shared" si="28"/>
        <v>0.56376</v>
      </c>
      <c r="N41" s="163">
        <f t="shared" si="29"/>
        <v>31.32</v>
      </c>
      <c r="O41" s="246"/>
      <c r="P41" s="165" t="str">
        <f t="shared" si="34"/>
        <v/>
      </c>
      <c r="Q41" s="166"/>
      <c r="R41" s="243"/>
      <c r="S41" s="165">
        <f t="shared" si="31"/>
        <v>0</v>
      </c>
      <c r="T41" s="244">
        <v>36.0</v>
      </c>
      <c r="U41" s="169">
        <f t="shared" si="32"/>
        <v>307.2492</v>
      </c>
      <c r="V41" s="38" t="str">
        <f t="shared" si="12"/>
        <v/>
      </c>
      <c r="W41" s="38" t="str">
        <f t="shared" si="13"/>
        <v/>
      </c>
      <c r="X41" s="11"/>
      <c r="Y41" s="11"/>
      <c r="Z41" s="11"/>
      <c r="AA41" s="11"/>
    </row>
    <row r="42" ht="13.5" customHeight="1" outlineLevel="1">
      <c r="A42" s="151"/>
      <c r="B42" s="248"/>
      <c r="C42" s="254">
        <v>0.019</v>
      </c>
      <c r="D42" s="255">
        <v>0.146</v>
      </c>
      <c r="E42" s="165">
        <v>4.8</v>
      </c>
      <c r="F42" s="156">
        <f t="shared" si="23"/>
        <v>0.0133152</v>
      </c>
      <c r="G42" s="156">
        <f t="shared" si="24"/>
        <v>0.7008</v>
      </c>
      <c r="H42" s="240">
        <v>415.0</v>
      </c>
      <c r="I42" s="158">
        <f>ROUND(H42*1.1667,0)</f>
        <v>484</v>
      </c>
      <c r="J42" s="159">
        <f t="shared" si="25"/>
        <v>7.7361312</v>
      </c>
      <c r="K42" s="160">
        <f t="shared" si="26"/>
        <v>11.039</v>
      </c>
      <c r="L42" s="161">
        <f t="shared" si="27"/>
        <v>210</v>
      </c>
      <c r="M42" s="241">
        <f t="shared" si="28"/>
        <v>2.796192</v>
      </c>
      <c r="N42" s="163">
        <f t="shared" si="29"/>
        <v>147.168</v>
      </c>
      <c r="O42" s="242"/>
      <c r="P42" s="165" t="str">
        <f t="shared" si="34"/>
        <v/>
      </c>
      <c r="Q42" s="166"/>
      <c r="R42" s="243"/>
      <c r="S42" s="165">
        <f t="shared" si="31"/>
        <v>0</v>
      </c>
      <c r="T42" s="244">
        <v>210.0</v>
      </c>
      <c r="U42" s="169">
        <f t="shared" si="32"/>
        <v>1624.587552</v>
      </c>
      <c r="V42" s="38" t="str">
        <f t="shared" si="12"/>
        <v/>
      </c>
      <c r="W42" s="38" t="str">
        <f t="shared" si="13"/>
        <v/>
      </c>
      <c r="X42" s="11"/>
      <c r="Y42" s="11"/>
      <c r="Z42" s="11"/>
      <c r="AA42" s="11"/>
    </row>
    <row r="43" ht="13.5" customHeight="1" outlineLevel="1">
      <c r="A43" s="151"/>
      <c r="B43" s="248"/>
      <c r="C43" s="249">
        <v>0.02</v>
      </c>
      <c r="D43" s="170">
        <v>0.095</v>
      </c>
      <c r="E43" s="155">
        <v>4.8</v>
      </c>
      <c r="F43" s="156">
        <f t="shared" si="23"/>
        <v>0.00912</v>
      </c>
      <c r="G43" s="156">
        <f t="shared" si="24"/>
        <v>0.456</v>
      </c>
      <c r="H43" s="240">
        <v>425.18</v>
      </c>
      <c r="I43" s="158">
        <f>ROUND(H43*1.05,0)</f>
        <v>446</v>
      </c>
      <c r="J43" s="159">
        <f t="shared" si="25"/>
        <v>4.8792</v>
      </c>
      <c r="K43" s="160">
        <f t="shared" si="26"/>
        <v>10.7</v>
      </c>
      <c r="L43" s="161">
        <f t="shared" si="27"/>
        <v>120</v>
      </c>
      <c r="M43" s="241">
        <f t="shared" si="28"/>
        <v>1.0944</v>
      </c>
      <c r="N43" s="163">
        <f t="shared" si="29"/>
        <v>54.72</v>
      </c>
      <c r="O43" s="252"/>
      <c r="P43" s="165" t="str">
        <f t="shared" si="34"/>
        <v/>
      </c>
      <c r="Q43" s="172"/>
      <c r="R43" s="243"/>
      <c r="S43" s="165">
        <f t="shared" si="31"/>
        <v>0</v>
      </c>
      <c r="T43" s="244">
        <v>120.0</v>
      </c>
      <c r="U43" s="169">
        <f t="shared" si="32"/>
        <v>585.504</v>
      </c>
      <c r="V43" s="38" t="str">
        <f t="shared" si="12"/>
        <v/>
      </c>
      <c r="W43" s="38" t="str">
        <f t="shared" si="13"/>
        <v/>
      </c>
      <c r="X43" s="11"/>
      <c r="Y43" s="11"/>
      <c r="Z43" s="11"/>
      <c r="AA43" s="11"/>
    </row>
    <row r="44" ht="13.5" customHeight="1" outlineLevel="1">
      <c r="A44" s="151"/>
      <c r="B44" s="248"/>
      <c r="C44" s="249">
        <v>0.02</v>
      </c>
      <c r="D44" s="170">
        <v>0.095</v>
      </c>
      <c r="E44" s="155">
        <v>6.0</v>
      </c>
      <c r="F44" s="156">
        <f t="shared" si="23"/>
        <v>0.0114</v>
      </c>
      <c r="G44" s="156">
        <f t="shared" si="24"/>
        <v>0.57</v>
      </c>
      <c r="H44" s="240">
        <v>425.18</v>
      </c>
      <c r="I44" s="158">
        <f>ROUND(H44*1.07,0)</f>
        <v>455</v>
      </c>
      <c r="J44" s="159">
        <f t="shared" si="25"/>
        <v>6.2244</v>
      </c>
      <c r="K44" s="160">
        <f t="shared" si="26"/>
        <v>10.92</v>
      </c>
      <c r="L44" s="161">
        <f t="shared" si="27"/>
        <v>26</v>
      </c>
      <c r="M44" s="241">
        <f t="shared" si="28"/>
        <v>0.2964</v>
      </c>
      <c r="N44" s="206">
        <f t="shared" si="29"/>
        <v>14.82</v>
      </c>
      <c r="O44" s="242"/>
      <c r="P44" s="165" t="str">
        <f t="shared" si="34"/>
        <v/>
      </c>
      <c r="Q44" s="166"/>
      <c r="R44" s="243"/>
      <c r="S44" s="165">
        <f t="shared" si="31"/>
        <v>0</v>
      </c>
      <c r="T44" s="244">
        <v>26.0</v>
      </c>
      <c r="U44" s="169">
        <f t="shared" si="32"/>
        <v>161.8344</v>
      </c>
      <c r="V44" s="38" t="str">
        <f t="shared" si="12"/>
        <v/>
      </c>
      <c r="W44" s="38" t="str">
        <f t="shared" si="13"/>
        <v/>
      </c>
      <c r="X44" s="11"/>
      <c r="Y44" s="11"/>
      <c r="Z44" s="11"/>
      <c r="AA44" s="11"/>
    </row>
    <row r="45" ht="13.5" customHeight="1" outlineLevel="1">
      <c r="A45" s="151"/>
      <c r="B45" s="248"/>
      <c r="C45" s="249">
        <v>0.02</v>
      </c>
      <c r="D45" s="170">
        <v>0.1</v>
      </c>
      <c r="E45" s="155">
        <v>4.0</v>
      </c>
      <c r="F45" s="156">
        <f t="shared" si="23"/>
        <v>0.008</v>
      </c>
      <c r="G45" s="156">
        <f t="shared" si="24"/>
        <v>0.4</v>
      </c>
      <c r="H45" s="240">
        <v>424.32</v>
      </c>
      <c r="I45" s="158">
        <f>ROUND(H45*1.1667,0)</f>
        <v>495</v>
      </c>
      <c r="J45" s="159">
        <f t="shared" si="25"/>
        <v>4.752</v>
      </c>
      <c r="K45" s="160">
        <f t="shared" si="26"/>
        <v>11.88</v>
      </c>
      <c r="L45" s="161">
        <f t="shared" si="27"/>
        <v>162</v>
      </c>
      <c r="M45" s="241">
        <f t="shared" si="28"/>
        <v>1.296</v>
      </c>
      <c r="N45" s="163">
        <f t="shared" si="29"/>
        <v>64.8</v>
      </c>
      <c r="O45" s="252"/>
      <c r="P45" s="165" t="str">
        <f t="shared" si="34"/>
        <v/>
      </c>
      <c r="Q45" s="172"/>
      <c r="R45" s="243"/>
      <c r="S45" s="165">
        <f t="shared" si="31"/>
        <v>0</v>
      </c>
      <c r="T45" s="244">
        <v>162.0</v>
      </c>
      <c r="U45" s="169">
        <f t="shared" si="32"/>
        <v>769.824</v>
      </c>
      <c r="V45" s="38" t="str">
        <f t="shared" si="12"/>
        <v/>
      </c>
      <c r="W45" s="38" t="str">
        <f t="shared" si="13"/>
        <v/>
      </c>
      <c r="X45" s="11"/>
      <c r="Y45" s="11"/>
      <c r="Z45" s="11"/>
      <c r="AA45" s="11"/>
    </row>
    <row r="46" ht="13.5" customHeight="1" outlineLevel="1">
      <c r="A46" s="151"/>
      <c r="B46" s="248"/>
      <c r="C46" s="249">
        <v>0.02</v>
      </c>
      <c r="D46" s="170">
        <v>0.115</v>
      </c>
      <c r="E46" s="155">
        <v>3.0</v>
      </c>
      <c r="F46" s="156">
        <f t="shared" si="23"/>
        <v>0.0069</v>
      </c>
      <c r="G46" s="156">
        <f t="shared" si="24"/>
        <v>0.345</v>
      </c>
      <c r="H46" s="240">
        <v>422.19</v>
      </c>
      <c r="I46" s="158">
        <f>ROUND(H46*1.1,0)</f>
        <v>464</v>
      </c>
      <c r="J46" s="159">
        <f t="shared" si="25"/>
        <v>3.8433</v>
      </c>
      <c r="K46" s="160">
        <f t="shared" si="26"/>
        <v>11.14</v>
      </c>
      <c r="L46" s="161">
        <f t="shared" si="27"/>
        <v>249</v>
      </c>
      <c r="M46" s="241">
        <f t="shared" si="28"/>
        <v>1.7181</v>
      </c>
      <c r="N46" s="163">
        <f t="shared" si="29"/>
        <v>85.905</v>
      </c>
      <c r="O46" s="252"/>
      <c r="P46" s="165" t="str">
        <f t="shared" si="34"/>
        <v/>
      </c>
      <c r="Q46" s="172"/>
      <c r="R46" s="243"/>
      <c r="S46" s="165">
        <f t="shared" si="31"/>
        <v>0</v>
      </c>
      <c r="T46" s="244">
        <v>249.0</v>
      </c>
      <c r="U46" s="169">
        <f t="shared" si="32"/>
        <v>956.9817</v>
      </c>
      <c r="V46" s="38" t="str">
        <f t="shared" si="12"/>
        <v/>
      </c>
      <c r="W46" s="38" t="str">
        <f t="shared" si="13"/>
        <v/>
      </c>
      <c r="X46" s="11"/>
      <c r="Y46" s="11"/>
      <c r="Z46" s="11"/>
      <c r="AA46" s="11"/>
    </row>
    <row r="47" ht="13.5" customHeight="1" outlineLevel="1">
      <c r="A47" s="151"/>
      <c r="B47" s="85"/>
      <c r="C47" s="238">
        <v>0.02</v>
      </c>
      <c r="D47" s="239">
        <v>0.145</v>
      </c>
      <c r="E47" s="245">
        <v>4.8</v>
      </c>
      <c r="F47" s="156">
        <f t="shared" si="23"/>
        <v>0.01392</v>
      </c>
      <c r="G47" s="156">
        <f t="shared" si="24"/>
        <v>0.696</v>
      </c>
      <c r="H47" s="240">
        <v>419.26</v>
      </c>
      <c r="I47" s="158">
        <f>ROUND(H47*1.08,0)</f>
        <v>453</v>
      </c>
      <c r="J47" s="159">
        <f t="shared" si="25"/>
        <v>7.57248</v>
      </c>
      <c r="K47" s="160">
        <f t="shared" si="26"/>
        <v>10.88</v>
      </c>
      <c r="L47" s="161">
        <f t="shared" si="27"/>
        <v>15</v>
      </c>
      <c r="M47" s="241">
        <f t="shared" si="28"/>
        <v>0.2088</v>
      </c>
      <c r="N47" s="206">
        <f t="shared" si="29"/>
        <v>10.44</v>
      </c>
      <c r="O47" s="256"/>
      <c r="P47" s="165" t="str">
        <f t="shared" si="34"/>
        <v/>
      </c>
      <c r="Q47" s="172"/>
      <c r="R47" s="243"/>
      <c r="S47" s="165">
        <f t="shared" si="31"/>
        <v>0</v>
      </c>
      <c r="T47" s="244">
        <v>15.0</v>
      </c>
      <c r="U47" s="169">
        <f t="shared" si="32"/>
        <v>113.5872</v>
      </c>
      <c r="V47" s="38" t="str">
        <f t="shared" si="12"/>
        <v/>
      </c>
      <c r="W47" s="38" t="str">
        <f t="shared" si="13"/>
        <v/>
      </c>
      <c r="X47" s="11"/>
      <c r="Y47" s="11"/>
      <c r="Z47" s="11"/>
      <c r="AA47" s="11"/>
    </row>
    <row r="48" ht="13.5" customHeight="1" outlineLevel="1">
      <c r="A48" s="151"/>
      <c r="B48" s="248"/>
      <c r="C48" s="249">
        <v>0.02</v>
      </c>
      <c r="D48" s="87">
        <v>0.175</v>
      </c>
      <c r="E48" s="155">
        <v>3.0</v>
      </c>
      <c r="F48" s="156">
        <f t="shared" si="23"/>
        <v>0.0105</v>
      </c>
      <c r="G48" s="156">
        <f t="shared" si="24"/>
        <v>0.525</v>
      </c>
      <c r="H48" s="240">
        <v>417.33</v>
      </c>
      <c r="I48" s="158">
        <f>ROUND(H48*1.07,0)</f>
        <v>447</v>
      </c>
      <c r="J48" s="159">
        <f t="shared" si="25"/>
        <v>5.6385</v>
      </c>
      <c r="K48" s="160">
        <f t="shared" si="26"/>
        <v>10.74</v>
      </c>
      <c r="L48" s="161">
        <f t="shared" si="27"/>
        <v>198</v>
      </c>
      <c r="M48" s="241">
        <f t="shared" si="28"/>
        <v>2.079</v>
      </c>
      <c r="N48" s="163">
        <f t="shared" si="29"/>
        <v>103.95</v>
      </c>
      <c r="O48" s="252"/>
      <c r="P48" s="165" t="str">
        <f t="shared" si="34"/>
        <v/>
      </c>
      <c r="Q48" s="172"/>
      <c r="R48" s="243"/>
      <c r="S48" s="165">
        <f t="shared" si="31"/>
        <v>0</v>
      </c>
      <c r="T48" s="244">
        <v>198.0</v>
      </c>
      <c r="U48" s="169">
        <f t="shared" si="32"/>
        <v>1116.423</v>
      </c>
      <c r="V48" s="38" t="str">
        <f t="shared" si="12"/>
        <v/>
      </c>
      <c r="W48" s="38" t="str">
        <f t="shared" si="13"/>
        <v/>
      </c>
      <c r="X48" s="11"/>
      <c r="Y48" s="11"/>
      <c r="Z48" s="11"/>
      <c r="AA48" s="11"/>
    </row>
    <row r="49" ht="13.5" customHeight="1" outlineLevel="1">
      <c r="A49" s="151"/>
      <c r="B49" s="85" t="s">
        <v>61</v>
      </c>
      <c r="C49" s="249">
        <v>0.021</v>
      </c>
      <c r="D49" s="170">
        <v>0.12</v>
      </c>
      <c r="E49" s="155">
        <v>4.2</v>
      </c>
      <c r="F49" s="156">
        <f t="shared" si="23"/>
        <v>0.010584</v>
      </c>
      <c r="G49" s="156">
        <f t="shared" si="24"/>
        <v>0.504</v>
      </c>
      <c r="H49" s="240">
        <v>385.0</v>
      </c>
      <c r="I49" s="158">
        <f t="shared" ref="I49:I51" si="36">ROUND(H49*1.1667,0)</f>
        <v>449</v>
      </c>
      <c r="J49" s="159">
        <f t="shared" si="25"/>
        <v>5.704776</v>
      </c>
      <c r="K49" s="160">
        <f t="shared" si="26"/>
        <v>11.319</v>
      </c>
      <c r="L49" s="161">
        <f t="shared" si="27"/>
        <v>296</v>
      </c>
      <c r="M49" s="241">
        <f t="shared" si="28"/>
        <v>3.132864</v>
      </c>
      <c r="N49" s="163">
        <f t="shared" si="29"/>
        <v>149.184</v>
      </c>
      <c r="O49" s="242"/>
      <c r="P49" s="165" t="str">
        <f t="shared" si="34"/>
        <v/>
      </c>
      <c r="Q49" s="172"/>
      <c r="R49" s="243"/>
      <c r="S49" s="165">
        <f t="shared" si="31"/>
        <v>0</v>
      </c>
      <c r="T49" s="244">
        <v>296.0</v>
      </c>
      <c r="U49" s="169">
        <f t="shared" si="32"/>
        <v>1688.613696</v>
      </c>
      <c r="V49" s="38" t="str">
        <f t="shared" si="12"/>
        <v/>
      </c>
      <c r="W49" s="38" t="str">
        <f t="shared" si="13"/>
        <v/>
      </c>
      <c r="X49" s="11"/>
      <c r="Y49" s="11"/>
      <c r="Z49" s="11"/>
      <c r="AA49" s="11"/>
    </row>
    <row r="50" ht="13.5" customHeight="1" outlineLevel="1">
      <c r="A50" s="151"/>
      <c r="B50" s="85" t="s">
        <v>62</v>
      </c>
      <c r="C50" s="257">
        <v>0.021</v>
      </c>
      <c r="D50" s="170">
        <v>0.12</v>
      </c>
      <c r="E50" s="155">
        <v>4.2</v>
      </c>
      <c r="F50" s="156">
        <f t="shared" si="23"/>
        <v>0.010584</v>
      </c>
      <c r="G50" s="156">
        <f t="shared" si="24"/>
        <v>0.504</v>
      </c>
      <c r="H50" s="240">
        <v>385.0</v>
      </c>
      <c r="I50" s="158">
        <f t="shared" si="36"/>
        <v>449</v>
      </c>
      <c r="J50" s="159">
        <f t="shared" si="25"/>
        <v>5.704776</v>
      </c>
      <c r="K50" s="160">
        <f t="shared" si="26"/>
        <v>11.319</v>
      </c>
      <c r="L50" s="161">
        <f t="shared" si="27"/>
        <v>376</v>
      </c>
      <c r="M50" s="241">
        <f t="shared" si="28"/>
        <v>3.979584</v>
      </c>
      <c r="N50" s="163">
        <f t="shared" si="29"/>
        <v>189.504</v>
      </c>
      <c r="O50" s="256"/>
      <c r="P50" s="165" t="str">
        <f t="shared" si="34"/>
        <v/>
      </c>
      <c r="Q50" s="172"/>
      <c r="R50" s="243"/>
      <c r="S50" s="165">
        <f t="shared" si="31"/>
        <v>0</v>
      </c>
      <c r="T50" s="244">
        <v>376.0</v>
      </c>
      <c r="U50" s="169">
        <f t="shared" si="32"/>
        <v>2144.995776</v>
      </c>
      <c r="V50" s="38" t="str">
        <f t="shared" si="12"/>
        <v/>
      </c>
      <c r="W50" s="38" t="str">
        <f t="shared" si="13"/>
        <v/>
      </c>
      <c r="X50" s="11"/>
      <c r="Y50" s="11"/>
      <c r="Z50" s="11"/>
      <c r="AA50" s="11"/>
    </row>
    <row r="51" ht="13.5" customHeight="1" outlineLevel="1">
      <c r="A51" s="151"/>
      <c r="B51" s="248"/>
      <c r="C51" s="249">
        <v>0.021</v>
      </c>
      <c r="D51" s="170">
        <v>0.12</v>
      </c>
      <c r="E51" s="155">
        <v>4.8</v>
      </c>
      <c r="F51" s="156">
        <f t="shared" si="23"/>
        <v>0.012096</v>
      </c>
      <c r="G51" s="156">
        <f t="shared" si="24"/>
        <v>0.576</v>
      </c>
      <c r="H51" s="240">
        <v>385.0</v>
      </c>
      <c r="I51" s="158">
        <f t="shared" si="36"/>
        <v>449</v>
      </c>
      <c r="J51" s="159">
        <f t="shared" si="25"/>
        <v>6.519744</v>
      </c>
      <c r="K51" s="160">
        <f t="shared" si="26"/>
        <v>11.319</v>
      </c>
      <c r="L51" s="161">
        <f t="shared" si="27"/>
        <v>17</v>
      </c>
      <c r="M51" s="241">
        <f t="shared" si="28"/>
        <v>0.205632</v>
      </c>
      <c r="N51" s="206">
        <f t="shared" si="29"/>
        <v>9.792</v>
      </c>
      <c r="O51" s="242"/>
      <c r="P51" s="165" t="str">
        <f t="shared" si="34"/>
        <v/>
      </c>
      <c r="Q51" s="166"/>
      <c r="R51" s="243"/>
      <c r="S51" s="165">
        <f t="shared" si="31"/>
        <v>0</v>
      </c>
      <c r="T51" s="244">
        <v>17.0</v>
      </c>
      <c r="U51" s="169">
        <f t="shared" si="32"/>
        <v>110.835648</v>
      </c>
      <c r="V51" s="38" t="str">
        <f t="shared" si="12"/>
        <v/>
      </c>
      <c r="W51" s="38" t="str">
        <f t="shared" si="13"/>
        <v/>
      </c>
      <c r="X51" s="11"/>
      <c r="Y51" s="11"/>
      <c r="Z51" s="11"/>
      <c r="AA51" s="11"/>
    </row>
    <row r="52" ht="13.5" customHeight="1" outlineLevel="1">
      <c r="A52" s="151"/>
      <c r="B52" s="248"/>
      <c r="C52" s="249">
        <v>0.021</v>
      </c>
      <c r="D52" s="170">
        <v>0.12</v>
      </c>
      <c r="E52" s="155">
        <v>5.4</v>
      </c>
      <c r="F52" s="156">
        <f t="shared" si="23"/>
        <v>0.013608</v>
      </c>
      <c r="G52" s="156">
        <f t="shared" si="24"/>
        <v>0.648</v>
      </c>
      <c r="H52" s="240">
        <v>418.25</v>
      </c>
      <c r="I52" s="158">
        <f>ROUND(H52*1.1,0)</f>
        <v>460</v>
      </c>
      <c r="J52" s="159">
        <f t="shared" si="25"/>
        <v>7.511616</v>
      </c>
      <c r="K52" s="160">
        <f t="shared" si="26"/>
        <v>11.592</v>
      </c>
      <c r="L52" s="161">
        <f t="shared" si="27"/>
        <v>68</v>
      </c>
      <c r="M52" s="241">
        <f t="shared" si="28"/>
        <v>0.925344</v>
      </c>
      <c r="N52" s="163">
        <f t="shared" si="29"/>
        <v>44.064</v>
      </c>
      <c r="O52" s="252"/>
      <c r="P52" s="165" t="str">
        <f t="shared" si="34"/>
        <v/>
      </c>
      <c r="Q52" s="172"/>
      <c r="R52" s="243"/>
      <c r="S52" s="165">
        <f t="shared" si="31"/>
        <v>0</v>
      </c>
      <c r="T52" s="244">
        <v>68.0</v>
      </c>
      <c r="U52" s="169">
        <f t="shared" si="32"/>
        <v>510.789888</v>
      </c>
      <c r="V52" s="38" t="str">
        <f t="shared" si="12"/>
        <v/>
      </c>
      <c r="W52" s="38" t="str">
        <f t="shared" si="13"/>
        <v/>
      </c>
      <c r="X52" s="11"/>
      <c r="Y52" s="11"/>
      <c r="Z52" s="11"/>
      <c r="AA52" s="11"/>
    </row>
    <row r="53" ht="13.5" customHeight="1" outlineLevel="1">
      <c r="A53" s="151"/>
      <c r="B53" s="258"/>
      <c r="C53" s="249">
        <v>0.021</v>
      </c>
      <c r="D53" s="170">
        <v>0.145</v>
      </c>
      <c r="E53" s="155">
        <v>5.1</v>
      </c>
      <c r="F53" s="156">
        <f t="shared" si="23"/>
        <v>0.0155295</v>
      </c>
      <c r="G53" s="156">
        <f t="shared" si="24"/>
        <v>0.7395</v>
      </c>
      <c r="H53" s="240">
        <v>380.0</v>
      </c>
      <c r="I53" s="158">
        <f>ROUND(H53*1.1667,0)</f>
        <v>443</v>
      </c>
      <c r="J53" s="159">
        <f t="shared" si="25"/>
        <v>8.261694</v>
      </c>
      <c r="K53" s="160">
        <f t="shared" si="26"/>
        <v>11.172</v>
      </c>
      <c r="L53" s="161">
        <f t="shared" si="27"/>
        <v>52</v>
      </c>
      <c r="M53" s="241">
        <f t="shared" si="28"/>
        <v>0.807534</v>
      </c>
      <c r="N53" s="163">
        <f t="shared" si="29"/>
        <v>38.454</v>
      </c>
      <c r="O53" s="246"/>
      <c r="P53" s="165" t="str">
        <f t="shared" si="34"/>
        <v/>
      </c>
      <c r="Q53" s="166"/>
      <c r="R53" s="243"/>
      <c r="S53" s="165">
        <f t="shared" si="31"/>
        <v>0</v>
      </c>
      <c r="T53" s="244">
        <v>52.0</v>
      </c>
      <c r="U53" s="169">
        <f t="shared" si="32"/>
        <v>429.608088</v>
      </c>
      <c r="V53" s="38" t="str">
        <f t="shared" si="12"/>
        <v/>
      </c>
      <c r="W53" s="38" t="str">
        <f t="shared" si="13"/>
        <v/>
      </c>
      <c r="X53" s="11"/>
      <c r="Y53" s="11"/>
      <c r="Z53" s="11"/>
      <c r="AA53" s="11"/>
    </row>
    <row r="54" ht="13.5" customHeight="1" outlineLevel="1">
      <c r="A54" s="151"/>
      <c r="B54" s="248"/>
      <c r="C54" s="249">
        <v>0.021</v>
      </c>
      <c r="D54" s="170">
        <v>0.146</v>
      </c>
      <c r="E54" s="155">
        <v>4.5</v>
      </c>
      <c r="F54" s="156">
        <f t="shared" si="23"/>
        <v>0.013797</v>
      </c>
      <c r="G54" s="156">
        <f t="shared" si="24"/>
        <v>0.657</v>
      </c>
      <c r="H54" s="259">
        <v>415.85</v>
      </c>
      <c r="I54" s="158">
        <f>ROUND(H54*1.1,0)</f>
        <v>457</v>
      </c>
      <c r="J54" s="159">
        <f t="shared" si="25"/>
        <v>7.574553</v>
      </c>
      <c r="K54" s="160">
        <f t="shared" si="26"/>
        <v>11.529</v>
      </c>
      <c r="L54" s="161">
        <f t="shared" si="27"/>
        <v>31</v>
      </c>
      <c r="M54" s="241">
        <f t="shared" si="28"/>
        <v>0.427707</v>
      </c>
      <c r="N54" s="163">
        <f t="shared" si="29"/>
        <v>20.367</v>
      </c>
      <c r="O54" s="246"/>
      <c r="P54" s="165" t="str">
        <f t="shared" si="34"/>
        <v/>
      </c>
      <c r="Q54" s="166"/>
      <c r="R54" s="243"/>
      <c r="S54" s="165">
        <f t="shared" si="31"/>
        <v>0</v>
      </c>
      <c r="T54" s="244">
        <v>31.0</v>
      </c>
      <c r="U54" s="169">
        <f t="shared" si="32"/>
        <v>234.811143</v>
      </c>
      <c r="V54" s="38" t="str">
        <f t="shared" si="12"/>
        <v/>
      </c>
      <c r="W54" s="38" t="str">
        <f t="shared" si="13"/>
        <v/>
      </c>
      <c r="X54" s="11"/>
      <c r="Y54" s="11"/>
      <c r="Z54" s="11"/>
      <c r="AA54" s="11"/>
    </row>
    <row r="55" ht="13.5" customHeight="1" outlineLevel="1">
      <c r="A55" s="151"/>
      <c r="B55" s="85"/>
      <c r="C55" s="238">
        <v>0.021</v>
      </c>
      <c r="D55" s="239">
        <v>0.17</v>
      </c>
      <c r="E55" s="245">
        <v>6.0</v>
      </c>
      <c r="F55" s="156">
        <f t="shared" si="23"/>
        <v>0.02142</v>
      </c>
      <c r="G55" s="156">
        <f t="shared" si="24"/>
        <v>1.02</v>
      </c>
      <c r="H55" s="157">
        <v>380.0</v>
      </c>
      <c r="I55" s="158">
        <f>ROUND(H55*1.1667,0)</f>
        <v>443</v>
      </c>
      <c r="J55" s="159">
        <f t="shared" si="25"/>
        <v>11.39544</v>
      </c>
      <c r="K55" s="160">
        <f t="shared" si="26"/>
        <v>11.172</v>
      </c>
      <c r="L55" s="161">
        <f t="shared" si="27"/>
        <v>144</v>
      </c>
      <c r="M55" s="241">
        <f t="shared" si="28"/>
        <v>3.08448</v>
      </c>
      <c r="N55" s="163">
        <f t="shared" si="29"/>
        <v>146.88</v>
      </c>
      <c r="O55" s="256"/>
      <c r="P55" s="165" t="str">
        <f t="shared" si="34"/>
        <v/>
      </c>
      <c r="Q55" s="172"/>
      <c r="R55" s="243"/>
      <c r="S55" s="165">
        <f t="shared" si="31"/>
        <v>0</v>
      </c>
      <c r="T55" s="244">
        <v>144.0</v>
      </c>
      <c r="U55" s="169">
        <f t="shared" si="32"/>
        <v>1640.94336</v>
      </c>
      <c r="V55" s="38" t="str">
        <f t="shared" si="12"/>
        <v/>
      </c>
      <c r="W55" s="38" t="str">
        <f t="shared" si="13"/>
        <v/>
      </c>
      <c r="X55" s="11"/>
      <c r="Y55" s="11"/>
      <c r="Z55" s="11"/>
      <c r="AA55" s="11"/>
    </row>
    <row r="56" ht="13.5" customHeight="1" outlineLevel="1">
      <c r="A56" s="151"/>
      <c r="B56" s="85"/>
      <c r="C56" s="238">
        <v>0.025</v>
      </c>
      <c r="D56" s="239">
        <v>0.095</v>
      </c>
      <c r="E56" s="245">
        <v>3.0</v>
      </c>
      <c r="F56" s="156">
        <f t="shared" si="23"/>
        <v>0.007125</v>
      </c>
      <c r="G56" s="156">
        <f t="shared" si="24"/>
        <v>0.285</v>
      </c>
      <c r="H56" s="240">
        <v>411.01</v>
      </c>
      <c r="I56" s="158">
        <f>ROUND(H56*1.08,0)</f>
        <v>444</v>
      </c>
      <c r="J56" s="159">
        <f t="shared" si="25"/>
        <v>3.797625</v>
      </c>
      <c r="K56" s="160">
        <f t="shared" si="26"/>
        <v>13.325</v>
      </c>
      <c r="L56" s="161">
        <f t="shared" si="27"/>
        <v>77</v>
      </c>
      <c r="M56" s="241">
        <f t="shared" si="28"/>
        <v>0.548625</v>
      </c>
      <c r="N56" s="163">
        <f t="shared" si="29"/>
        <v>21.945</v>
      </c>
      <c r="O56" s="256"/>
      <c r="P56" s="165" t="str">
        <f t="shared" si="34"/>
        <v/>
      </c>
      <c r="Q56" s="172"/>
      <c r="R56" s="243"/>
      <c r="S56" s="165">
        <f t="shared" si="31"/>
        <v>0</v>
      </c>
      <c r="T56" s="244">
        <v>77.0</v>
      </c>
      <c r="U56" s="169">
        <f t="shared" si="32"/>
        <v>292.417125</v>
      </c>
      <c r="V56" s="38" t="str">
        <f t="shared" si="12"/>
        <v/>
      </c>
      <c r="W56" s="38" t="str">
        <f t="shared" si="13"/>
        <v/>
      </c>
      <c r="X56" s="11"/>
      <c r="Y56" s="11"/>
      <c r="Z56" s="11"/>
      <c r="AA56" s="11"/>
    </row>
    <row r="57" ht="13.5" customHeight="1" outlineLevel="1">
      <c r="A57" s="151"/>
      <c r="B57" s="85" t="s">
        <v>63</v>
      </c>
      <c r="C57" s="249">
        <v>0.028</v>
      </c>
      <c r="D57" s="170">
        <v>0.145</v>
      </c>
      <c r="E57" s="155">
        <v>4.5</v>
      </c>
      <c r="F57" s="156">
        <f t="shared" si="23"/>
        <v>0.01827</v>
      </c>
      <c r="G57" s="156">
        <f t="shared" si="24"/>
        <v>0.6525</v>
      </c>
      <c r="H57" s="240">
        <v>428.56</v>
      </c>
      <c r="I57" s="158">
        <f>ROUND(H57*1.1667,0)</f>
        <v>500</v>
      </c>
      <c r="J57" s="159">
        <f t="shared" si="25"/>
        <v>10.962</v>
      </c>
      <c r="K57" s="160">
        <f t="shared" si="26"/>
        <v>16.8</v>
      </c>
      <c r="L57" s="161">
        <f t="shared" si="27"/>
        <v>141</v>
      </c>
      <c r="M57" s="241">
        <f t="shared" si="28"/>
        <v>2.57607</v>
      </c>
      <c r="N57" s="163">
        <f t="shared" si="29"/>
        <v>92.0025</v>
      </c>
      <c r="O57" s="246"/>
      <c r="P57" s="165" t="str">
        <f t="shared" si="34"/>
        <v/>
      </c>
      <c r="Q57" s="166"/>
      <c r="R57" s="243"/>
      <c r="S57" s="165">
        <f t="shared" si="31"/>
        <v>0</v>
      </c>
      <c r="T57" s="244">
        <v>141.0</v>
      </c>
      <c r="U57" s="169">
        <f t="shared" si="32"/>
        <v>1545.642</v>
      </c>
      <c r="V57" s="38" t="str">
        <f t="shared" si="12"/>
        <v/>
      </c>
      <c r="W57" s="38" t="str">
        <f t="shared" si="13"/>
        <v/>
      </c>
      <c r="X57" s="11"/>
      <c r="Y57" s="11"/>
      <c r="Z57" s="11"/>
      <c r="AA57" s="11"/>
    </row>
    <row r="58" ht="13.5" customHeight="1">
      <c r="A58" s="151"/>
      <c r="B58" s="210" t="s">
        <v>56</v>
      </c>
      <c r="C58" s="211"/>
      <c r="D58" s="212"/>
      <c r="E58" s="211"/>
      <c r="F58" s="213"/>
      <c r="G58" s="213"/>
      <c r="H58" s="214">
        <f t="shared" ref="H58:I58" si="37">AVERAGE(H31:H57)</f>
        <v>429.5414815</v>
      </c>
      <c r="I58" s="215">
        <f t="shared" si="37"/>
        <v>484.6666667</v>
      </c>
      <c r="J58" s="216"/>
      <c r="K58" s="214">
        <f>AVERAGE(K31:K57)</f>
        <v>10.66859259</v>
      </c>
      <c r="L58" s="217"/>
      <c r="M58" s="218">
        <f>SUM(M31:M57)</f>
        <v>45.3568776</v>
      </c>
      <c r="N58" s="218"/>
      <c r="O58" s="219"/>
      <c r="P58" s="220">
        <f t="shared" ref="P58:Q58" si="38">SUM(P31:P57)</f>
        <v>0</v>
      </c>
      <c r="Q58" s="221">
        <f t="shared" si="38"/>
        <v>0</v>
      </c>
      <c r="R58" s="222"/>
      <c r="S58" s="223">
        <f>SUM(S31:S57)</f>
        <v>0</v>
      </c>
      <c r="T58" s="224"/>
      <c r="U58" s="225">
        <f>SUM(U31:U57)</f>
        <v>26751.59795</v>
      </c>
      <c r="V58" s="38" t="str">
        <f t="shared" si="12"/>
        <v/>
      </c>
      <c r="W58" s="38" t="str">
        <f t="shared" si="13"/>
        <v/>
      </c>
      <c r="X58" s="11"/>
      <c r="Y58" s="11"/>
      <c r="Z58" s="11"/>
      <c r="AA58" s="11"/>
    </row>
    <row r="59" ht="13.5" customHeight="1">
      <c r="A59" s="151"/>
      <c r="B59" s="226" t="s">
        <v>64</v>
      </c>
      <c r="C59" s="226"/>
      <c r="D59" s="226"/>
      <c r="E59" s="226"/>
      <c r="F59" s="226"/>
      <c r="G59" s="226"/>
      <c r="H59" s="226"/>
      <c r="I59" s="230"/>
      <c r="J59" s="231"/>
      <c r="K59" s="226"/>
      <c r="L59" s="226"/>
      <c r="M59" s="226"/>
      <c r="N59" s="232"/>
      <c r="O59" s="260"/>
      <c r="P59" s="226"/>
      <c r="Q59" s="261"/>
      <c r="R59" s="236"/>
      <c r="S59" s="226"/>
      <c r="T59" s="226"/>
      <c r="U59" s="237"/>
      <c r="V59" s="38" t="str">
        <f t="shared" si="12"/>
        <v/>
      </c>
      <c r="W59" s="38" t="str">
        <f t="shared" si="13"/>
        <v/>
      </c>
      <c r="X59" s="11"/>
      <c r="Y59" s="11"/>
      <c r="Z59" s="11"/>
      <c r="AA59" s="11"/>
    </row>
    <row r="60" ht="13.5" customHeight="1" outlineLevel="1">
      <c r="A60" s="151"/>
      <c r="B60" s="248"/>
      <c r="C60" s="249">
        <v>0.02</v>
      </c>
      <c r="D60" s="170">
        <v>0.09</v>
      </c>
      <c r="E60" s="155">
        <v>3.0</v>
      </c>
      <c r="F60" s="156">
        <f t="shared" ref="F60:F63" si="39">C60*D60*E60</f>
        <v>0.0054</v>
      </c>
      <c r="G60" s="156">
        <f t="shared" ref="G60:G63" si="40">D60*E60</f>
        <v>0.27</v>
      </c>
      <c r="H60" s="240">
        <v>426.13</v>
      </c>
      <c r="I60" s="158">
        <f t="shared" ref="I60:I62" si="41">ROUND(H60*1.08,0)</f>
        <v>460</v>
      </c>
      <c r="J60" s="159">
        <f t="shared" ref="J60:J63" si="42">ROUND((I60*0.992)*1.21,0)*(C60*D60*E60)</f>
        <v>2.9808</v>
      </c>
      <c r="K60" s="160">
        <f t="shared" ref="K60:K63" si="43">J60/(D60*E60)</f>
        <v>11.04</v>
      </c>
      <c r="L60" s="161">
        <f t="shared" ref="L60:L63" si="44">T60+R60-O60</f>
        <v>48</v>
      </c>
      <c r="M60" s="241">
        <f t="shared" ref="M60:M63" si="45">L60*F60</f>
        <v>0.2592</v>
      </c>
      <c r="N60" s="163">
        <f t="shared" ref="N60:N63" si="46">L60*G60</f>
        <v>12.96</v>
      </c>
      <c r="O60" s="242">
        <v>10.0</v>
      </c>
      <c r="P60" s="165">
        <f t="shared" ref="P60:P63" si="47">IF(O60="","",(O60*F60))</f>
        <v>0.054</v>
      </c>
      <c r="Q60" s="166">
        <v>25.0</v>
      </c>
      <c r="R60" s="243"/>
      <c r="S60" s="165">
        <f t="shared" ref="S60:S63" si="48">R60*F60</f>
        <v>0</v>
      </c>
      <c r="T60" s="244">
        <v>58.0</v>
      </c>
      <c r="U60" s="169">
        <f t="shared" ref="U60:U63" si="49">J60*L60</f>
        <v>143.0784</v>
      </c>
      <c r="V60" s="38">
        <f t="shared" si="12"/>
        <v>1.98898</v>
      </c>
      <c r="W60" s="38">
        <f t="shared" si="13"/>
        <v>23.01102</v>
      </c>
      <c r="X60" s="11"/>
      <c r="Y60" s="11"/>
      <c r="Z60" s="11"/>
      <c r="AA60" s="11"/>
    </row>
    <row r="61" ht="13.5" customHeight="1" outlineLevel="1">
      <c r="A61" s="151"/>
      <c r="B61" s="248"/>
      <c r="C61" s="249">
        <v>0.02</v>
      </c>
      <c r="D61" s="170">
        <v>0.09</v>
      </c>
      <c r="E61" s="155">
        <v>4.0</v>
      </c>
      <c r="F61" s="156">
        <f t="shared" si="39"/>
        <v>0.0072</v>
      </c>
      <c r="G61" s="156">
        <f t="shared" si="40"/>
        <v>0.36</v>
      </c>
      <c r="H61" s="240">
        <v>426.13</v>
      </c>
      <c r="I61" s="158">
        <f t="shared" si="41"/>
        <v>460</v>
      </c>
      <c r="J61" s="159">
        <f t="shared" si="42"/>
        <v>3.9744</v>
      </c>
      <c r="K61" s="160">
        <f t="shared" si="43"/>
        <v>11.04</v>
      </c>
      <c r="L61" s="161">
        <f t="shared" si="44"/>
        <v>15</v>
      </c>
      <c r="M61" s="241">
        <f t="shared" si="45"/>
        <v>0.108</v>
      </c>
      <c r="N61" s="163">
        <f t="shared" si="46"/>
        <v>5.4</v>
      </c>
      <c r="O61" s="242"/>
      <c r="P61" s="165" t="str">
        <f t="shared" si="47"/>
        <v/>
      </c>
      <c r="Q61" s="166"/>
      <c r="R61" s="243"/>
      <c r="S61" s="165">
        <f t="shared" si="48"/>
        <v>0</v>
      </c>
      <c r="T61" s="244">
        <v>15.0</v>
      </c>
      <c r="U61" s="169">
        <f t="shared" si="49"/>
        <v>59.616</v>
      </c>
      <c r="V61" s="38" t="str">
        <f t="shared" si="12"/>
        <v/>
      </c>
      <c r="W61" s="38" t="str">
        <f t="shared" si="13"/>
        <v/>
      </c>
      <c r="X61" s="11"/>
      <c r="Y61" s="11"/>
      <c r="Z61" s="11"/>
      <c r="AA61" s="11"/>
    </row>
    <row r="62" ht="13.5" customHeight="1" outlineLevel="1">
      <c r="A62" s="151"/>
      <c r="B62" s="248"/>
      <c r="C62" s="249">
        <v>0.02</v>
      </c>
      <c r="D62" s="87">
        <v>0.095</v>
      </c>
      <c r="E62" s="88">
        <v>2.4</v>
      </c>
      <c r="F62" s="156">
        <f t="shared" si="39"/>
        <v>0.00456</v>
      </c>
      <c r="G62" s="156">
        <f t="shared" si="40"/>
        <v>0.228</v>
      </c>
      <c r="H62" s="240">
        <v>426.13</v>
      </c>
      <c r="I62" s="158">
        <f t="shared" si="41"/>
        <v>460</v>
      </c>
      <c r="J62" s="159">
        <f t="shared" si="42"/>
        <v>2.51712</v>
      </c>
      <c r="K62" s="160">
        <f t="shared" si="43"/>
        <v>11.04</v>
      </c>
      <c r="L62" s="161">
        <f t="shared" si="44"/>
        <v>48</v>
      </c>
      <c r="M62" s="241">
        <f t="shared" si="45"/>
        <v>0.21888</v>
      </c>
      <c r="N62" s="163">
        <f t="shared" si="46"/>
        <v>10.944</v>
      </c>
      <c r="O62" s="242"/>
      <c r="P62" s="165" t="str">
        <f t="shared" si="47"/>
        <v/>
      </c>
      <c r="Q62" s="166"/>
      <c r="R62" s="247"/>
      <c r="S62" s="165">
        <f t="shared" si="48"/>
        <v>0</v>
      </c>
      <c r="T62" s="244">
        <v>48.0</v>
      </c>
      <c r="U62" s="169">
        <f t="shared" si="49"/>
        <v>120.82176</v>
      </c>
      <c r="V62" s="38" t="str">
        <f t="shared" si="12"/>
        <v/>
      </c>
      <c r="W62" s="38" t="str">
        <f t="shared" si="13"/>
        <v/>
      </c>
      <c r="X62" s="11"/>
      <c r="Y62" s="11"/>
      <c r="Z62" s="11"/>
      <c r="AA62" s="11"/>
    </row>
    <row r="63" ht="13.5" customHeight="1" outlineLevel="1">
      <c r="A63" s="151"/>
      <c r="B63" s="85"/>
      <c r="C63" s="249">
        <v>0.021</v>
      </c>
      <c r="D63" s="170">
        <v>0.12</v>
      </c>
      <c r="E63" s="155">
        <v>4.2</v>
      </c>
      <c r="F63" s="156">
        <f t="shared" si="39"/>
        <v>0.010584</v>
      </c>
      <c r="G63" s="156">
        <f t="shared" si="40"/>
        <v>0.504</v>
      </c>
      <c r="H63" s="240">
        <v>385.0</v>
      </c>
      <c r="I63" s="158">
        <f>ROUND(H63*1.1,0)</f>
        <v>424</v>
      </c>
      <c r="J63" s="159">
        <f t="shared" si="42"/>
        <v>5.387256</v>
      </c>
      <c r="K63" s="160">
        <f t="shared" si="43"/>
        <v>10.689</v>
      </c>
      <c r="L63" s="161">
        <f t="shared" si="44"/>
        <v>241</v>
      </c>
      <c r="M63" s="241">
        <f t="shared" si="45"/>
        <v>2.550744</v>
      </c>
      <c r="N63" s="163">
        <f t="shared" si="46"/>
        <v>121.464</v>
      </c>
      <c r="O63" s="242"/>
      <c r="P63" s="165" t="str">
        <f t="shared" si="47"/>
        <v/>
      </c>
      <c r="Q63" s="166"/>
      <c r="R63" s="243"/>
      <c r="S63" s="165">
        <f t="shared" si="48"/>
        <v>0</v>
      </c>
      <c r="T63" s="244">
        <v>241.0</v>
      </c>
      <c r="U63" s="169">
        <f t="shared" si="49"/>
        <v>1298.328696</v>
      </c>
      <c r="V63" s="38" t="str">
        <f t="shared" si="12"/>
        <v/>
      </c>
      <c r="W63" s="38" t="str">
        <f t="shared" si="13"/>
        <v/>
      </c>
      <c r="X63" s="11"/>
      <c r="Y63" s="11"/>
      <c r="Z63" s="11"/>
      <c r="AA63" s="11"/>
    </row>
    <row r="64" ht="13.5" customHeight="1">
      <c r="A64" s="151"/>
      <c r="B64" s="210" t="s">
        <v>56</v>
      </c>
      <c r="C64" s="211"/>
      <c r="D64" s="212"/>
      <c r="E64" s="211"/>
      <c r="F64" s="213"/>
      <c r="G64" s="213"/>
      <c r="H64" s="214">
        <f t="shared" ref="H64:I64" si="50">AVERAGE(H60:H63)</f>
        <v>415.8475</v>
      </c>
      <c r="I64" s="215">
        <f t="shared" si="50"/>
        <v>451</v>
      </c>
      <c r="J64" s="216"/>
      <c r="K64" s="214">
        <f>AVERAGE(K60:K63)</f>
        <v>10.95225</v>
      </c>
      <c r="L64" s="217"/>
      <c r="M64" s="218">
        <f>SUM(M60:M63)</f>
        <v>3.136824</v>
      </c>
      <c r="N64" s="218"/>
      <c r="O64" s="219"/>
      <c r="P64" s="220">
        <f>SUM(P60:P62)</f>
        <v>0.054</v>
      </c>
      <c r="Q64" s="221">
        <f>SUM(Q60:Q63)</f>
        <v>25</v>
      </c>
      <c r="R64" s="262"/>
      <c r="S64" s="223">
        <f>SUM(S60:S63)</f>
        <v>0</v>
      </c>
      <c r="T64" s="224"/>
      <c r="U64" s="225">
        <f>SUM(U60:U63)</f>
        <v>1621.844856</v>
      </c>
      <c r="V64" s="38" t="str">
        <f t="shared" si="12"/>
        <v/>
      </c>
      <c r="W64" s="38" t="str">
        <f t="shared" si="13"/>
        <v/>
      </c>
      <c r="X64" s="11"/>
      <c r="Y64" s="11"/>
      <c r="Z64" s="11"/>
      <c r="AA64" s="11"/>
    </row>
    <row r="65" ht="13.5" customHeight="1">
      <c r="A65" s="151"/>
      <c r="B65" s="226" t="s">
        <v>65</v>
      </c>
      <c r="C65" s="226"/>
      <c r="D65" s="226"/>
      <c r="E65" s="226"/>
      <c r="F65" s="226"/>
      <c r="G65" s="226"/>
      <c r="H65" s="226"/>
      <c r="I65" s="230"/>
      <c r="J65" s="231"/>
      <c r="K65" s="226"/>
      <c r="L65" s="226"/>
      <c r="M65" s="226"/>
      <c r="N65" s="232"/>
      <c r="O65" s="260"/>
      <c r="P65" s="226"/>
      <c r="Q65" s="261"/>
      <c r="R65" s="236"/>
      <c r="S65" s="226"/>
      <c r="T65" s="226"/>
      <c r="U65" s="237"/>
      <c r="V65" s="38" t="str">
        <f t="shared" si="12"/>
        <v/>
      </c>
      <c r="W65" s="38" t="str">
        <f t="shared" si="13"/>
        <v/>
      </c>
      <c r="X65" s="11"/>
      <c r="Y65" s="11"/>
      <c r="Z65" s="11"/>
      <c r="AA65" s="11"/>
    </row>
    <row r="66" ht="13.5" customHeight="1" outlineLevel="1">
      <c r="A66" s="151"/>
      <c r="B66" s="85"/>
      <c r="C66" s="249">
        <v>0.028</v>
      </c>
      <c r="D66" s="170">
        <v>0.095</v>
      </c>
      <c r="E66" s="250">
        <v>3.0</v>
      </c>
      <c r="F66" s="156">
        <f t="shared" ref="F66:F67" si="51">C66*D66*E66</f>
        <v>0.00798</v>
      </c>
      <c r="G66" s="156">
        <f t="shared" ref="G66:G67" si="52">D66*E66</f>
        <v>0.285</v>
      </c>
      <c r="H66" s="240">
        <v>404.93</v>
      </c>
      <c r="I66" s="158">
        <f>ROUND(H66*1.08,0)</f>
        <v>437</v>
      </c>
      <c r="J66" s="159">
        <f t="shared" ref="J66:J67" si="53">ROUND((I66*0.992)*1.21,0)*(C66*D66*E66)</f>
        <v>4.1895</v>
      </c>
      <c r="K66" s="160">
        <f t="shared" ref="K66:K67" si="54">J66/(D66*E66)</f>
        <v>14.7</v>
      </c>
      <c r="L66" s="161">
        <f t="shared" ref="L66:L67" si="55">T66+R66-O66</f>
        <v>708</v>
      </c>
      <c r="M66" s="241">
        <f t="shared" ref="M66:M67" si="56">L66*F66</f>
        <v>5.64984</v>
      </c>
      <c r="N66" s="163">
        <f t="shared" ref="N66:N67" si="57">L66*G66</f>
        <v>201.78</v>
      </c>
      <c r="O66" s="246"/>
      <c r="P66" s="165" t="str">
        <f>IF(O66="","",(O66*F66))</f>
        <v/>
      </c>
      <c r="Q66" s="166"/>
      <c r="R66" s="243"/>
      <c r="S66" s="165">
        <f t="shared" ref="S66:S67" si="58">R66*F66</f>
        <v>0</v>
      </c>
      <c r="T66" s="244">
        <v>708.0</v>
      </c>
      <c r="U66" s="169">
        <f t="shared" ref="U66:U67" si="59">J66*L66</f>
        <v>2966.166</v>
      </c>
      <c r="V66" s="38" t="str">
        <f t="shared" si="12"/>
        <v/>
      </c>
      <c r="W66" s="38" t="str">
        <f t="shared" si="13"/>
        <v/>
      </c>
      <c r="X66" s="11"/>
      <c r="Y66" s="11"/>
      <c r="Z66" s="11"/>
      <c r="AA66" s="11"/>
    </row>
    <row r="67" ht="13.5" customHeight="1" outlineLevel="1">
      <c r="A67" s="151"/>
      <c r="B67" s="85"/>
      <c r="C67" s="249">
        <v>0.028</v>
      </c>
      <c r="D67" s="170">
        <v>0.12</v>
      </c>
      <c r="E67" s="250">
        <v>5.4</v>
      </c>
      <c r="F67" s="156">
        <f t="shared" si="51"/>
        <v>0.018144</v>
      </c>
      <c r="G67" s="156">
        <f t="shared" si="52"/>
        <v>0.648</v>
      </c>
      <c r="H67" s="240">
        <v>401.52</v>
      </c>
      <c r="I67" s="158">
        <f>ROUND(H67*1.1667,0)</f>
        <v>468</v>
      </c>
      <c r="J67" s="159">
        <f t="shared" si="53"/>
        <v>10.196928</v>
      </c>
      <c r="K67" s="160">
        <f t="shared" si="54"/>
        <v>15.736</v>
      </c>
      <c r="L67" s="161">
        <f t="shared" si="55"/>
        <v>200</v>
      </c>
      <c r="M67" s="241">
        <f t="shared" si="56"/>
        <v>3.6288</v>
      </c>
      <c r="N67" s="163">
        <f t="shared" si="57"/>
        <v>129.6</v>
      </c>
      <c r="O67" s="246"/>
      <c r="P67" s="165"/>
      <c r="Q67" s="166"/>
      <c r="R67" s="243"/>
      <c r="S67" s="165">
        <f t="shared" si="58"/>
        <v>0</v>
      </c>
      <c r="T67" s="263">
        <v>200.0</v>
      </c>
      <c r="U67" s="169">
        <f t="shared" si="59"/>
        <v>2039.3856</v>
      </c>
      <c r="V67" s="38" t="str">
        <f t="shared" si="12"/>
        <v/>
      </c>
      <c r="W67" s="38" t="str">
        <f t="shared" si="13"/>
        <v/>
      </c>
      <c r="X67" s="11"/>
      <c r="Y67" s="11"/>
      <c r="Z67" s="11"/>
      <c r="AA67" s="11"/>
    </row>
    <row r="68" ht="13.5" customHeight="1">
      <c r="A68" s="151"/>
      <c r="B68" s="210" t="s">
        <v>56</v>
      </c>
      <c r="C68" s="211"/>
      <c r="D68" s="212"/>
      <c r="E68" s="211"/>
      <c r="F68" s="213"/>
      <c r="G68" s="213"/>
      <c r="H68" s="214">
        <f t="shared" ref="H68:I68" si="60">AVERAGE(H66:H67)</f>
        <v>403.225</v>
      </c>
      <c r="I68" s="215">
        <f t="shared" si="60"/>
        <v>452.5</v>
      </c>
      <c r="J68" s="216"/>
      <c r="K68" s="214">
        <f>AVERAGE(K66:K67)</f>
        <v>15.218</v>
      </c>
      <c r="L68" s="217"/>
      <c r="M68" s="218">
        <f>SUM(M66:M67)</f>
        <v>9.27864</v>
      </c>
      <c r="N68" s="218"/>
      <c r="O68" s="219"/>
      <c r="P68" s="220">
        <f t="shared" ref="P68:Q68" si="61">SUM(P66:P67)</f>
        <v>0</v>
      </c>
      <c r="Q68" s="221">
        <f t="shared" si="61"/>
        <v>0</v>
      </c>
      <c r="R68" s="262"/>
      <c r="S68" s="223">
        <f>SUM(S66:S67)</f>
        <v>0</v>
      </c>
      <c r="T68" s="224"/>
      <c r="U68" s="225">
        <f>SUM(U66:U67)</f>
        <v>5005.5516</v>
      </c>
      <c r="V68" s="38" t="str">
        <f t="shared" si="12"/>
        <v/>
      </c>
      <c r="W68" s="38" t="str">
        <f t="shared" si="13"/>
        <v/>
      </c>
      <c r="X68" s="11"/>
      <c r="Y68" s="11"/>
      <c r="Z68" s="11"/>
      <c r="AA68" s="11"/>
    </row>
    <row r="69" ht="13.5" customHeight="1">
      <c r="A69" s="151"/>
      <c r="B69" s="264" t="s">
        <v>66</v>
      </c>
      <c r="C69" s="226"/>
      <c r="D69" s="226"/>
      <c r="E69" s="226"/>
      <c r="F69" s="226"/>
      <c r="G69" s="226"/>
      <c r="H69" s="226"/>
      <c r="I69" s="230"/>
      <c r="J69" s="231"/>
      <c r="K69" s="226"/>
      <c r="L69" s="226"/>
      <c r="M69" s="226"/>
      <c r="N69" s="232"/>
      <c r="O69" s="260"/>
      <c r="P69" s="226"/>
      <c r="Q69" s="261"/>
      <c r="R69" s="236"/>
      <c r="S69" s="226"/>
      <c r="T69" s="226"/>
      <c r="U69" s="237"/>
      <c r="V69" s="38" t="str">
        <f t="shared" si="12"/>
        <v/>
      </c>
      <c r="W69" s="38" t="str">
        <f t="shared" si="13"/>
        <v/>
      </c>
      <c r="X69" s="11"/>
      <c r="Y69" s="11"/>
      <c r="Z69" s="11"/>
      <c r="AA69" s="11"/>
    </row>
    <row r="70" ht="13.5" customHeight="1" outlineLevel="1">
      <c r="A70" s="151"/>
      <c r="B70" s="114" t="s">
        <v>67</v>
      </c>
      <c r="C70" s="265">
        <v>0.012</v>
      </c>
      <c r="D70" s="182">
        <v>1.525</v>
      </c>
      <c r="E70" s="182">
        <v>1.525</v>
      </c>
      <c r="F70" s="184">
        <f t="shared" ref="F70:F72" si="62">C70*D70*E70</f>
        <v>0.0279075</v>
      </c>
      <c r="G70" s="184">
        <f t="shared" ref="G70:G72" si="63">D70*E70</f>
        <v>2.325625</v>
      </c>
      <c r="H70" s="266">
        <v>550.0</v>
      </c>
      <c r="I70" s="158">
        <f t="shared" ref="I70:I71" si="64">ROUND(H70*1.1667,0)</f>
        <v>642</v>
      </c>
      <c r="J70" s="159">
        <f t="shared" ref="J70:J71" si="65">ROUND((I70*0.992)*1.21,0)*(C70*D70*E70)</f>
        <v>21.5166825</v>
      </c>
      <c r="K70" s="267">
        <f t="shared" ref="K70:K72" si="66">J70/(D70*E70)</f>
        <v>9.252</v>
      </c>
      <c r="L70" s="268">
        <v>3.0</v>
      </c>
      <c r="M70" s="269">
        <f t="shared" ref="M70:M72" si="67">L70*F70</f>
        <v>0.0837225</v>
      </c>
      <c r="N70" s="188">
        <f t="shared" ref="N70:N72" si="68">L70*G70</f>
        <v>6.976875</v>
      </c>
      <c r="O70" s="270"/>
      <c r="P70" s="165" t="str">
        <f t="shared" ref="P70:P72" si="69">IF(O70="","",(O70*F70))</f>
        <v/>
      </c>
      <c r="Q70" s="271"/>
      <c r="R70" s="272"/>
      <c r="S70" s="273">
        <f t="shared" ref="S70:S72" si="70">R70*F70</f>
        <v>0</v>
      </c>
      <c r="T70" s="274">
        <v>3.0</v>
      </c>
      <c r="U70" s="169">
        <f t="shared" ref="U70:U72" si="71">J70*L70</f>
        <v>64.5500475</v>
      </c>
      <c r="V70" s="38" t="str">
        <f t="shared" si="12"/>
        <v/>
      </c>
      <c r="W70" s="38" t="str">
        <f t="shared" si="13"/>
        <v/>
      </c>
      <c r="X70" s="11"/>
      <c r="Y70" s="11"/>
      <c r="Z70" s="11"/>
      <c r="AA70" s="11"/>
    </row>
    <row r="71" ht="13.5" customHeight="1" outlineLevel="1">
      <c r="A71" s="151"/>
      <c r="B71" s="85" t="s">
        <v>67</v>
      </c>
      <c r="C71" s="86">
        <v>0.018</v>
      </c>
      <c r="D71" s="87">
        <v>1.525</v>
      </c>
      <c r="E71" s="87">
        <v>1.525</v>
      </c>
      <c r="F71" s="156">
        <f t="shared" si="62"/>
        <v>0.04186125</v>
      </c>
      <c r="G71" s="156">
        <f t="shared" si="63"/>
        <v>2.325625</v>
      </c>
      <c r="H71" s="240">
        <v>550.0</v>
      </c>
      <c r="I71" s="158">
        <f t="shared" si="64"/>
        <v>642</v>
      </c>
      <c r="J71" s="159">
        <f t="shared" si="65"/>
        <v>32.27502375</v>
      </c>
      <c r="K71" s="160">
        <f t="shared" si="66"/>
        <v>13.878</v>
      </c>
      <c r="L71" s="161">
        <f t="shared" ref="L71:L72" si="72">T71+R71-O71</f>
        <v>0</v>
      </c>
      <c r="M71" s="241">
        <f t="shared" si="67"/>
        <v>0</v>
      </c>
      <c r="N71" s="163">
        <f t="shared" si="68"/>
        <v>0</v>
      </c>
      <c r="O71" s="242"/>
      <c r="P71" s="165" t="str">
        <f t="shared" si="69"/>
        <v/>
      </c>
      <c r="Q71" s="166"/>
      <c r="R71" s="247"/>
      <c r="S71" s="165">
        <f t="shared" si="70"/>
        <v>0</v>
      </c>
      <c r="T71" s="244">
        <v>0.0</v>
      </c>
      <c r="U71" s="169">
        <f t="shared" si="71"/>
        <v>0</v>
      </c>
      <c r="V71" s="38" t="str">
        <f t="shared" si="12"/>
        <v/>
      </c>
      <c r="W71" s="38" t="str">
        <f t="shared" si="13"/>
        <v/>
      </c>
      <c r="X71" s="11"/>
      <c r="Y71" s="11"/>
      <c r="Z71" s="11"/>
      <c r="AA71" s="11"/>
    </row>
    <row r="72" ht="13.5" customHeight="1" outlineLevel="1">
      <c r="A72" s="151"/>
      <c r="B72" s="248"/>
      <c r="C72" s="86">
        <v>0.045</v>
      </c>
      <c r="D72" s="87">
        <v>0.22</v>
      </c>
      <c r="E72" s="88">
        <v>4.8</v>
      </c>
      <c r="F72" s="156">
        <f t="shared" si="62"/>
        <v>0.04752</v>
      </c>
      <c r="G72" s="156">
        <f t="shared" si="63"/>
        <v>1.056</v>
      </c>
      <c r="H72" s="240">
        <v>376.95</v>
      </c>
      <c r="I72" s="158">
        <f>ROUND(H72*1.06,0)</f>
        <v>400</v>
      </c>
      <c r="J72" s="159">
        <f>ROUND((I72*0.88)*1.21,0)*(C72*D72*E72)</f>
        <v>20.24352</v>
      </c>
      <c r="K72" s="160">
        <f t="shared" si="66"/>
        <v>19.17</v>
      </c>
      <c r="L72" s="161">
        <f t="shared" si="72"/>
        <v>375</v>
      </c>
      <c r="M72" s="241">
        <f t="shared" si="67"/>
        <v>17.82</v>
      </c>
      <c r="N72" s="163">
        <f t="shared" si="68"/>
        <v>396</v>
      </c>
      <c r="O72" s="246"/>
      <c r="P72" s="165" t="str">
        <f t="shared" si="69"/>
        <v/>
      </c>
      <c r="Q72" s="166"/>
      <c r="R72" s="247"/>
      <c r="S72" s="165">
        <f t="shared" si="70"/>
        <v>0</v>
      </c>
      <c r="T72" s="244">
        <v>375.0</v>
      </c>
      <c r="U72" s="169">
        <f t="shared" si="71"/>
        <v>7591.32</v>
      </c>
      <c r="V72" s="38" t="str">
        <f t="shared" si="12"/>
        <v/>
      </c>
      <c r="W72" s="38" t="str">
        <f t="shared" si="13"/>
        <v/>
      </c>
      <c r="X72" s="11"/>
      <c r="Y72" s="11"/>
      <c r="Z72" s="11"/>
      <c r="AA72" s="11"/>
    </row>
    <row r="73" ht="13.5" customHeight="1">
      <c r="A73" s="151"/>
      <c r="B73" s="210" t="s">
        <v>56</v>
      </c>
      <c r="C73" s="211"/>
      <c r="D73" s="212"/>
      <c r="E73" s="211"/>
      <c r="F73" s="213"/>
      <c r="G73" s="213"/>
      <c r="H73" s="214">
        <f t="shared" ref="H73:I73" si="73">AVERAGE(H70:H72)</f>
        <v>492.3166667</v>
      </c>
      <c r="I73" s="215">
        <f t="shared" si="73"/>
        <v>561.3333333</v>
      </c>
      <c r="J73" s="216"/>
      <c r="K73" s="214">
        <f>AVERAGE(K70:K72)</f>
        <v>14.1</v>
      </c>
      <c r="L73" s="217"/>
      <c r="M73" s="218">
        <f>SUM(M70:M72)</f>
        <v>17.9037225</v>
      </c>
      <c r="N73" s="218"/>
      <c r="O73" s="219"/>
      <c r="P73" s="220">
        <f t="shared" ref="P73:Q73" si="74">SUM(P70:P72)</f>
        <v>0</v>
      </c>
      <c r="Q73" s="221">
        <f t="shared" si="74"/>
        <v>0</v>
      </c>
      <c r="R73" s="262"/>
      <c r="S73" s="223">
        <f>SUM(S70:S72)</f>
        <v>0</v>
      </c>
      <c r="T73" s="224"/>
      <c r="U73" s="225">
        <f>SUM(U70:U72)</f>
        <v>7655.870048</v>
      </c>
      <c r="V73" s="38" t="str">
        <f t="shared" si="12"/>
        <v/>
      </c>
      <c r="W73" s="38" t="str">
        <f t="shared" si="13"/>
        <v/>
      </c>
      <c r="X73" s="11"/>
      <c r="Y73" s="11"/>
      <c r="Z73" s="11"/>
      <c r="AA73" s="11"/>
    </row>
    <row r="74" ht="13.5" customHeight="1">
      <c r="A74" s="151"/>
      <c r="B74" s="226" t="s">
        <v>68</v>
      </c>
      <c r="C74" s="226"/>
      <c r="D74" s="226"/>
      <c r="E74" s="226"/>
      <c r="F74" s="226"/>
      <c r="G74" s="226"/>
      <c r="H74" s="226"/>
      <c r="I74" s="230"/>
      <c r="J74" s="231"/>
      <c r="K74" s="226"/>
      <c r="L74" s="226"/>
      <c r="M74" s="226"/>
      <c r="N74" s="232"/>
      <c r="O74" s="260"/>
      <c r="P74" s="226"/>
      <c r="Q74" s="261"/>
      <c r="R74" s="236"/>
      <c r="S74" s="226"/>
      <c r="T74" s="226"/>
      <c r="U74" s="237"/>
      <c r="V74" s="38" t="str">
        <f t="shared" si="12"/>
        <v/>
      </c>
      <c r="W74" s="38" t="str">
        <f t="shared" si="13"/>
        <v/>
      </c>
      <c r="X74" s="11"/>
      <c r="Y74" s="11"/>
      <c r="Z74" s="11"/>
      <c r="AA74" s="11"/>
    </row>
    <row r="75" ht="13.5" customHeight="1" outlineLevel="1">
      <c r="A75" s="151"/>
      <c r="B75" s="85" t="s">
        <v>69</v>
      </c>
      <c r="C75" s="249">
        <v>0.018</v>
      </c>
      <c r="D75" s="170">
        <v>0.093</v>
      </c>
      <c r="E75" s="88">
        <v>3.1</v>
      </c>
      <c r="F75" s="156">
        <f t="shared" ref="F75:F81" si="75">C75*D75*E75</f>
        <v>0.0051894</v>
      </c>
      <c r="G75" s="156">
        <f t="shared" ref="G75:G81" si="76">D75*E75</f>
        <v>0.2883</v>
      </c>
      <c r="H75" s="240">
        <v>800.0</v>
      </c>
      <c r="I75" s="158">
        <f t="shared" ref="I75:I81" si="77">ROUND(H75*1.1667,0)</f>
        <v>933</v>
      </c>
      <c r="J75" s="159">
        <f t="shared" ref="J75:J81" si="78">ROUND((I75*0.992)*1.21,0)*(C75*D75*E75)</f>
        <v>5.812128</v>
      </c>
      <c r="K75" s="160">
        <f t="shared" ref="K75:K81" si="79">J75/(D75*E75)</f>
        <v>20.16</v>
      </c>
      <c r="L75" s="161">
        <f t="shared" ref="L75:L81" si="80">T75+R75-O75</f>
        <v>297</v>
      </c>
      <c r="M75" s="241">
        <f t="shared" ref="M75:M81" si="81">L75*F75</f>
        <v>1.5412518</v>
      </c>
      <c r="N75" s="163">
        <f t="shared" ref="N75:N81" si="82">L75*G75</f>
        <v>85.6251</v>
      </c>
      <c r="O75" s="252"/>
      <c r="P75" s="165" t="str">
        <f t="shared" ref="P75:P81" si="83">IF(O75="","",(O75*F75))</f>
        <v/>
      </c>
      <c r="Q75" s="172"/>
      <c r="R75" s="243"/>
      <c r="S75" s="165">
        <f t="shared" ref="S75:S81" si="84">R75*F75</f>
        <v>0</v>
      </c>
      <c r="T75" s="244">
        <v>297.0</v>
      </c>
      <c r="U75" s="169">
        <f t="shared" ref="U75:U81" si="85">J75*L75</f>
        <v>1726.202016</v>
      </c>
      <c r="V75" s="38" t="str">
        <f t="shared" si="12"/>
        <v/>
      </c>
      <c r="W75" s="38" t="str">
        <f t="shared" si="13"/>
        <v/>
      </c>
      <c r="X75" s="11"/>
      <c r="Y75" s="11"/>
      <c r="Z75" s="11"/>
      <c r="AA75" s="11"/>
    </row>
    <row r="76" ht="13.5" customHeight="1" outlineLevel="1">
      <c r="A76" s="151"/>
      <c r="B76" s="85" t="s">
        <v>70</v>
      </c>
      <c r="C76" s="254">
        <v>0.02</v>
      </c>
      <c r="D76" s="255">
        <v>0.045</v>
      </c>
      <c r="E76" s="165">
        <v>3.0</v>
      </c>
      <c r="F76" s="156">
        <f t="shared" si="75"/>
        <v>0.0027</v>
      </c>
      <c r="G76" s="156">
        <f t="shared" si="76"/>
        <v>0.135</v>
      </c>
      <c r="H76" s="240">
        <v>800.0</v>
      </c>
      <c r="I76" s="158">
        <f t="shared" si="77"/>
        <v>933</v>
      </c>
      <c r="J76" s="159">
        <f t="shared" si="78"/>
        <v>3.024</v>
      </c>
      <c r="K76" s="160">
        <f t="shared" si="79"/>
        <v>22.4</v>
      </c>
      <c r="L76" s="161">
        <f t="shared" si="80"/>
        <v>18</v>
      </c>
      <c r="M76" s="241">
        <f t="shared" si="81"/>
        <v>0.0486</v>
      </c>
      <c r="N76" s="163">
        <f t="shared" si="82"/>
        <v>2.43</v>
      </c>
      <c r="O76" s="246"/>
      <c r="P76" s="165" t="str">
        <f t="shared" si="83"/>
        <v/>
      </c>
      <c r="Q76" s="166"/>
      <c r="R76" s="243"/>
      <c r="S76" s="165">
        <f t="shared" si="84"/>
        <v>0</v>
      </c>
      <c r="T76" s="244">
        <v>18.0</v>
      </c>
      <c r="U76" s="169">
        <f t="shared" si="85"/>
        <v>54.432</v>
      </c>
      <c r="V76" s="38" t="str">
        <f t="shared" si="12"/>
        <v/>
      </c>
      <c r="W76" s="38" t="str">
        <f t="shared" si="13"/>
        <v/>
      </c>
      <c r="X76" s="11"/>
      <c r="Y76" s="11"/>
      <c r="Z76" s="11"/>
      <c r="AA76" s="11"/>
    </row>
    <row r="77" ht="13.5" customHeight="1" outlineLevel="1">
      <c r="A77" s="151"/>
      <c r="B77" s="85" t="s">
        <v>69</v>
      </c>
      <c r="C77" s="249">
        <v>0.02</v>
      </c>
      <c r="D77" s="170">
        <v>0.045</v>
      </c>
      <c r="E77" s="155">
        <v>3.1</v>
      </c>
      <c r="F77" s="156">
        <f t="shared" si="75"/>
        <v>0.00279</v>
      </c>
      <c r="G77" s="156">
        <f t="shared" si="76"/>
        <v>0.1395</v>
      </c>
      <c r="H77" s="240">
        <v>800.0</v>
      </c>
      <c r="I77" s="158">
        <f t="shared" si="77"/>
        <v>933</v>
      </c>
      <c r="J77" s="159">
        <f t="shared" si="78"/>
        <v>3.1248</v>
      </c>
      <c r="K77" s="160">
        <f t="shared" si="79"/>
        <v>22.4</v>
      </c>
      <c r="L77" s="161">
        <f t="shared" si="80"/>
        <v>142</v>
      </c>
      <c r="M77" s="241">
        <f t="shared" si="81"/>
        <v>0.39618</v>
      </c>
      <c r="N77" s="163">
        <f t="shared" si="82"/>
        <v>19.809</v>
      </c>
      <c r="O77" s="246"/>
      <c r="P77" s="165" t="str">
        <f t="shared" si="83"/>
        <v/>
      </c>
      <c r="Q77" s="166"/>
      <c r="R77" s="243"/>
      <c r="S77" s="165">
        <f t="shared" si="84"/>
        <v>0</v>
      </c>
      <c r="T77" s="244">
        <v>142.0</v>
      </c>
      <c r="U77" s="169">
        <f t="shared" si="85"/>
        <v>443.7216</v>
      </c>
      <c r="V77" s="38" t="str">
        <f t="shared" si="12"/>
        <v/>
      </c>
      <c r="W77" s="38" t="str">
        <f t="shared" si="13"/>
        <v/>
      </c>
      <c r="X77" s="11"/>
      <c r="Y77" s="11"/>
      <c r="Z77" s="11"/>
      <c r="AA77" s="11"/>
    </row>
    <row r="78" ht="13.5" customHeight="1" outlineLevel="1">
      <c r="A78" s="151"/>
      <c r="B78" s="85" t="s">
        <v>70</v>
      </c>
      <c r="C78" s="249">
        <v>0.04</v>
      </c>
      <c r="D78" s="170">
        <v>0.095</v>
      </c>
      <c r="E78" s="155">
        <v>2.4</v>
      </c>
      <c r="F78" s="156">
        <f t="shared" si="75"/>
        <v>0.00912</v>
      </c>
      <c r="G78" s="156">
        <f t="shared" si="76"/>
        <v>0.228</v>
      </c>
      <c r="H78" s="240">
        <v>800.0</v>
      </c>
      <c r="I78" s="158">
        <f t="shared" si="77"/>
        <v>933</v>
      </c>
      <c r="J78" s="159">
        <f t="shared" si="78"/>
        <v>10.2144</v>
      </c>
      <c r="K78" s="160">
        <f t="shared" si="79"/>
        <v>44.8</v>
      </c>
      <c r="L78" s="161">
        <f t="shared" si="80"/>
        <v>100</v>
      </c>
      <c r="M78" s="241">
        <f t="shared" si="81"/>
        <v>0.912</v>
      </c>
      <c r="N78" s="163">
        <f t="shared" si="82"/>
        <v>22.8</v>
      </c>
      <c r="O78" s="275"/>
      <c r="P78" s="165" t="str">
        <f t="shared" si="83"/>
        <v/>
      </c>
      <c r="Q78" s="172"/>
      <c r="R78" s="243"/>
      <c r="S78" s="165">
        <f t="shared" si="84"/>
        <v>0</v>
      </c>
      <c r="T78" s="244">
        <v>100.0</v>
      </c>
      <c r="U78" s="169">
        <f t="shared" si="85"/>
        <v>1021.44</v>
      </c>
      <c r="V78" s="38" t="str">
        <f t="shared" si="12"/>
        <v/>
      </c>
      <c r="W78" s="38" t="str">
        <f t="shared" si="13"/>
        <v/>
      </c>
      <c r="X78" s="11"/>
      <c r="Y78" s="11"/>
      <c r="Z78" s="11"/>
      <c r="AA78" s="11"/>
    </row>
    <row r="79" ht="13.5" customHeight="1" outlineLevel="1">
      <c r="A79" s="151"/>
      <c r="B79" s="85" t="s">
        <v>69</v>
      </c>
      <c r="C79" s="249">
        <v>0.045</v>
      </c>
      <c r="D79" s="170">
        <v>0.045</v>
      </c>
      <c r="E79" s="88">
        <v>3.1</v>
      </c>
      <c r="F79" s="156">
        <f t="shared" si="75"/>
        <v>0.0062775</v>
      </c>
      <c r="G79" s="156">
        <f t="shared" si="76"/>
        <v>0.1395</v>
      </c>
      <c r="H79" s="240">
        <v>800.0</v>
      </c>
      <c r="I79" s="158">
        <f t="shared" si="77"/>
        <v>933</v>
      </c>
      <c r="J79" s="159">
        <f t="shared" si="78"/>
        <v>7.0308</v>
      </c>
      <c r="K79" s="160">
        <f t="shared" si="79"/>
        <v>50.4</v>
      </c>
      <c r="L79" s="161">
        <f t="shared" si="80"/>
        <v>42</v>
      </c>
      <c r="M79" s="241">
        <f t="shared" si="81"/>
        <v>0.263655</v>
      </c>
      <c r="N79" s="163">
        <f t="shared" si="82"/>
        <v>5.859</v>
      </c>
      <c r="O79" s="275"/>
      <c r="P79" s="165" t="str">
        <f t="shared" si="83"/>
        <v/>
      </c>
      <c r="Q79" s="172"/>
      <c r="R79" s="243"/>
      <c r="S79" s="165">
        <f t="shared" si="84"/>
        <v>0</v>
      </c>
      <c r="T79" s="244">
        <v>42.0</v>
      </c>
      <c r="U79" s="169">
        <f t="shared" si="85"/>
        <v>295.2936</v>
      </c>
      <c r="V79" s="38" t="str">
        <f t="shared" si="12"/>
        <v/>
      </c>
      <c r="W79" s="38" t="str">
        <f t="shared" si="13"/>
        <v/>
      </c>
      <c r="X79" s="11"/>
      <c r="Y79" s="11"/>
      <c r="Z79" s="11"/>
      <c r="AA79" s="11"/>
    </row>
    <row r="80" ht="13.5" customHeight="1" outlineLevel="1">
      <c r="A80" s="151"/>
      <c r="B80" s="85" t="s">
        <v>69</v>
      </c>
      <c r="C80" s="249">
        <v>0.045</v>
      </c>
      <c r="D80" s="170">
        <v>0.095</v>
      </c>
      <c r="E80" s="88">
        <v>3.1</v>
      </c>
      <c r="F80" s="156">
        <f t="shared" si="75"/>
        <v>0.0132525</v>
      </c>
      <c r="G80" s="156">
        <f t="shared" si="76"/>
        <v>0.2945</v>
      </c>
      <c r="H80" s="240">
        <v>800.0</v>
      </c>
      <c r="I80" s="158">
        <f t="shared" si="77"/>
        <v>933</v>
      </c>
      <c r="J80" s="159">
        <f t="shared" si="78"/>
        <v>14.8428</v>
      </c>
      <c r="K80" s="160">
        <f t="shared" si="79"/>
        <v>50.4</v>
      </c>
      <c r="L80" s="161">
        <f t="shared" si="80"/>
        <v>113</v>
      </c>
      <c r="M80" s="241">
        <f t="shared" si="81"/>
        <v>1.4975325</v>
      </c>
      <c r="N80" s="163">
        <f t="shared" si="82"/>
        <v>33.2785</v>
      </c>
      <c r="O80" s="275"/>
      <c r="P80" s="165" t="str">
        <f t="shared" si="83"/>
        <v/>
      </c>
      <c r="Q80" s="172"/>
      <c r="R80" s="243"/>
      <c r="S80" s="165">
        <f t="shared" si="84"/>
        <v>0</v>
      </c>
      <c r="T80" s="244">
        <v>113.0</v>
      </c>
      <c r="U80" s="169">
        <f t="shared" si="85"/>
        <v>1677.2364</v>
      </c>
      <c r="V80" s="38" t="str">
        <f t="shared" si="12"/>
        <v/>
      </c>
      <c r="W80" s="38" t="str">
        <f t="shared" si="13"/>
        <v/>
      </c>
      <c r="X80" s="11"/>
      <c r="Y80" s="11"/>
      <c r="Z80" s="11"/>
      <c r="AA80" s="11"/>
    </row>
    <row r="81" ht="13.5" customHeight="1" outlineLevel="1">
      <c r="A81" s="151"/>
      <c r="B81" s="85" t="s">
        <v>69</v>
      </c>
      <c r="C81" s="249">
        <v>0.045</v>
      </c>
      <c r="D81" s="87">
        <v>0.15</v>
      </c>
      <c r="E81" s="88">
        <v>3.1</v>
      </c>
      <c r="F81" s="156">
        <f t="shared" si="75"/>
        <v>0.020925</v>
      </c>
      <c r="G81" s="156">
        <f t="shared" si="76"/>
        <v>0.465</v>
      </c>
      <c r="H81" s="240">
        <v>800.0</v>
      </c>
      <c r="I81" s="158">
        <f t="shared" si="77"/>
        <v>933</v>
      </c>
      <c r="J81" s="159">
        <f t="shared" si="78"/>
        <v>23.436</v>
      </c>
      <c r="K81" s="160">
        <f t="shared" si="79"/>
        <v>50.4</v>
      </c>
      <c r="L81" s="161">
        <f t="shared" si="80"/>
        <v>33</v>
      </c>
      <c r="M81" s="241">
        <f t="shared" si="81"/>
        <v>0.690525</v>
      </c>
      <c r="N81" s="163">
        <f t="shared" si="82"/>
        <v>15.345</v>
      </c>
      <c r="O81" s="252"/>
      <c r="P81" s="165" t="str">
        <f t="shared" si="83"/>
        <v/>
      </c>
      <c r="Q81" s="172"/>
      <c r="R81" s="243"/>
      <c r="S81" s="165">
        <f t="shared" si="84"/>
        <v>0</v>
      </c>
      <c r="T81" s="244">
        <v>33.0</v>
      </c>
      <c r="U81" s="169">
        <f t="shared" si="85"/>
        <v>773.388</v>
      </c>
      <c r="V81" s="38" t="str">
        <f t="shared" si="12"/>
        <v/>
      </c>
      <c r="W81" s="38" t="str">
        <f t="shared" si="13"/>
        <v/>
      </c>
      <c r="X81" s="11"/>
      <c r="Y81" s="11"/>
      <c r="Z81" s="11"/>
      <c r="AA81" s="11"/>
    </row>
    <row r="82" ht="13.5" customHeight="1">
      <c r="A82" s="151"/>
      <c r="B82" s="210" t="s">
        <v>56</v>
      </c>
      <c r="C82" s="211"/>
      <c r="D82" s="212"/>
      <c r="E82" s="276" t="s">
        <v>34</v>
      </c>
      <c r="F82" s="213"/>
      <c r="G82" s="213"/>
      <c r="H82" s="214">
        <f t="shared" ref="H82:I82" si="86">AVERAGE(H75:H81)</f>
        <v>800</v>
      </c>
      <c r="I82" s="215">
        <f t="shared" si="86"/>
        <v>933</v>
      </c>
      <c r="J82" s="216"/>
      <c r="K82" s="214">
        <f>AVERAGE(K75:K81)</f>
        <v>37.28</v>
      </c>
      <c r="L82" s="217"/>
      <c r="M82" s="218">
        <f>SUM(M75:M81)</f>
        <v>5.3497443</v>
      </c>
      <c r="N82" s="218"/>
      <c r="O82" s="219"/>
      <c r="P82" s="220">
        <f t="shared" ref="P82:Q82" si="87">SUM(P75:P81)</f>
        <v>0</v>
      </c>
      <c r="Q82" s="221">
        <f t="shared" si="87"/>
        <v>0</v>
      </c>
      <c r="R82" s="262"/>
      <c r="S82" s="223">
        <f>SUM(S75:S81)</f>
        <v>0</v>
      </c>
      <c r="T82" s="224"/>
      <c r="U82" s="225">
        <f>SUM(U75:U81)</f>
        <v>5991.713616</v>
      </c>
      <c r="V82" s="38" t="str">
        <f t="shared" si="12"/>
        <v/>
      </c>
      <c r="W82" s="38" t="str">
        <f t="shared" si="13"/>
        <v/>
      </c>
      <c r="X82" s="11"/>
      <c r="Y82" s="11"/>
      <c r="Z82" s="11"/>
      <c r="AA82" s="11"/>
    </row>
    <row r="83" ht="13.5" customHeight="1">
      <c r="A83" s="151"/>
      <c r="B83" s="226" t="s">
        <v>71</v>
      </c>
      <c r="C83" s="226"/>
      <c r="D83" s="226"/>
      <c r="E83" s="226"/>
      <c r="F83" s="226"/>
      <c r="G83" s="226"/>
      <c r="H83" s="226"/>
      <c r="I83" s="230"/>
      <c r="J83" s="231"/>
      <c r="K83" s="226"/>
      <c r="L83" s="226"/>
      <c r="M83" s="226"/>
      <c r="N83" s="232"/>
      <c r="O83" s="260"/>
      <c r="P83" s="226"/>
      <c r="Q83" s="261"/>
      <c r="R83" s="236"/>
      <c r="S83" s="226"/>
      <c r="T83" s="226"/>
      <c r="U83" s="237"/>
      <c r="V83" s="38" t="str">
        <f t="shared" si="12"/>
        <v/>
      </c>
      <c r="W83" s="38" t="str">
        <f t="shared" si="13"/>
        <v/>
      </c>
      <c r="X83" s="11"/>
      <c r="Y83" s="11"/>
      <c r="Z83" s="11"/>
      <c r="AA83" s="11"/>
    </row>
    <row r="84" ht="13.5" customHeight="1" outlineLevel="1">
      <c r="A84" s="151"/>
      <c r="B84" s="248" t="s">
        <v>72</v>
      </c>
      <c r="C84" s="249">
        <v>0.045</v>
      </c>
      <c r="D84" s="170">
        <v>0.045</v>
      </c>
      <c r="E84" s="250">
        <v>6.0</v>
      </c>
      <c r="F84" s="156">
        <f t="shared" ref="F84:F85" si="88">C84*D84*E84</f>
        <v>0.01215</v>
      </c>
      <c r="G84" s="156">
        <f t="shared" ref="G84:G85" si="89">D84*E84</f>
        <v>0.27</v>
      </c>
      <c r="H84" s="240">
        <v>403.13</v>
      </c>
      <c r="I84" s="158">
        <f>ROUND(H84*1.125,0)</f>
        <v>454</v>
      </c>
      <c r="J84" s="159">
        <f t="shared" ref="J84:J85" si="90">ROUND((I84*0.992)*1.21,0)*(C84*D84*E84)</f>
        <v>6.62175</v>
      </c>
      <c r="K84" s="160">
        <f t="shared" ref="K84:K85" si="91">J84/(D84*E84)</f>
        <v>24.525</v>
      </c>
      <c r="L84" s="161">
        <f t="shared" ref="L84:L85" si="92">T84+R84-O84</f>
        <v>272</v>
      </c>
      <c r="M84" s="241">
        <f t="shared" ref="M84:M85" si="93">L84*F84</f>
        <v>3.3048</v>
      </c>
      <c r="N84" s="163">
        <f t="shared" ref="N84:N85" si="94">L84*G84</f>
        <v>73.44</v>
      </c>
      <c r="O84" s="242">
        <v>40.0</v>
      </c>
      <c r="P84" s="165">
        <f t="shared" ref="P84:P85" si="95">IF(O84="","",(O84*F84))</f>
        <v>0.486</v>
      </c>
      <c r="Q84" s="166">
        <v>245.0</v>
      </c>
      <c r="R84" s="243"/>
      <c r="S84" s="165">
        <f t="shared" ref="S84:S85" si="96">R84*F84</f>
        <v>0</v>
      </c>
      <c r="T84" s="263">
        <v>312.0</v>
      </c>
      <c r="U84" s="169">
        <f t="shared" ref="U84:U85" si="97">J84*L84</f>
        <v>1801.116</v>
      </c>
      <c r="V84" s="38">
        <f t="shared" si="12"/>
        <v>49.07882</v>
      </c>
      <c r="W84" s="38">
        <f t="shared" si="13"/>
        <v>195.92118</v>
      </c>
      <c r="X84" s="11"/>
      <c r="Y84" s="11"/>
      <c r="Z84" s="11"/>
      <c r="AA84" s="11"/>
    </row>
    <row r="85" ht="13.5" customHeight="1" outlineLevel="1">
      <c r="A85" s="151"/>
      <c r="B85" s="248" t="s">
        <v>72</v>
      </c>
      <c r="C85" s="86">
        <v>0.095</v>
      </c>
      <c r="D85" s="87">
        <v>0.095</v>
      </c>
      <c r="E85" s="277">
        <v>2.4</v>
      </c>
      <c r="F85" s="156">
        <f t="shared" si="88"/>
        <v>0.02166</v>
      </c>
      <c r="G85" s="156">
        <f t="shared" si="89"/>
        <v>0.228</v>
      </c>
      <c r="H85" s="240">
        <v>369.23</v>
      </c>
      <c r="I85" s="158">
        <f>ROUND(H85*0.9546,0)</f>
        <v>352</v>
      </c>
      <c r="J85" s="159">
        <f t="shared" si="90"/>
        <v>9.16218</v>
      </c>
      <c r="K85" s="160">
        <f t="shared" si="91"/>
        <v>40.185</v>
      </c>
      <c r="L85" s="161">
        <f t="shared" si="92"/>
        <v>69</v>
      </c>
      <c r="M85" s="241">
        <f t="shared" si="93"/>
        <v>1.49454</v>
      </c>
      <c r="N85" s="163">
        <f t="shared" si="94"/>
        <v>15.732</v>
      </c>
      <c r="O85" s="246"/>
      <c r="P85" s="165" t="str">
        <f t="shared" si="95"/>
        <v/>
      </c>
      <c r="Q85" s="166"/>
      <c r="R85" s="243"/>
      <c r="S85" s="165">
        <f t="shared" si="96"/>
        <v>0</v>
      </c>
      <c r="T85" s="244">
        <v>69.0</v>
      </c>
      <c r="U85" s="169">
        <f t="shared" si="97"/>
        <v>632.19042</v>
      </c>
      <c r="V85" s="38" t="str">
        <f t="shared" si="12"/>
        <v/>
      </c>
      <c r="W85" s="38" t="str">
        <f t="shared" si="13"/>
        <v/>
      </c>
      <c r="X85" s="11"/>
      <c r="Y85" s="11"/>
      <c r="Z85" s="11"/>
      <c r="AA85" s="11"/>
    </row>
    <row r="86" ht="13.5" customHeight="1">
      <c r="A86" s="151"/>
      <c r="B86" s="210" t="s">
        <v>56</v>
      </c>
      <c r="C86" s="211"/>
      <c r="D86" s="212"/>
      <c r="E86" s="211"/>
      <c r="F86" s="213"/>
      <c r="G86" s="213"/>
      <c r="H86" s="214">
        <f t="shared" ref="H86:I86" si="98">AVERAGE(H84:H85)</f>
        <v>386.18</v>
      </c>
      <c r="I86" s="215">
        <f t="shared" si="98"/>
        <v>403</v>
      </c>
      <c r="J86" s="216"/>
      <c r="K86" s="214">
        <f>AVERAGE(K84:K85)</f>
        <v>32.355</v>
      </c>
      <c r="L86" s="217"/>
      <c r="M86" s="278">
        <f>SUM(M84+M85)</f>
        <v>4.79934</v>
      </c>
      <c r="N86" s="218"/>
      <c r="O86" s="219"/>
      <c r="P86" s="220">
        <f t="shared" ref="P86:Q86" si="99">SUM(P84+P85)</f>
        <v>0.486</v>
      </c>
      <c r="Q86" s="216">
        <f t="shared" si="99"/>
        <v>245</v>
      </c>
      <c r="R86" s="262"/>
      <c r="S86" s="223">
        <f>SUM(S84+S85)</f>
        <v>0</v>
      </c>
      <c r="T86" s="224"/>
      <c r="U86" s="225">
        <f>SUM(U84:U85)</f>
        <v>2433.30642</v>
      </c>
      <c r="V86" s="38" t="str">
        <f t="shared" si="12"/>
        <v/>
      </c>
      <c r="W86" s="38" t="str">
        <f t="shared" si="13"/>
        <v/>
      </c>
      <c r="X86" s="11"/>
      <c r="Y86" s="11"/>
      <c r="Z86" s="11"/>
      <c r="AA86" s="11"/>
    </row>
    <row r="87" ht="13.5" customHeight="1">
      <c r="A87" s="151"/>
      <c r="B87" s="264" t="s">
        <v>73</v>
      </c>
      <c r="C87" s="226"/>
      <c r="D87" s="226"/>
      <c r="E87" s="226"/>
      <c r="F87" s="226"/>
      <c r="G87" s="226"/>
      <c r="H87" s="226"/>
      <c r="I87" s="230"/>
      <c r="J87" s="231"/>
      <c r="K87" s="226"/>
      <c r="L87" s="226"/>
      <c r="M87" s="226"/>
      <c r="N87" s="232"/>
      <c r="O87" s="260"/>
      <c r="P87" s="226"/>
      <c r="Q87" s="261"/>
      <c r="R87" s="236"/>
      <c r="S87" s="226"/>
      <c r="T87" s="226"/>
      <c r="U87" s="237"/>
      <c r="V87" s="38" t="str">
        <f t="shared" si="12"/>
        <v/>
      </c>
      <c r="W87" s="38" t="str">
        <f t="shared" si="13"/>
        <v/>
      </c>
      <c r="X87" s="11"/>
      <c r="Y87" s="11"/>
      <c r="Z87" s="11"/>
      <c r="AA87" s="11"/>
    </row>
    <row r="88" ht="13.5" customHeight="1" outlineLevel="1">
      <c r="A88" s="151"/>
      <c r="B88" s="248" t="s">
        <v>74</v>
      </c>
      <c r="C88" s="254">
        <v>0.01</v>
      </c>
      <c r="D88" s="255">
        <v>0.02</v>
      </c>
      <c r="E88" s="165">
        <v>1.6</v>
      </c>
      <c r="F88" s="156">
        <f>C88*D88*E88</f>
        <v>0.00032</v>
      </c>
      <c r="G88" s="156">
        <f>D88*E88</f>
        <v>0.032</v>
      </c>
      <c r="H88" s="240">
        <v>571.2</v>
      </c>
      <c r="I88" s="158">
        <f>ROUND(H88*1.35,0)</f>
        <v>771</v>
      </c>
      <c r="J88" s="159">
        <f>ROUND((I88*0.992)*1.21,0)*(C88*D88*E88)</f>
        <v>0.296</v>
      </c>
      <c r="K88" s="160">
        <f>J88/(D88*E88)</f>
        <v>9.25</v>
      </c>
      <c r="L88" s="161">
        <f>T88+R88-O88</f>
        <v>568</v>
      </c>
      <c r="M88" s="241">
        <f>L88*F88</f>
        <v>0.18176</v>
      </c>
      <c r="N88" s="163">
        <f>L88*G88</f>
        <v>18.176</v>
      </c>
      <c r="O88" s="252"/>
      <c r="P88" s="165" t="str">
        <f>IF(O88="","",(O88*F88))</f>
        <v/>
      </c>
      <c r="Q88" s="172"/>
      <c r="R88" s="243"/>
      <c r="S88" s="165">
        <f>R88*F88</f>
        <v>0</v>
      </c>
      <c r="T88" s="244">
        <v>568.0</v>
      </c>
      <c r="U88" s="169">
        <f>J88*L88</f>
        <v>168.128</v>
      </c>
      <c r="V88" s="38" t="str">
        <f t="shared" si="12"/>
        <v/>
      </c>
      <c r="W88" s="38" t="str">
        <f t="shared" si="13"/>
        <v/>
      </c>
      <c r="X88" s="11"/>
      <c r="Y88" s="11"/>
      <c r="Z88" s="11"/>
      <c r="AA88" s="11"/>
    </row>
    <row r="89" ht="13.5" customHeight="1">
      <c r="A89" s="151"/>
      <c r="B89" s="210" t="s">
        <v>56</v>
      </c>
      <c r="C89" s="211"/>
      <c r="D89" s="212"/>
      <c r="E89" s="211"/>
      <c r="F89" s="213"/>
      <c r="G89" s="213"/>
      <c r="H89" s="214">
        <f t="shared" ref="H89:I89" si="100">AVERAGE(H88)</f>
        <v>571.2</v>
      </c>
      <c r="I89" s="215">
        <f t="shared" si="100"/>
        <v>771</v>
      </c>
      <c r="J89" s="216"/>
      <c r="K89" s="214">
        <f>AVERAGE(K88)</f>
        <v>9.25</v>
      </c>
      <c r="L89" s="217"/>
      <c r="M89" s="218">
        <f>SUM(M88)</f>
        <v>0.18176</v>
      </c>
      <c r="N89" s="218"/>
      <c r="O89" s="219"/>
      <c r="P89" s="220">
        <f t="shared" ref="P89:Q89" si="101">SUM(P88)</f>
        <v>0</v>
      </c>
      <c r="Q89" s="221">
        <f t="shared" si="101"/>
        <v>0</v>
      </c>
      <c r="R89" s="262"/>
      <c r="S89" s="223">
        <f>SUM(S88)</f>
        <v>0</v>
      </c>
      <c r="T89" s="224"/>
      <c r="U89" s="225">
        <f>SUM(U88)</f>
        <v>168.128</v>
      </c>
      <c r="V89" s="38" t="str">
        <f t="shared" si="12"/>
        <v/>
      </c>
      <c r="W89" s="38" t="str">
        <f t="shared" si="13"/>
        <v/>
      </c>
      <c r="X89" s="11"/>
      <c r="Y89" s="11"/>
      <c r="Z89" s="11"/>
      <c r="AA89" s="11"/>
    </row>
    <row r="90" ht="13.5" customHeight="1">
      <c r="A90" s="151"/>
      <c r="B90" s="226" t="s">
        <v>75</v>
      </c>
      <c r="C90" s="226"/>
      <c r="D90" s="226"/>
      <c r="E90" s="226"/>
      <c r="F90" s="226"/>
      <c r="G90" s="226"/>
      <c r="H90" s="226"/>
      <c r="I90" s="230"/>
      <c r="J90" s="231"/>
      <c r="K90" s="226"/>
      <c r="L90" s="226"/>
      <c r="M90" s="226"/>
      <c r="N90" s="232"/>
      <c r="O90" s="260"/>
      <c r="P90" s="226"/>
      <c r="Q90" s="261"/>
      <c r="R90" s="236"/>
      <c r="S90" s="226"/>
      <c r="T90" s="226"/>
      <c r="U90" s="237"/>
      <c r="V90" s="38" t="str">
        <f t="shared" si="12"/>
        <v/>
      </c>
      <c r="W90" s="38" t="str">
        <f t="shared" si="13"/>
        <v/>
      </c>
      <c r="X90" s="11"/>
      <c r="Y90" s="11"/>
      <c r="Z90" s="11"/>
      <c r="AA90" s="11"/>
    </row>
    <row r="91" ht="13.5" customHeight="1" outlineLevel="1">
      <c r="A91" s="151"/>
      <c r="B91" s="248" t="s">
        <v>76</v>
      </c>
      <c r="C91" s="248">
        <v>0.9</v>
      </c>
      <c r="D91" s="155">
        <v>0.36</v>
      </c>
      <c r="E91" s="250">
        <v>1.04</v>
      </c>
      <c r="F91" s="279"/>
      <c r="G91" s="280"/>
      <c r="H91" s="280"/>
      <c r="I91" s="281"/>
      <c r="J91" s="282">
        <v>66.55</v>
      </c>
      <c r="K91" s="248"/>
      <c r="L91" s="161">
        <f t="shared" ref="L91:L98" si="102">T91+R91-O91</f>
        <v>1</v>
      </c>
      <c r="M91" s="283"/>
      <c r="N91" s="284"/>
      <c r="O91" s="285"/>
      <c r="P91" s="283"/>
      <c r="Q91" s="172"/>
      <c r="R91" s="286"/>
      <c r="S91" s="155"/>
      <c r="T91" s="168">
        <v>1.0</v>
      </c>
      <c r="U91" s="169">
        <f t="shared" ref="U91:U98" si="103">J91*L91</f>
        <v>66.55</v>
      </c>
      <c r="V91" s="38" t="str">
        <f t="shared" si="12"/>
        <v/>
      </c>
      <c r="W91" s="38" t="str">
        <f t="shared" si="13"/>
        <v/>
      </c>
      <c r="X91" s="11"/>
      <c r="Y91" s="11"/>
      <c r="Z91" s="11"/>
      <c r="AA91" s="11"/>
    </row>
    <row r="92" ht="13.5" customHeight="1" outlineLevel="1">
      <c r="A92" s="151"/>
      <c r="B92" s="248" t="s">
        <v>77</v>
      </c>
      <c r="C92" s="248">
        <v>0.35</v>
      </c>
      <c r="D92" s="155">
        <v>0.35</v>
      </c>
      <c r="E92" s="250">
        <v>1.0</v>
      </c>
      <c r="F92" s="279"/>
      <c r="G92" s="280"/>
      <c r="H92" s="280"/>
      <c r="I92" s="281"/>
      <c r="J92" s="282">
        <v>42.35</v>
      </c>
      <c r="K92" s="248"/>
      <c r="L92" s="161">
        <f t="shared" si="102"/>
        <v>1</v>
      </c>
      <c r="M92" s="283"/>
      <c r="N92" s="284"/>
      <c r="O92" s="285"/>
      <c r="P92" s="283"/>
      <c r="Q92" s="172"/>
      <c r="R92" s="286"/>
      <c r="S92" s="155"/>
      <c r="T92" s="168">
        <v>1.0</v>
      </c>
      <c r="U92" s="169">
        <f t="shared" si="103"/>
        <v>42.35</v>
      </c>
      <c r="V92" s="38" t="str">
        <f t="shared" si="12"/>
        <v/>
      </c>
      <c r="W92" s="38" t="str">
        <f t="shared" si="13"/>
        <v/>
      </c>
      <c r="X92" s="11"/>
      <c r="Y92" s="11"/>
      <c r="Z92" s="11"/>
      <c r="AA92" s="11"/>
    </row>
    <row r="93" ht="13.5" customHeight="1" outlineLevel="1">
      <c r="A93" s="151"/>
      <c r="B93" s="248" t="s">
        <v>78</v>
      </c>
      <c r="C93" s="248">
        <v>0.38</v>
      </c>
      <c r="D93" s="155">
        <v>0.38</v>
      </c>
      <c r="E93" s="250">
        <v>0.4</v>
      </c>
      <c r="F93" s="279"/>
      <c r="G93" s="280"/>
      <c r="H93" s="280"/>
      <c r="I93" s="281"/>
      <c r="J93" s="282">
        <v>36.3</v>
      </c>
      <c r="K93" s="248"/>
      <c r="L93" s="161">
        <f t="shared" si="102"/>
        <v>1</v>
      </c>
      <c r="M93" s="283"/>
      <c r="N93" s="284"/>
      <c r="O93" s="285"/>
      <c r="P93" s="283"/>
      <c r="Q93" s="172"/>
      <c r="R93" s="286"/>
      <c r="S93" s="155"/>
      <c r="T93" s="168">
        <v>1.0</v>
      </c>
      <c r="U93" s="169">
        <f t="shared" si="103"/>
        <v>36.3</v>
      </c>
      <c r="V93" s="38" t="str">
        <f t="shared" si="12"/>
        <v/>
      </c>
      <c r="W93" s="38" t="str">
        <f t="shared" si="13"/>
        <v/>
      </c>
      <c r="X93" s="11"/>
      <c r="Y93" s="11"/>
      <c r="Z93" s="11"/>
      <c r="AA93" s="11"/>
    </row>
    <row r="94" ht="13.5" customHeight="1" outlineLevel="1">
      <c r="A94" s="151"/>
      <c r="B94" s="248" t="s">
        <v>79</v>
      </c>
      <c r="C94" s="248">
        <v>0.9</v>
      </c>
      <c r="D94" s="155">
        <v>0.59</v>
      </c>
      <c r="E94" s="250">
        <v>1.2</v>
      </c>
      <c r="F94" s="279"/>
      <c r="G94" s="280"/>
      <c r="H94" s="280"/>
      <c r="I94" s="281"/>
      <c r="J94" s="282">
        <v>72.6</v>
      </c>
      <c r="K94" s="248"/>
      <c r="L94" s="161">
        <f t="shared" si="102"/>
        <v>1</v>
      </c>
      <c r="M94" s="283"/>
      <c r="N94" s="284"/>
      <c r="O94" s="287"/>
      <c r="P94" s="283"/>
      <c r="Q94" s="166"/>
      <c r="R94" s="286"/>
      <c r="S94" s="155"/>
      <c r="T94" s="168">
        <v>1.0</v>
      </c>
      <c r="U94" s="169">
        <f t="shared" si="103"/>
        <v>72.6</v>
      </c>
      <c r="V94" s="38" t="str">
        <f t="shared" si="12"/>
        <v/>
      </c>
      <c r="W94" s="38" t="str">
        <f t="shared" si="13"/>
        <v/>
      </c>
      <c r="X94" s="11"/>
      <c r="Y94" s="11"/>
      <c r="Z94" s="11"/>
      <c r="AA94" s="11"/>
    </row>
    <row r="95" ht="13.5" customHeight="1" outlineLevel="1">
      <c r="A95" s="151"/>
      <c r="B95" s="85" t="s">
        <v>80</v>
      </c>
      <c r="C95" s="248">
        <v>0.96</v>
      </c>
      <c r="D95" s="155">
        <v>0.8</v>
      </c>
      <c r="E95" s="250">
        <v>1.7</v>
      </c>
      <c r="F95" s="279"/>
      <c r="G95" s="280"/>
      <c r="H95" s="280"/>
      <c r="I95" s="281"/>
      <c r="J95" s="288">
        <v>170.0</v>
      </c>
      <c r="K95" s="248"/>
      <c r="L95" s="161">
        <f t="shared" si="102"/>
        <v>1</v>
      </c>
      <c r="M95" s="283"/>
      <c r="N95" s="284"/>
      <c r="O95" s="285"/>
      <c r="P95" s="283"/>
      <c r="Q95" s="172"/>
      <c r="R95" s="286"/>
      <c r="S95" s="155"/>
      <c r="T95" s="168">
        <v>1.0</v>
      </c>
      <c r="U95" s="169">
        <f t="shared" si="103"/>
        <v>170</v>
      </c>
      <c r="V95" s="38" t="str">
        <f t="shared" si="12"/>
        <v/>
      </c>
      <c r="W95" s="38" t="str">
        <f t="shared" si="13"/>
        <v/>
      </c>
      <c r="X95" s="11"/>
      <c r="Y95" s="11"/>
      <c r="Z95" s="11"/>
      <c r="AA95" s="11"/>
    </row>
    <row r="96" ht="13.5" customHeight="1" outlineLevel="1">
      <c r="A96" s="151"/>
      <c r="B96" s="85" t="s">
        <v>81</v>
      </c>
      <c r="C96" s="248">
        <v>0.96</v>
      </c>
      <c r="D96" s="155">
        <v>0.8</v>
      </c>
      <c r="E96" s="250">
        <v>1.7</v>
      </c>
      <c r="F96" s="279"/>
      <c r="G96" s="280"/>
      <c r="H96" s="280"/>
      <c r="I96" s="281"/>
      <c r="J96" s="288">
        <v>150.0</v>
      </c>
      <c r="K96" s="248"/>
      <c r="L96" s="161">
        <f t="shared" si="102"/>
        <v>1</v>
      </c>
      <c r="M96" s="283"/>
      <c r="N96" s="284"/>
      <c r="O96" s="285"/>
      <c r="P96" s="283"/>
      <c r="Q96" s="172"/>
      <c r="R96" s="286"/>
      <c r="S96" s="155"/>
      <c r="T96" s="168">
        <v>1.0</v>
      </c>
      <c r="U96" s="169">
        <f t="shared" si="103"/>
        <v>150</v>
      </c>
      <c r="V96" s="38" t="str">
        <f t="shared" si="12"/>
        <v/>
      </c>
      <c r="W96" s="38" t="str">
        <f t="shared" si="13"/>
        <v/>
      </c>
      <c r="X96" s="11"/>
      <c r="Y96" s="11"/>
      <c r="Z96" s="11"/>
      <c r="AA96" s="11"/>
    </row>
    <row r="97" ht="13.5" customHeight="1" outlineLevel="1">
      <c r="A97" s="151"/>
      <c r="B97" s="248" t="s">
        <v>82</v>
      </c>
      <c r="C97" s="248">
        <v>0.96</v>
      </c>
      <c r="D97" s="155">
        <v>0.8</v>
      </c>
      <c r="E97" s="250">
        <v>1.7</v>
      </c>
      <c r="F97" s="279"/>
      <c r="G97" s="280"/>
      <c r="H97" s="280"/>
      <c r="I97" s="281"/>
      <c r="J97" s="288">
        <v>150.0</v>
      </c>
      <c r="K97" s="248"/>
      <c r="L97" s="161">
        <f t="shared" si="102"/>
        <v>1</v>
      </c>
      <c r="M97" s="283"/>
      <c r="N97" s="284"/>
      <c r="O97" s="285"/>
      <c r="P97" s="283"/>
      <c r="Q97" s="172"/>
      <c r="R97" s="286"/>
      <c r="S97" s="155"/>
      <c r="T97" s="168">
        <v>1.0</v>
      </c>
      <c r="U97" s="169">
        <f t="shared" si="103"/>
        <v>150</v>
      </c>
      <c r="V97" s="38" t="str">
        <f t="shared" si="12"/>
        <v/>
      </c>
      <c r="W97" s="38" t="str">
        <f t="shared" si="13"/>
        <v/>
      </c>
      <c r="X97" s="11"/>
      <c r="Y97" s="11"/>
      <c r="Z97" s="11"/>
      <c r="AA97" s="11"/>
    </row>
    <row r="98" ht="13.5" customHeight="1" outlineLevel="1">
      <c r="A98" s="151"/>
      <c r="B98" s="258" t="s">
        <v>83</v>
      </c>
      <c r="C98" s="258">
        <v>0.14</v>
      </c>
      <c r="D98" s="197">
        <v>0.35</v>
      </c>
      <c r="E98" s="289">
        <v>0.91</v>
      </c>
      <c r="F98" s="290"/>
      <c r="G98" s="291"/>
      <c r="H98" s="291"/>
      <c r="I98" s="292"/>
      <c r="J98" s="293"/>
      <c r="K98" s="258"/>
      <c r="L98" s="161">
        <f t="shared" si="102"/>
        <v>1</v>
      </c>
      <c r="M98" s="294"/>
      <c r="N98" s="295"/>
      <c r="O98" s="296"/>
      <c r="P98" s="294"/>
      <c r="Q98" s="172"/>
      <c r="R98" s="297"/>
      <c r="S98" s="197"/>
      <c r="T98" s="168">
        <v>1.0</v>
      </c>
      <c r="U98" s="169">
        <f t="shared" si="103"/>
        <v>0</v>
      </c>
      <c r="V98" s="38" t="str">
        <f t="shared" si="12"/>
        <v/>
      </c>
      <c r="W98" s="38" t="str">
        <f t="shared" si="13"/>
        <v/>
      </c>
      <c r="X98" s="11"/>
      <c r="Y98" s="11"/>
      <c r="Z98" s="11"/>
      <c r="AA98" s="11"/>
    </row>
    <row r="99" ht="15.0" customHeight="1">
      <c r="A99" s="151"/>
      <c r="B99" s="211" t="s">
        <v>56</v>
      </c>
      <c r="C99" s="298"/>
      <c r="D99" s="298"/>
      <c r="E99" s="298"/>
      <c r="F99" s="298"/>
      <c r="G99" s="298"/>
      <c r="H99" s="298"/>
      <c r="I99" s="299"/>
      <c r="J99" s="300"/>
      <c r="K99" s="211"/>
      <c r="L99" s="217"/>
      <c r="M99" s="218"/>
      <c r="N99" s="301"/>
      <c r="O99" s="300"/>
      <c r="P99" s="220"/>
      <c r="Q99" s="221">
        <f>SUM(Q91:Q98)</f>
        <v>0</v>
      </c>
      <c r="R99" s="262"/>
      <c r="S99" s="223">
        <f>SUM(S91:S98)</f>
        <v>0</v>
      </c>
      <c r="T99" s="224"/>
      <c r="U99" s="225">
        <f>SUM(U91:U98)</f>
        <v>687.8</v>
      </c>
      <c r="V99" s="38" t="str">
        <f t="shared" si="12"/>
        <v/>
      </c>
      <c r="W99" s="38" t="str">
        <f t="shared" si="13"/>
        <v/>
      </c>
      <c r="X99" s="11"/>
      <c r="Y99" s="11"/>
      <c r="Z99" s="11"/>
      <c r="AA99" s="11"/>
    </row>
    <row r="100" ht="15.0" customHeight="1">
      <c r="A100" s="29"/>
      <c r="B100" s="302" t="s">
        <v>84</v>
      </c>
      <c r="C100" s="303"/>
      <c r="D100" s="303"/>
      <c r="E100" s="303"/>
      <c r="F100" s="303"/>
      <c r="G100" s="303"/>
      <c r="H100" s="304">
        <f t="shared" ref="H100:I100" si="104">AVERAGE(H29:H58:H64:H68:H73:H82:H86:H89)</f>
        <v>489.0737705</v>
      </c>
      <c r="I100" s="305">
        <f t="shared" si="104"/>
        <v>557.4480057</v>
      </c>
      <c r="J100" s="306"/>
      <c r="K100" s="304">
        <f>AVERAGE(K29:K58:K64:K68:K73:K82:K86:K89)</f>
        <v>16.39174709</v>
      </c>
      <c r="L100" s="307"/>
      <c r="M100" s="303">
        <f>SUM(M29+M58+M64+M68+M73+M82+M86+M89)</f>
        <v>166.3814684</v>
      </c>
      <c r="N100" s="308"/>
      <c r="O100" s="309"/>
      <c r="P100" s="304">
        <f>SUM(P29+P58+P64+P68+P73+P82+P86+P89)</f>
        <v>0.54</v>
      </c>
      <c r="Q100" s="310">
        <f>SUM(Q29+Q58+Q64+Q68+Q73+Q82+Q86+Q89+Q99)</f>
        <v>270</v>
      </c>
      <c r="R100" s="311"/>
      <c r="S100" s="304">
        <f>SUM(S29+S58+S64+S68+S73+S82+S86+S89+S99)</f>
        <v>0</v>
      </c>
      <c r="T100" s="312"/>
      <c r="U100" s="313">
        <f>SUM(U29+U58+U64+U68+U73+U82+U86+U89+U99)</f>
        <v>98115.5236</v>
      </c>
      <c r="V100" s="38" t="str">
        <f t="shared" si="12"/>
        <v/>
      </c>
      <c r="W100" s="38" t="str">
        <f t="shared" si="13"/>
        <v/>
      </c>
      <c r="X100" s="11"/>
      <c r="Y100" s="11"/>
      <c r="Z100" s="11"/>
      <c r="AA100" s="11"/>
    </row>
    <row r="101" ht="13.5" customHeight="1">
      <c r="A101" s="314" t="s">
        <v>85</v>
      </c>
      <c r="B101" s="264" t="s">
        <v>86</v>
      </c>
      <c r="C101" s="226"/>
      <c r="D101" s="226"/>
      <c r="E101" s="226"/>
      <c r="F101" s="226"/>
      <c r="G101" s="226"/>
      <c r="H101" s="226"/>
      <c r="I101" s="230"/>
      <c r="J101" s="231"/>
      <c r="K101" s="226"/>
      <c r="L101" s="226"/>
      <c r="M101" s="226"/>
      <c r="N101" s="232"/>
      <c r="O101" s="260"/>
      <c r="P101" s="226"/>
      <c r="Q101" s="261"/>
      <c r="R101" s="236"/>
      <c r="S101" s="226"/>
      <c r="T101" s="226"/>
      <c r="U101" s="237"/>
      <c r="V101" s="38" t="str">
        <f t="shared" si="12"/>
        <v/>
      </c>
      <c r="W101" s="38" t="str">
        <f t="shared" si="13"/>
        <v/>
      </c>
      <c r="X101" s="11"/>
      <c r="Y101" s="11"/>
      <c r="Z101" s="11"/>
      <c r="AA101" s="11"/>
    </row>
    <row r="102" ht="13.5" customHeight="1" outlineLevel="1">
      <c r="A102" s="315"/>
      <c r="B102" s="85" t="s">
        <v>87</v>
      </c>
      <c r="C102" s="238">
        <v>0.045</v>
      </c>
      <c r="D102" s="239">
        <v>0.12</v>
      </c>
      <c r="E102" s="245">
        <v>3.9</v>
      </c>
      <c r="F102" s="156">
        <f t="shared" ref="F102:F107" si="105">C102*D102*E102</f>
        <v>0.02106</v>
      </c>
      <c r="G102" s="156">
        <f t="shared" ref="G102:G107" si="106">D102*E102</f>
        <v>0.468</v>
      </c>
      <c r="H102" s="240">
        <v>210.0</v>
      </c>
      <c r="I102" s="316">
        <v>300.0</v>
      </c>
      <c r="J102" s="159">
        <f t="shared" ref="J102:J106" si="107">I102*F102</f>
        <v>6.318</v>
      </c>
      <c r="K102" s="160">
        <f t="shared" ref="K102:K107" si="108">J102/(D102*E102)</f>
        <v>13.5</v>
      </c>
      <c r="L102" s="161">
        <f t="shared" ref="L102:L107" si="109">T102+R102-O102</f>
        <v>160</v>
      </c>
      <c r="M102" s="241">
        <f t="shared" ref="M102:M107" si="110">L102*F102</f>
        <v>3.3696</v>
      </c>
      <c r="N102" s="163">
        <f t="shared" ref="N102:N107" si="111">L102*G102</f>
        <v>74.88</v>
      </c>
      <c r="O102" s="246"/>
      <c r="P102" s="165" t="str">
        <f t="shared" ref="P102:P107" si="112">IF(O102="","",(O102*F102))</f>
        <v/>
      </c>
      <c r="Q102" s="166"/>
      <c r="R102" s="243"/>
      <c r="S102" s="165">
        <f t="shared" ref="S102:S107" si="113">R102*F102</f>
        <v>0</v>
      </c>
      <c r="T102" s="263">
        <v>160.0</v>
      </c>
      <c r="U102" s="169">
        <f t="shared" ref="U102:U107" si="114">J102*L102</f>
        <v>1010.88</v>
      </c>
      <c r="V102" s="38" t="str">
        <f t="shared" si="12"/>
        <v/>
      </c>
      <c r="W102" s="38" t="str">
        <f t="shared" si="13"/>
        <v/>
      </c>
      <c r="X102" s="11"/>
      <c r="Y102" s="11"/>
      <c r="Z102" s="11"/>
      <c r="AA102" s="11"/>
    </row>
    <row r="103" ht="13.5" customHeight="1" outlineLevel="1">
      <c r="A103" s="315"/>
      <c r="B103" s="85" t="s">
        <v>87</v>
      </c>
      <c r="C103" s="238">
        <v>0.045</v>
      </c>
      <c r="D103" s="239">
        <v>0.12</v>
      </c>
      <c r="E103" s="245">
        <v>4.2</v>
      </c>
      <c r="F103" s="156">
        <f t="shared" si="105"/>
        <v>0.02268</v>
      </c>
      <c r="G103" s="156">
        <f t="shared" si="106"/>
        <v>0.504</v>
      </c>
      <c r="H103" s="240">
        <v>210.0</v>
      </c>
      <c r="I103" s="316">
        <v>300.0</v>
      </c>
      <c r="J103" s="159">
        <f t="shared" si="107"/>
        <v>6.804</v>
      </c>
      <c r="K103" s="160">
        <f t="shared" si="108"/>
        <v>13.5</v>
      </c>
      <c r="L103" s="161">
        <f t="shared" si="109"/>
        <v>1280</v>
      </c>
      <c r="M103" s="241">
        <f t="shared" si="110"/>
        <v>29.0304</v>
      </c>
      <c r="N103" s="163">
        <f t="shared" si="111"/>
        <v>645.12</v>
      </c>
      <c r="O103" s="252"/>
      <c r="P103" s="165" t="str">
        <f t="shared" si="112"/>
        <v/>
      </c>
      <c r="Q103" s="172"/>
      <c r="R103" s="243"/>
      <c r="S103" s="165">
        <f t="shared" si="113"/>
        <v>0</v>
      </c>
      <c r="T103" s="244">
        <v>1280.0</v>
      </c>
      <c r="U103" s="169">
        <f t="shared" si="114"/>
        <v>8709.12</v>
      </c>
      <c r="V103" s="38" t="str">
        <f t="shared" si="12"/>
        <v/>
      </c>
      <c r="W103" s="38" t="str">
        <f t="shared" si="13"/>
        <v/>
      </c>
      <c r="X103" s="11"/>
      <c r="Y103" s="11"/>
      <c r="Z103" s="11"/>
      <c r="AA103" s="11"/>
    </row>
    <row r="104" ht="13.5" customHeight="1" outlineLevel="1">
      <c r="A104" s="315"/>
      <c r="B104" s="449" t="s">
        <v>88</v>
      </c>
      <c r="C104" s="238">
        <v>0.045</v>
      </c>
      <c r="D104" s="239">
        <v>0.145</v>
      </c>
      <c r="E104" s="245">
        <v>4.8</v>
      </c>
      <c r="F104" s="156">
        <f t="shared" si="105"/>
        <v>0.03132</v>
      </c>
      <c r="G104" s="156">
        <f t="shared" si="106"/>
        <v>0.696</v>
      </c>
      <c r="H104" s="240">
        <f>345+2.7</f>
        <v>347.7</v>
      </c>
      <c r="I104" s="158">
        <f>H104*1.05838</f>
        <v>367.998726</v>
      </c>
      <c r="J104" s="159">
        <f t="shared" si="107"/>
        <v>11.5257201</v>
      </c>
      <c r="K104" s="160">
        <f t="shared" si="108"/>
        <v>16.55994267</v>
      </c>
      <c r="L104" s="161">
        <f t="shared" si="109"/>
        <v>336</v>
      </c>
      <c r="M104" s="241">
        <f t="shared" si="110"/>
        <v>10.52352</v>
      </c>
      <c r="N104" s="163">
        <f t="shared" si="111"/>
        <v>233.856</v>
      </c>
      <c r="O104" s="252"/>
      <c r="P104" s="165" t="str">
        <f t="shared" si="112"/>
        <v/>
      </c>
      <c r="Q104" s="172"/>
      <c r="R104" s="243"/>
      <c r="S104" s="165">
        <f t="shared" si="113"/>
        <v>0</v>
      </c>
      <c r="T104" s="244">
        <v>336.0</v>
      </c>
      <c r="U104" s="169">
        <f t="shared" si="114"/>
        <v>3872.641953</v>
      </c>
      <c r="V104" s="38" t="str">
        <f t="shared" si="12"/>
        <v/>
      </c>
      <c r="W104" s="38" t="str">
        <f t="shared" si="13"/>
        <v/>
      </c>
      <c r="X104" s="11"/>
      <c r="Y104" s="11"/>
      <c r="Z104" s="11"/>
      <c r="AA104" s="11"/>
    </row>
    <row r="105" ht="13.5" customHeight="1" outlineLevel="1">
      <c r="A105" s="315"/>
      <c r="B105" s="449" t="s">
        <v>88</v>
      </c>
      <c r="C105" s="238">
        <v>0.045</v>
      </c>
      <c r="D105" s="239">
        <v>0.145</v>
      </c>
      <c r="E105" s="245">
        <v>6.0</v>
      </c>
      <c r="F105" s="156">
        <f t="shared" si="105"/>
        <v>0.03915</v>
      </c>
      <c r="G105" s="156">
        <f t="shared" si="106"/>
        <v>0.87</v>
      </c>
      <c r="H105" s="240">
        <f>370+2.9</f>
        <v>372.9</v>
      </c>
      <c r="I105" s="158">
        <f>H105*1.0539</f>
        <v>392.99931</v>
      </c>
      <c r="J105" s="159">
        <f t="shared" si="107"/>
        <v>15.38592299</v>
      </c>
      <c r="K105" s="160">
        <f t="shared" si="108"/>
        <v>17.68496895</v>
      </c>
      <c r="L105" s="161">
        <f t="shared" si="109"/>
        <v>315</v>
      </c>
      <c r="M105" s="241">
        <f t="shared" si="110"/>
        <v>12.33225</v>
      </c>
      <c r="N105" s="163">
        <f t="shared" si="111"/>
        <v>274.05</v>
      </c>
      <c r="O105" s="252"/>
      <c r="P105" s="165" t="str">
        <f t="shared" si="112"/>
        <v/>
      </c>
      <c r="Q105" s="172"/>
      <c r="R105" s="243"/>
      <c r="S105" s="165">
        <f t="shared" si="113"/>
        <v>0</v>
      </c>
      <c r="T105" s="244">
        <v>315.0</v>
      </c>
      <c r="U105" s="169">
        <f t="shared" si="114"/>
        <v>4846.565741</v>
      </c>
      <c r="V105" s="38" t="str">
        <f t="shared" si="12"/>
        <v/>
      </c>
      <c r="W105" s="38" t="str">
        <f t="shared" si="13"/>
        <v/>
      </c>
      <c r="X105" s="11"/>
      <c r="Y105" s="11"/>
      <c r="Z105" s="11"/>
      <c r="AA105" s="11"/>
    </row>
    <row r="106" ht="13.5" customHeight="1" outlineLevel="1">
      <c r="A106" s="315"/>
      <c r="B106" s="449" t="s">
        <v>88</v>
      </c>
      <c r="C106" s="86">
        <v>0.045</v>
      </c>
      <c r="D106" s="87">
        <v>0.195</v>
      </c>
      <c r="E106" s="88">
        <v>4.8</v>
      </c>
      <c r="F106" s="156">
        <f t="shared" si="105"/>
        <v>0.04212</v>
      </c>
      <c r="G106" s="156">
        <f t="shared" si="106"/>
        <v>0.936</v>
      </c>
      <c r="H106" s="240">
        <f>345+2.7</f>
        <v>347.7</v>
      </c>
      <c r="I106" s="158">
        <f>H106*1.05838</f>
        <v>367.998726</v>
      </c>
      <c r="J106" s="159">
        <f t="shared" si="107"/>
        <v>15.50010634</v>
      </c>
      <c r="K106" s="160">
        <f t="shared" si="108"/>
        <v>16.55994267</v>
      </c>
      <c r="L106" s="161">
        <f t="shared" si="109"/>
        <v>180</v>
      </c>
      <c r="M106" s="241">
        <f t="shared" si="110"/>
        <v>7.5816</v>
      </c>
      <c r="N106" s="163">
        <f t="shared" si="111"/>
        <v>168.48</v>
      </c>
      <c r="O106" s="252"/>
      <c r="P106" s="165" t="str">
        <f t="shared" si="112"/>
        <v/>
      </c>
      <c r="Q106" s="172"/>
      <c r="R106" s="243"/>
      <c r="S106" s="165">
        <f t="shared" si="113"/>
        <v>0</v>
      </c>
      <c r="T106" s="244">
        <v>180.0</v>
      </c>
      <c r="U106" s="169">
        <f t="shared" si="114"/>
        <v>2790.019141</v>
      </c>
      <c r="V106" s="38" t="str">
        <f t="shared" si="12"/>
        <v/>
      </c>
      <c r="W106" s="38" t="str">
        <f t="shared" si="13"/>
        <v/>
      </c>
      <c r="X106" s="11"/>
      <c r="Y106" s="11"/>
      <c r="Z106" s="11"/>
      <c r="AA106" s="11"/>
    </row>
    <row r="107" ht="13.5" customHeight="1" outlineLevel="1">
      <c r="A107" s="315"/>
      <c r="B107" s="449" t="s">
        <v>89</v>
      </c>
      <c r="C107" s="238">
        <v>0.045</v>
      </c>
      <c r="D107" s="239">
        <v>0.195</v>
      </c>
      <c r="E107" s="245">
        <v>6.0</v>
      </c>
      <c r="F107" s="156">
        <f t="shared" si="105"/>
        <v>0.05265</v>
      </c>
      <c r="G107" s="156">
        <f t="shared" si="106"/>
        <v>1.17</v>
      </c>
      <c r="H107" s="240">
        <f>370+2.9</f>
        <v>372.9</v>
      </c>
      <c r="I107" s="158">
        <f>ROUND(H107*1.1667,0)</f>
        <v>435</v>
      </c>
      <c r="J107" s="159">
        <f>ROUND((I107*0.992)*1.21,0)*(C107*D107*E107)</f>
        <v>27.4833</v>
      </c>
      <c r="K107" s="160">
        <f t="shared" si="108"/>
        <v>23.49</v>
      </c>
      <c r="L107" s="161">
        <f t="shared" si="109"/>
        <v>83</v>
      </c>
      <c r="M107" s="241">
        <f t="shared" si="110"/>
        <v>4.36995</v>
      </c>
      <c r="N107" s="163">
        <f t="shared" si="111"/>
        <v>97.11</v>
      </c>
      <c r="O107" s="246"/>
      <c r="P107" s="165" t="str">
        <f t="shared" si="112"/>
        <v/>
      </c>
      <c r="Q107" s="166"/>
      <c r="R107" s="243"/>
      <c r="S107" s="165">
        <f t="shared" si="113"/>
        <v>0</v>
      </c>
      <c r="T107" s="263">
        <v>83.0</v>
      </c>
      <c r="U107" s="169">
        <f t="shared" si="114"/>
        <v>2281.1139</v>
      </c>
      <c r="V107" s="38" t="str">
        <f t="shared" si="12"/>
        <v/>
      </c>
      <c r="W107" s="38" t="str">
        <f t="shared" si="13"/>
        <v/>
      </c>
      <c r="X107" s="11"/>
      <c r="Y107" s="11"/>
      <c r="Z107" s="11"/>
      <c r="AA107" s="11"/>
    </row>
    <row r="108" ht="15.0" customHeight="1">
      <c r="A108" s="315"/>
      <c r="B108" s="317" t="s">
        <v>90</v>
      </c>
      <c r="C108" s="318"/>
      <c r="D108" s="318"/>
      <c r="E108" s="318"/>
      <c r="F108" s="318"/>
      <c r="G108" s="318"/>
      <c r="H108" s="319">
        <f t="shared" ref="H108:I108" si="115">AVERAGE(H102:H107)</f>
        <v>310.2</v>
      </c>
      <c r="I108" s="320">
        <f t="shared" si="115"/>
        <v>360.666127</v>
      </c>
      <c r="J108" s="321"/>
      <c r="K108" s="319">
        <f>AVERAGE(K102:K107)</f>
        <v>16.88247572</v>
      </c>
      <c r="L108" s="322"/>
      <c r="M108" s="323">
        <f>SUM(M102:M107)</f>
        <v>67.20732</v>
      </c>
      <c r="N108" s="324"/>
      <c r="O108" s="325"/>
      <c r="P108" s="323">
        <f t="shared" ref="P108:Q108" si="116">SUM(P102:P107)</f>
        <v>0</v>
      </c>
      <c r="Q108" s="326">
        <f t="shared" si="116"/>
        <v>0</v>
      </c>
      <c r="R108" s="327"/>
      <c r="S108" s="328">
        <f>SUM(S104:S107)</f>
        <v>0</v>
      </c>
      <c r="T108" s="329"/>
      <c r="U108" s="330">
        <f>SUM(U102:U107)</f>
        <v>23510.34073</v>
      </c>
      <c r="V108" s="38" t="str">
        <f t="shared" si="12"/>
        <v/>
      </c>
      <c r="W108" s="38" t="str">
        <f t="shared" si="13"/>
        <v/>
      </c>
      <c r="X108" s="11"/>
      <c r="Y108" s="11"/>
      <c r="Z108" s="11"/>
      <c r="AA108" s="11"/>
    </row>
    <row r="109" ht="13.5" customHeight="1">
      <c r="A109" s="331" t="s">
        <v>34</v>
      </c>
      <c r="B109" s="264" t="s">
        <v>92</v>
      </c>
      <c r="C109" s="226"/>
      <c r="D109" s="226"/>
      <c r="E109" s="226"/>
      <c r="F109" s="226"/>
      <c r="G109" s="226"/>
      <c r="H109" s="226"/>
      <c r="I109" s="230"/>
      <c r="J109" s="231"/>
      <c r="K109" s="226"/>
      <c r="L109" s="226"/>
      <c r="M109" s="226"/>
      <c r="N109" s="232"/>
      <c r="O109" s="260"/>
      <c r="P109" s="226"/>
      <c r="Q109" s="261"/>
      <c r="R109" s="236"/>
      <c r="S109" s="226"/>
      <c r="T109" s="226"/>
      <c r="U109" s="237"/>
      <c r="V109" s="38" t="str">
        <f t="shared" si="12"/>
        <v/>
      </c>
      <c r="W109" s="38" t="str">
        <f t="shared" si="13"/>
        <v/>
      </c>
      <c r="X109" s="11"/>
      <c r="Y109" s="11"/>
      <c r="Z109" s="11"/>
      <c r="AA109" s="11"/>
    </row>
    <row r="110" ht="13.5" customHeight="1" outlineLevel="1">
      <c r="A110" s="315"/>
      <c r="B110" s="350" t="s">
        <v>118</v>
      </c>
      <c r="C110" s="254">
        <v>0.01</v>
      </c>
      <c r="D110" s="255">
        <v>0.02</v>
      </c>
      <c r="E110" s="165">
        <v>1.6</v>
      </c>
      <c r="F110" s="156">
        <f t="shared" ref="F110:F172" si="117">C110*D110*E110</f>
        <v>0.00032</v>
      </c>
      <c r="G110" s="156">
        <f t="shared" ref="G110:G172" si="118">D110*E110</f>
        <v>0.032</v>
      </c>
      <c r="H110" s="240">
        <v>571.2</v>
      </c>
      <c r="I110" s="158"/>
      <c r="J110" s="159"/>
      <c r="K110" s="160"/>
      <c r="L110" s="161"/>
      <c r="M110" s="241"/>
      <c r="N110" s="163"/>
      <c r="O110" s="252"/>
      <c r="P110" s="165"/>
      <c r="Q110" s="172"/>
      <c r="R110" s="243"/>
      <c r="S110" s="165"/>
      <c r="T110" s="244"/>
      <c r="U110" s="169"/>
      <c r="V110" s="38" t="str">
        <f t="shared" si="12"/>
        <v/>
      </c>
      <c r="W110" s="38" t="str">
        <f t="shared" si="13"/>
        <v/>
      </c>
      <c r="X110" s="11"/>
      <c r="Y110" s="11"/>
      <c r="Z110" s="11"/>
      <c r="AA110" s="11"/>
    </row>
    <row r="111" ht="13.5" customHeight="1" outlineLevel="1">
      <c r="A111" s="315"/>
      <c r="B111" s="85" t="s">
        <v>94</v>
      </c>
      <c r="C111" s="238">
        <v>0.02</v>
      </c>
      <c r="D111" s="239">
        <v>0.045</v>
      </c>
      <c r="E111" s="245">
        <v>2.5</v>
      </c>
      <c r="F111" s="156">
        <f t="shared" si="117"/>
        <v>0.00225</v>
      </c>
      <c r="G111" s="156">
        <f t="shared" si="118"/>
        <v>0.1125</v>
      </c>
      <c r="H111" s="450">
        <f>600/1.1667</f>
        <v>514.2710208</v>
      </c>
      <c r="I111" s="158">
        <f t="shared" ref="I111:I112" si="119">ROUND(H111*1.1667,0)</f>
        <v>600</v>
      </c>
      <c r="J111" s="159">
        <f t="shared" ref="J111:J124" si="120">ROUND((I111*0.992)*1.21,0)*(C111*D111*E111)</f>
        <v>1.62</v>
      </c>
      <c r="K111" s="160">
        <f t="shared" ref="K111:K172" si="121">J111/(D111*E111)</f>
        <v>14.4</v>
      </c>
      <c r="L111" s="161">
        <f t="shared" ref="L111:L116" si="122">T111+R111-O111</f>
        <v>249</v>
      </c>
      <c r="M111" s="241">
        <f t="shared" ref="M111:M172" si="123">L111*F111</f>
        <v>0.56025</v>
      </c>
      <c r="N111" s="163">
        <f t="shared" ref="N111:N172" si="124">L111*G111</f>
        <v>28.0125</v>
      </c>
      <c r="O111" s="246"/>
      <c r="P111" s="165" t="str">
        <f t="shared" ref="P111:P172" si="125">IF(O111="","",(O111*F111))</f>
        <v/>
      </c>
      <c r="Q111" s="166"/>
      <c r="R111" s="243"/>
      <c r="S111" s="165">
        <f t="shared" ref="S111:S172" si="126">R111*F111</f>
        <v>0</v>
      </c>
      <c r="T111" s="244">
        <v>249.0</v>
      </c>
      <c r="U111" s="169">
        <f t="shared" ref="U111:U172" si="127">J111*L111</f>
        <v>403.38</v>
      </c>
      <c r="V111" s="38" t="str">
        <f t="shared" si="12"/>
        <v/>
      </c>
      <c r="W111" s="38" t="str">
        <f t="shared" si="13"/>
        <v/>
      </c>
      <c r="X111" s="11"/>
      <c r="Y111" s="11"/>
      <c r="Z111" s="11"/>
      <c r="AA111" s="11"/>
    </row>
    <row r="112" ht="13.5" customHeight="1" outlineLevel="1">
      <c r="A112" s="315"/>
      <c r="B112" s="85" t="s">
        <v>94</v>
      </c>
      <c r="C112" s="238">
        <v>0.02</v>
      </c>
      <c r="D112" s="239">
        <v>0.045</v>
      </c>
      <c r="E112" s="245">
        <v>3.0</v>
      </c>
      <c r="F112" s="156">
        <f t="shared" si="117"/>
        <v>0.0027</v>
      </c>
      <c r="G112" s="156">
        <f t="shared" si="118"/>
        <v>0.135</v>
      </c>
      <c r="H112" s="240">
        <v>514.27</v>
      </c>
      <c r="I112" s="158">
        <f t="shared" si="119"/>
        <v>600</v>
      </c>
      <c r="J112" s="159">
        <f t="shared" si="120"/>
        <v>1.944</v>
      </c>
      <c r="K112" s="160">
        <f t="shared" si="121"/>
        <v>14.4</v>
      </c>
      <c r="L112" s="161">
        <f t="shared" si="122"/>
        <v>2280</v>
      </c>
      <c r="M112" s="241">
        <f t="shared" si="123"/>
        <v>6.156</v>
      </c>
      <c r="N112" s="163">
        <f t="shared" si="124"/>
        <v>307.8</v>
      </c>
      <c r="O112" s="246"/>
      <c r="P112" s="165" t="str">
        <f t="shared" si="125"/>
        <v/>
      </c>
      <c r="Q112" s="166"/>
      <c r="R112" s="243"/>
      <c r="S112" s="165">
        <f t="shared" si="126"/>
        <v>0</v>
      </c>
      <c r="T112" s="244">
        <v>2280.0</v>
      </c>
      <c r="U112" s="169">
        <f t="shared" si="127"/>
        <v>4432.32</v>
      </c>
      <c r="V112" s="38" t="str">
        <f t="shared" si="12"/>
        <v/>
      </c>
      <c r="W112" s="38" t="str">
        <f t="shared" si="13"/>
        <v/>
      </c>
      <c r="X112" s="11"/>
      <c r="Y112" s="11"/>
      <c r="Z112" s="11"/>
      <c r="AA112" s="11"/>
    </row>
    <row r="113" ht="13.5" customHeight="1" outlineLevel="1">
      <c r="A113" s="315"/>
      <c r="B113" s="114" t="s">
        <v>95</v>
      </c>
      <c r="C113" s="334">
        <v>0.023</v>
      </c>
      <c r="D113" s="335">
        <v>0.1</v>
      </c>
      <c r="E113" s="273">
        <v>4.8</v>
      </c>
      <c r="F113" s="184">
        <f t="shared" si="117"/>
        <v>0.01104</v>
      </c>
      <c r="G113" s="184">
        <f t="shared" si="118"/>
        <v>0.48</v>
      </c>
      <c r="H113" s="451">
        <v>228.8</v>
      </c>
      <c r="I113" s="337">
        <f>ROUND(H113*1.225,0)</f>
        <v>280</v>
      </c>
      <c r="J113" s="338">
        <f t="shared" si="120"/>
        <v>3.70944</v>
      </c>
      <c r="K113" s="267">
        <f t="shared" si="121"/>
        <v>7.728</v>
      </c>
      <c r="L113" s="339">
        <f t="shared" si="122"/>
        <v>1558</v>
      </c>
      <c r="M113" s="269">
        <f t="shared" si="123"/>
        <v>17.20032</v>
      </c>
      <c r="N113" s="188">
        <f t="shared" si="124"/>
        <v>747.84</v>
      </c>
      <c r="O113" s="340">
        <v>40.0</v>
      </c>
      <c r="P113" s="165">
        <f t="shared" si="125"/>
        <v>0.4416</v>
      </c>
      <c r="Q113" s="341">
        <v>145.0</v>
      </c>
      <c r="R113" s="272"/>
      <c r="S113" s="273">
        <f t="shared" si="126"/>
        <v>0</v>
      </c>
      <c r="T113" s="342">
        <v>1598.0</v>
      </c>
      <c r="U113" s="343">
        <f t="shared" si="127"/>
        <v>5779.30752</v>
      </c>
      <c r="V113" s="38">
        <f t="shared" si="12"/>
        <v>43.96192</v>
      </c>
      <c r="W113" s="38">
        <f t="shared" si="13"/>
        <v>101.03808</v>
      </c>
      <c r="X113" s="11"/>
      <c r="Y113" s="11"/>
      <c r="Z113" s="11"/>
      <c r="AA113" s="11"/>
    </row>
    <row r="114" ht="13.5" customHeight="1" outlineLevel="1">
      <c r="A114" s="315"/>
      <c r="B114" s="85" t="s">
        <v>74</v>
      </c>
      <c r="C114" s="238">
        <v>0.025</v>
      </c>
      <c r="D114" s="239">
        <v>0.025</v>
      </c>
      <c r="E114" s="245">
        <v>1.2</v>
      </c>
      <c r="F114" s="156">
        <f t="shared" si="117"/>
        <v>0.00075</v>
      </c>
      <c r="G114" s="156">
        <f t="shared" si="118"/>
        <v>0.03</v>
      </c>
      <c r="H114" s="240">
        <v>240.0</v>
      </c>
      <c r="I114" s="158">
        <f t="shared" ref="I114:I124" si="128">ROUND(H114*1.1667,0)</f>
        <v>280</v>
      </c>
      <c r="J114" s="159">
        <f t="shared" si="120"/>
        <v>0.252</v>
      </c>
      <c r="K114" s="160">
        <f t="shared" si="121"/>
        <v>8.4</v>
      </c>
      <c r="L114" s="161">
        <f t="shared" si="122"/>
        <v>700</v>
      </c>
      <c r="M114" s="241">
        <f t="shared" si="123"/>
        <v>0.525</v>
      </c>
      <c r="N114" s="163">
        <f t="shared" si="124"/>
        <v>21</v>
      </c>
      <c r="O114" s="246"/>
      <c r="P114" s="165" t="str">
        <f t="shared" si="125"/>
        <v/>
      </c>
      <c r="Q114" s="166"/>
      <c r="R114" s="243"/>
      <c r="S114" s="165">
        <f t="shared" si="126"/>
        <v>0</v>
      </c>
      <c r="T114" s="244">
        <v>700.0</v>
      </c>
      <c r="U114" s="169">
        <f t="shared" si="127"/>
        <v>176.4</v>
      </c>
      <c r="V114" s="38" t="str">
        <f t="shared" si="12"/>
        <v/>
      </c>
      <c r="W114" s="38" t="str">
        <f t="shared" si="13"/>
        <v/>
      </c>
      <c r="X114" s="11"/>
      <c r="Y114" s="11"/>
      <c r="Z114" s="11"/>
      <c r="AA114" s="11"/>
    </row>
    <row r="115" ht="13.5" customHeight="1" outlineLevel="1">
      <c r="A115" s="315"/>
      <c r="B115" s="85" t="s">
        <v>95</v>
      </c>
      <c r="C115" s="238">
        <v>0.025</v>
      </c>
      <c r="D115" s="239">
        <v>0.038</v>
      </c>
      <c r="E115" s="245">
        <v>3.6</v>
      </c>
      <c r="F115" s="156">
        <f t="shared" si="117"/>
        <v>0.00342</v>
      </c>
      <c r="G115" s="156">
        <f t="shared" si="118"/>
        <v>0.1368</v>
      </c>
      <c r="H115" s="240">
        <v>210.0</v>
      </c>
      <c r="I115" s="158">
        <f t="shared" si="128"/>
        <v>245</v>
      </c>
      <c r="J115" s="159">
        <f t="shared" si="120"/>
        <v>1.00548</v>
      </c>
      <c r="K115" s="160">
        <f t="shared" si="121"/>
        <v>7.35</v>
      </c>
      <c r="L115" s="161">
        <f t="shared" si="122"/>
        <v>1520</v>
      </c>
      <c r="M115" s="241">
        <f t="shared" si="123"/>
        <v>5.1984</v>
      </c>
      <c r="N115" s="163">
        <f t="shared" si="124"/>
        <v>207.936</v>
      </c>
      <c r="O115" s="246"/>
      <c r="P115" s="165" t="str">
        <f t="shared" si="125"/>
        <v/>
      </c>
      <c r="Q115" s="166"/>
      <c r="R115" s="243"/>
      <c r="S115" s="165">
        <f t="shared" si="126"/>
        <v>0</v>
      </c>
      <c r="T115" s="244">
        <v>1520.0</v>
      </c>
      <c r="U115" s="169">
        <f t="shared" si="127"/>
        <v>1528.3296</v>
      </c>
      <c r="V115" s="38" t="str">
        <f t="shared" si="12"/>
        <v/>
      </c>
      <c r="W115" s="38" t="str">
        <f t="shared" si="13"/>
        <v/>
      </c>
      <c r="X115" s="11"/>
      <c r="Y115" s="11"/>
      <c r="Z115" s="11"/>
      <c r="AA115" s="11"/>
    </row>
    <row r="116" ht="13.5" customHeight="1" outlineLevel="1">
      <c r="A116" s="315"/>
      <c r="B116" s="85"/>
      <c r="C116" s="238">
        <v>0.025</v>
      </c>
      <c r="D116" s="239">
        <v>0.05</v>
      </c>
      <c r="E116" s="245">
        <v>2.5</v>
      </c>
      <c r="F116" s="156">
        <f t="shared" si="117"/>
        <v>0.003125</v>
      </c>
      <c r="G116" s="156">
        <f t="shared" si="118"/>
        <v>0.125</v>
      </c>
      <c r="H116" s="240">
        <v>240.0</v>
      </c>
      <c r="I116" s="158">
        <f t="shared" si="128"/>
        <v>280</v>
      </c>
      <c r="J116" s="159">
        <f t="shared" si="120"/>
        <v>1.05</v>
      </c>
      <c r="K116" s="160">
        <f t="shared" si="121"/>
        <v>8.4</v>
      </c>
      <c r="L116" s="161">
        <f t="shared" si="122"/>
        <v>507</v>
      </c>
      <c r="M116" s="241">
        <f t="shared" si="123"/>
        <v>1.584375</v>
      </c>
      <c r="N116" s="163">
        <f t="shared" si="124"/>
        <v>63.375</v>
      </c>
      <c r="O116" s="246"/>
      <c r="P116" s="165" t="str">
        <f t="shared" si="125"/>
        <v/>
      </c>
      <c r="Q116" s="166"/>
      <c r="R116" s="243"/>
      <c r="S116" s="165">
        <f t="shared" si="126"/>
        <v>0</v>
      </c>
      <c r="T116" s="244">
        <v>507.0</v>
      </c>
      <c r="U116" s="169">
        <f t="shared" si="127"/>
        <v>532.35</v>
      </c>
      <c r="V116" s="38" t="str">
        <f t="shared" si="12"/>
        <v/>
      </c>
      <c r="W116" s="38" t="str">
        <f t="shared" si="13"/>
        <v/>
      </c>
      <c r="X116" s="11"/>
      <c r="Y116" s="11"/>
      <c r="Z116" s="11"/>
      <c r="AA116" s="11"/>
    </row>
    <row r="117" ht="13.5" customHeight="1" outlineLevel="1">
      <c r="A117" s="315"/>
      <c r="B117" s="85"/>
      <c r="C117" s="238">
        <v>0.025</v>
      </c>
      <c r="D117" s="239">
        <v>0.05</v>
      </c>
      <c r="E117" s="245">
        <v>3.0</v>
      </c>
      <c r="F117" s="156">
        <f t="shared" si="117"/>
        <v>0.00375</v>
      </c>
      <c r="G117" s="156">
        <f t="shared" si="118"/>
        <v>0.15</v>
      </c>
      <c r="H117" s="240">
        <v>240.0</v>
      </c>
      <c r="I117" s="158">
        <f t="shared" si="128"/>
        <v>280</v>
      </c>
      <c r="J117" s="159">
        <f t="shared" si="120"/>
        <v>1.26</v>
      </c>
      <c r="K117" s="160">
        <f t="shared" si="121"/>
        <v>8.4</v>
      </c>
      <c r="L117" s="161">
        <f>T117+R117-O117-38</f>
        <v>777</v>
      </c>
      <c r="M117" s="241">
        <f t="shared" si="123"/>
        <v>2.91375</v>
      </c>
      <c r="N117" s="163">
        <f t="shared" si="124"/>
        <v>116.55</v>
      </c>
      <c r="O117" s="246">
        <v>24.0</v>
      </c>
      <c r="P117" s="165">
        <f t="shared" si="125"/>
        <v>0.09</v>
      </c>
      <c r="Q117" s="166">
        <v>25.0</v>
      </c>
      <c r="R117" s="247"/>
      <c r="S117" s="165">
        <f t="shared" si="126"/>
        <v>0</v>
      </c>
      <c r="T117" s="244">
        <v>839.0</v>
      </c>
      <c r="U117" s="169">
        <f t="shared" si="127"/>
        <v>979.02</v>
      </c>
      <c r="V117" s="38">
        <f t="shared" si="12"/>
        <v>3.4</v>
      </c>
      <c r="W117" s="38">
        <f t="shared" si="13"/>
        <v>21.6</v>
      </c>
      <c r="X117" s="11"/>
      <c r="Y117" s="11"/>
      <c r="Z117" s="11"/>
      <c r="AA117" s="11"/>
    </row>
    <row r="118" ht="13.5" customHeight="1" outlineLevel="1">
      <c r="A118" s="315"/>
      <c r="B118" s="85"/>
      <c r="C118" s="238">
        <v>0.025</v>
      </c>
      <c r="D118" s="239">
        <v>0.05</v>
      </c>
      <c r="E118" s="245">
        <v>4.9</v>
      </c>
      <c r="F118" s="156">
        <f t="shared" si="117"/>
        <v>0.006125</v>
      </c>
      <c r="G118" s="156">
        <f t="shared" si="118"/>
        <v>0.245</v>
      </c>
      <c r="H118" s="240">
        <v>240.0</v>
      </c>
      <c r="I118" s="158">
        <f t="shared" si="128"/>
        <v>280</v>
      </c>
      <c r="J118" s="159">
        <f t="shared" si="120"/>
        <v>2.058</v>
      </c>
      <c r="K118" s="160">
        <f t="shared" si="121"/>
        <v>8.4</v>
      </c>
      <c r="L118" s="161">
        <f t="shared" ref="L118:L125" si="129">T118+R118-O118</f>
        <v>53</v>
      </c>
      <c r="M118" s="241">
        <f t="shared" si="123"/>
        <v>0.324625</v>
      </c>
      <c r="N118" s="163">
        <f t="shared" si="124"/>
        <v>12.985</v>
      </c>
      <c r="O118" s="246"/>
      <c r="P118" s="165" t="str">
        <f t="shared" si="125"/>
        <v/>
      </c>
      <c r="Q118" s="166"/>
      <c r="R118" s="243"/>
      <c r="S118" s="165">
        <f t="shared" si="126"/>
        <v>0</v>
      </c>
      <c r="T118" s="244">
        <v>53.0</v>
      </c>
      <c r="U118" s="169">
        <f t="shared" si="127"/>
        <v>109.074</v>
      </c>
      <c r="V118" s="38" t="str">
        <f t="shared" si="12"/>
        <v/>
      </c>
      <c r="W118" s="38" t="str">
        <f t="shared" si="13"/>
        <v/>
      </c>
      <c r="X118" s="11"/>
      <c r="Y118" s="11"/>
      <c r="Z118" s="11"/>
      <c r="AA118" s="11"/>
    </row>
    <row r="119" ht="13.5" customHeight="1" outlineLevel="1">
      <c r="A119" s="315"/>
      <c r="B119" s="85"/>
      <c r="C119" s="238">
        <v>0.025</v>
      </c>
      <c r="D119" s="239">
        <v>0.05</v>
      </c>
      <c r="E119" s="245">
        <v>6.0</v>
      </c>
      <c r="F119" s="156">
        <f t="shared" si="117"/>
        <v>0.0075</v>
      </c>
      <c r="G119" s="156">
        <f t="shared" si="118"/>
        <v>0.3</v>
      </c>
      <c r="H119" s="240">
        <v>240.0</v>
      </c>
      <c r="I119" s="158">
        <f t="shared" si="128"/>
        <v>280</v>
      </c>
      <c r="J119" s="159">
        <f t="shared" si="120"/>
        <v>2.52</v>
      </c>
      <c r="K119" s="160">
        <f t="shared" si="121"/>
        <v>8.4</v>
      </c>
      <c r="L119" s="161">
        <f t="shared" si="129"/>
        <v>23</v>
      </c>
      <c r="M119" s="241">
        <f t="shared" si="123"/>
        <v>0.1725</v>
      </c>
      <c r="N119" s="163">
        <f t="shared" si="124"/>
        <v>6.9</v>
      </c>
      <c r="O119" s="246"/>
      <c r="P119" s="165" t="str">
        <f t="shared" si="125"/>
        <v/>
      </c>
      <c r="Q119" s="166"/>
      <c r="R119" s="243"/>
      <c r="S119" s="165">
        <f t="shared" si="126"/>
        <v>0</v>
      </c>
      <c r="T119" s="244">
        <v>23.0</v>
      </c>
      <c r="U119" s="169">
        <f t="shared" si="127"/>
        <v>57.96</v>
      </c>
      <c r="V119" s="38" t="str">
        <f t="shared" si="12"/>
        <v/>
      </c>
      <c r="W119" s="38" t="str">
        <f t="shared" si="13"/>
        <v/>
      </c>
      <c r="X119" s="11"/>
      <c r="Y119" s="11"/>
      <c r="Z119" s="11"/>
      <c r="AA119" s="11"/>
    </row>
    <row r="120" ht="13.5" customHeight="1" outlineLevel="1">
      <c r="A120" s="315"/>
      <c r="B120" s="85" t="s">
        <v>96</v>
      </c>
      <c r="C120" s="238">
        <v>0.025</v>
      </c>
      <c r="D120" s="239">
        <v>0.1</v>
      </c>
      <c r="E120" s="245">
        <v>2.5</v>
      </c>
      <c r="F120" s="156">
        <f t="shared" si="117"/>
        <v>0.00625</v>
      </c>
      <c r="G120" s="156">
        <f t="shared" si="118"/>
        <v>0.25</v>
      </c>
      <c r="H120" s="240">
        <v>205.71</v>
      </c>
      <c r="I120" s="158">
        <f t="shared" si="128"/>
        <v>240</v>
      </c>
      <c r="J120" s="159">
        <f t="shared" si="120"/>
        <v>1.8</v>
      </c>
      <c r="K120" s="160">
        <f t="shared" si="121"/>
        <v>7.2</v>
      </c>
      <c r="L120" s="161">
        <f t="shared" si="129"/>
        <v>6738</v>
      </c>
      <c r="M120" s="241">
        <f t="shared" si="123"/>
        <v>42.1125</v>
      </c>
      <c r="N120" s="163">
        <f t="shared" si="124"/>
        <v>1684.5</v>
      </c>
      <c r="O120" s="246">
        <v>80.0</v>
      </c>
      <c r="P120" s="165">
        <f t="shared" si="125"/>
        <v>0.5</v>
      </c>
      <c r="Q120" s="166">
        <v>144.0</v>
      </c>
      <c r="R120" s="243"/>
      <c r="S120" s="165">
        <f t="shared" si="126"/>
        <v>0</v>
      </c>
      <c r="T120" s="244">
        <v>6818.0</v>
      </c>
      <c r="U120" s="169">
        <f t="shared" si="127"/>
        <v>12128.4</v>
      </c>
      <c r="V120" s="38">
        <f t="shared" si="12"/>
        <v>41.145</v>
      </c>
      <c r="W120" s="38">
        <f t="shared" si="13"/>
        <v>102.855</v>
      </c>
      <c r="X120" s="11"/>
      <c r="Y120" s="11"/>
      <c r="Z120" s="11"/>
      <c r="AA120" s="11"/>
    </row>
    <row r="121" ht="13.5" customHeight="1" outlineLevel="1">
      <c r="A121" s="315"/>
      <c r="B121" s="85"/>
      <c r="C121" s="238">
        <v>0.025</v>
      </c>
      <c r="D121" s="239">
        <v>0.1</v>
      </c>
      <c r="E121" s="245">
        <v>3.0</v>
      </c>
      <c r="F121" s="156">
        <f t="shared" si="117"/>
        <v>0.0075</v>
      </c>
      <c r="G121" s="156">
        <f t="shared" si="118"/>
        <v>0.3</v>
      </c>
      <c r="H121" s="240">
        <v>240.0</v>
      </c>
      <c r="I121" s="158">
        <f t="shared" si="128"/>
        <v>280</v>
      </c>
      <c r="J121" s="159">
        <f t="shared" si="120"/>
        <v>2.52</v>
      </c>
      <c r="K121" s="160">
        <f t="shared" si="121"/>
        <v>8.4</v>
      </c>
      <c r="L121" s="161">
        <f t="shared" si="129"/>
        <v>271</v>
      </c>
      <c r="M121" s="241">
        <f t="shared" si="123"/>
        <v>2.0325</v>
      </c>
      <c r="N121" s="163">
        <f t="shared" si="124"/>
        <v>81.3</v>
      </c>
      <c r="O121" s="246">
        <v>44.0</v>
      </c>
      <c r="P121" s="165">
        <f t="shared" si="125"/>
        <v>0.33</v>
      </c>
      <c r="Q121" s="166">
        <v>92.0</v>
      </c>
      <c r="R121" s="247"/>
      <c r="S121" s="165">
        <f t="shared" si="126"/>
        <v>0</v>
      </c>
      <c r="T121" s="244">
        <v>315.0</v>
      </c>
      <c r="U121" s="169">
        <f t="shared" si="127"/>
        <v>682.92</v>
      </c>
      <c r="V121" s="38">
        <f t="shared" si="12"/>
        <v>12.8</v>
      </c>
      <c r="W121" s="38">
        <f t="shared" si="13"/>
        <v>79.2</v>
      </c>
      <c r="X121" s="38"/>
      <c r="Y121" s="38"/>
      <c r="Z121" s="11"/>
      <c r="AA121" s="11"/>
    </row>
    <row r="122" ht="13.5" customHeight="1" outlineLevel="1">
      <c r="A122" s="315"/>
      <c r="B122" s="85"/>
      <c r="C122" s="238">
        <v>0.025</v>
      </c>
      <c r="D122" s="239">
        <v>0.1</v>
      </c>
      <c r="E122" s="245">
        <v>3.6</v>
      </c>
      <c r="F122" s="156">
        <f t="shared" si="117"/>
        <v>0.009</v>
      </c>
      <c r="G122" s="156">
        <f t="shared" si="118"/>
        <v>0.36</v>
      </c>
      <c r="H122" s="240">
        <v>240.0</v>
      </c>
      <c r="I122" s="158">
        <f t="shared" si="128"/>
        <v>280</v>
      </c>
      <c r="J122" s="159">
        <f t="shared" si="120"/>
        <v>3.024</v>
      </c>
      <c r="K122" s="160">
        <f t="shared" si="121"/>
        <v>8.4</v>
      </c>
      <c r="L122" s="161">
        <f t="shared" si="129"/>
        <v>163</v>
      </c>
      <c r="M122" s="241">
        <f t="shared" si="123"/>
        <v>1.467</v>
      </c>
      <c r="N122" s="163">
        <f t="shared" si="124"/>
        <v>58.68</v>
      </c>
      <c r="O122" s="246">
        <v>25.0</v>
      </c>
      <c r="P122" s="165">
        <f t="shared" si="125"/>
        <v>0.225</v>
      </c>
      <c r="Q122" s="166">
        <v>75.0</v>
      </c>
      <c r="R122" s="247"/>
      <c r="S122" s="165">
        <f t="shared" si="126"/>
        <v>0</v>
      </c>
      <c r="T122" s="244">
        <v>188.0</v>
      </c>
      <c r="U122" s="169">
        <f t="shared" si="127"/>
        <v>492.912</v>
      </c>
      <c r="V122" s="38">
        <f t="shared" si="12"/>
        <v>21</v>
      </c>
      <c r="W122" s="38">
        <f t="shared" si="13"/>
        <v>54</v>
      </c>
      <c r="X122" s="38"/>
      <c r="Y122" s="38"/>
      <c r="Z122" s="11"/>
      <c r="AA122" s="11"/>
    </row>
    <row r="123" ht="13.5" customHeight="1" outlineLevel="1">
      <c r="A123" s="315"/>
      <c r="B123" s="85" t="s">
        <v>95</v>
      </c>
      <c r="C123" s="238">
        <v>0.025</v>
      </c>
      <c r="D123" s="239">
        <v>0.1</v>
      </c>
      <c r="E123" s="245">
        <v>4.8</v>
      </c>
      <c r="F123" s="156">
        <f t="shared" si="117"/>
        <v>0.012</v>
      </c>
      <c r="G123" s="156">
        <f t="shared" si="118"/>
        <v>0.48</v>
      </c>
      <c r="H123" s="240">
        <v>240.0</v>
      </c>
      <c r="I123" s="158">
        <f t="shared" si="128"/>
        <v>280</v>
      </c>
      <c r="J123" s="159">
        <f t="shared" si="120"/>
        <v>4.032</v>
      </c>
      <c r="K123" s="160">
        <f t="shared" si="121"/>
        <v>8.4</v>
      </c>
      <c r="L123" s="161">
        <f t="shared" si="129"/>
        <v>87</v>
      </c>
      <c r="M123" s="241">
        <f t="shared" si="123"/>
        <v>1.044</v>
      </c>
      <c r="N123" s="163">
        <f t="shared" si="124"/>
        <v>41.76</v>
      </c>
      <c r="O123" s="246"/>
      <c r="P123" s="165" t="str">
        <f t="shared" si="125"/>
        <v/>
      </c>
      <c r="Q123" s="166"/>
      <c r="R123" s="247"/>
      <c r="S123" s="165">
        <f t="shared" si="126"/>
        <v>0</v>
      </c>
      <c r="T123" s="244">
        <v>87.0</v>
      </c>
      <c r="U123" s="169">
        <f t="shared" si="127"/>
        <v>350.784</v>
      </c>
      <c r="V123" s="38" t="str">
        <f t="shared" si="12"/>
        <v/>
      </c>
      <c r="W123" s="38" t="str">
        <f t="shared" si="13"/>
        <v/>
      </c>
      <c r="X123" s="11"/>
      <c r="Y123" s="11"/>
      <c r="Z123" s="11"/>
      <c r="AA123" s="11"/>
    </row>
    <row r="124" ht="13.5" customHeight="1" outlineLevel="1">
      <c r="A124" s="315"/>
      <c r="B124" s="85"/>
      <c r="C124" s="238">
        <v>0.025</v>
      </c>
      <c r="D124" s="239">
        <v>0.1</v>
      </c>
      <c r="E124" s="245">
        <v>6.0</v>
      </c>
      <c r="F124" s="156">
        <f t="shared" si="117"/>
        <v>0.015</v>
      </c>
      <c r="G124" s="156">
        <f t="shared" si="118"/>
        <v>0.6</v>
      </c>
      <c r="H124" s="240">
        <v>240.0</v>
      </c>
      <c r="I124" s="158">
        <f t="shared" si="128"/>
        <v>280</v>
      </c>
      <c r="J124" s="159">
        <f t="shared" si="120"/>
        <v>5.04</v>
      </c>
      <c r="K124" s="160">
        <f t="shared" si="121"/>
        <v>8.4</v>
      </c>
      <c r="L124" s="452">
        <f t="shared" si="129"/>
        <v>0</v>
      </c>
      <c r="M124" s="241">
        <f t="shared" si="123"/>
        <v>0</v>
      </c>
      <c r="N124" s="163">
        <f t="shared" si="124"/>
        <v>0</v>
      </c>
      <c r="O124" s="246"/>
      <c r="P124" s="165" t="str">
        <f t="shared" si="125"/>
        <v/>
      </c>
      <c r="Q124" s="166"/>
      <c r="R124" s="247"/>
      <c r="S124" s="165">
        <f t="shared" si="126"/>
        <v>0</v>
      </c>
      <c r="T124" s="244">
        <v>0.0</v>
      </c>
      <c r="U124" s="169">
        <f t="shared" si="127"/>
        <v>0</v>
      </c>
      <c r="V124" s="38" t="str">
        <f t="shared" si="12"/>
        <v/>
      </c>
      <c r="W124" s="38" t="str">
        <f t="shared" si="13"/>
        <v/>
      </c>
      <c r="X124" s="11"/>
      <c r="Y124" s="11"/>
      <c r="Z124" s="11"/>
      <c r="AA124" s="11"/>
    </row>
    <row r="125" ht="13.5" customHeight="1" outlineLevel="1">
      <c r="A125" s="315"/>
      <c r="B125" s="85" t="s">
        <v>97</v>
      </c>
      <c r="C125" s="238">
        <v>0.025</v>
      </c>
      <c r="D125" s="239">
        <v>0.15</v>
      </c>
      <c r="E125" s="245">
        <v>3.6</v>
      </c>
      <c r="F125" s="156">
        <f t="shared" si="117"/>
        <v>0.0135</v>
      </c>
      <c r="G125" s="156">
        <f t="shared" si="118"/>
        <v>0.54</v>
      </c>
      <c r="H125" s="240">
        <v>240.0</v>
      </c>
      <c r="I125" s="158">
        <f>ROUND(H125*1.1667,0)*0.9</f>
        <v>252</v>
      </c>
      <c r="J125" s="159">
        <f>ROUND((I125*0.873)*1.21,0)*(C125*D125*E125)</f>
        <v>3.591</v>
      </c>
      <c r="K125" s="160">
        <f t="shared" si="121"/>
        <v>6.65</v>
      </c>
      <c r="L125" s="161">
        <f t="shared" si="129"/>
        <v>44</v>
      </c>
      <c r="M125" s="241">
        <f t="shared" si="123"/>
        <v>0.594</v>
      </c>
      <c r="N125" s="163">
        <f t="shared" si="124"/>
        <v>23.76</v>
      </c>
      <c r="O125" s="252"/>
      <c r="P125" s="165" t="str">
        <f t="shared" si="125"/>
        <v/>
      </c>
      <c r="Q125" s="172"/>
      <c r="R125" s="243"/>
      <c r="S125" s="165">
        <f t="shared" si="126"/>
        <v>0</v>
      </c>
      <c r="T125" s="244">
        <v>44.0</v>
      </c>
      <c r="U125" s="169">
        <f t="shared" si="127"/>
        <v>158.004</v>
      </c>
      <c r="V125" s="38" t="str">
        <f t="shared" si="12"/>
        <v/>
      </c>
      <c r="W125" s="38" t="str">
        <f t="shared" si="13"/>
        <v/>
      </c>
      <c r="X125" s="11"/>
      <c r="Y125" s="11"/>
      <c r="Z125" s="11"/>
      <c r="AA125" s="11"/>
    </row>
    <row r="126" ht="13.5" customHeight="1" outlineLevel="1">
      <c r="A126" s="315"/>
      <c r="B126" s="85"/>
      <c r="C126" s="238">
        <v>0.025</v>
      </c>
      <c r="D126" s="239">
        <v>0.15</v>
      </c>
      <c r="E126" s="245">
        <v>4.8</v>
      </c>
      <c r="F126" s="156">
        <f t="shared" si="117"/>
        <v>0.018</v>
      </c>
      <c r="G126" s="156">
        <f t="shared" si="118"/>
        <v>0.72</v>
      </c>
      <c r="H126" s="240">
        <v>240.0</v>
      </c>
      <c r="I126" s="158">
        <f t="shared" ref="I126:I127" si="130">ROUND(H126*1.1667,0)</f>
        <v>280</v>
      </c>
      <c r="J126" s="159">
        <f t="shared" ref="J126:J127" si="131">ROUND((I126*0.992)*1.21,0)*(C126*D126*E126)</f>
        <v>6.048</v>
      </c>
      <c r="K126" s="160">
        <f t="shared" si="121"/>
        <v>8.4</v>
      </c>
      <c r="L126" s="205">
        <v>109.0</v>
      </c>
      <c r="M126" s="241">
        <f t="shared" si="123"/>
        <v>1.962</v>
      </c>
      <c r="N126" s="163">
        <f t="shared" si="124"/>
        <v>78.48</v>
      </c>
      <c r="O126" s="246"/>
      <c r="P126" s="165" t="str">
        <f t="shared" si="125"/>
        <v/>
      </c>
      <c r="Q126" s="166"/>
      <c r="R126" s="243"/>
      <c r="S126" s="165">
        <f t="shared" si="126"/>
        <v>0</v>
      </c>
      <c r="T126" s="263">
        <v>109.0</v>
      </c>
      <c r="U126" s="169">
        <f t="shared" si="127"/>
        <v>659.232</v>
      </c>
      <c r="V126" s="38" t="str">
        <f t="shared" si="12"/>
        <v/>
      </c>
      <c r="W126" s="38" t="str">
        <f t="shared" si="13"/>
        <v/>
      </c>
      <c r="X126" s="11"/>
      <c r="Y126" s="11"/>
      <c r="Z126" s="11"/>
      <c r="AA126" s="11"/>
    </row>
    <row r="127" ht="13.5" customHeight="1" outlineLevel="1">
      <c r="A127" s="315"/>
      <c r="B127" s="85"/>
      <c r="C127" s="238">
        <v>0.025</v>
      </c>
      <c r="D127" s="239">
        <v>0.15</v>
      </c>
      <c r="E127" s="245">
        <v>6.0</v>
      </c>
      <c r="F127" s="156">
        <f t="shared" si="117"/>
        <v>0.0225</v>
      </c>
      <c r="G127" s="156">
        <f t="shared" si="118"/>
        <v>0.9</v>
      </c>
      <c r="H127" s="240">
        <v>240.0</v>
      </c>
      <c r="I127" s="158">
        <f t="shared" si="130"/>
        <v>280</v>
      </c>
      <c r="J127" s="159">
        <f t="shared" si="131"/>
        <v>7.56</v>
      </c>
      <c r="K127" s="160">
        <f t="shared" si="121"/>
        <v>8.4</v>
      </c>
      <c r="L127" s="161">
        <f t="shared" ref="L127:L172" si="132">T127+R127-O127</f>
        <v>140</v>
      </c>
      <c r="M127" s="241">
        <f t="shared" si="123"/>
        <v>3.15</v>
      </c>
      <c r="N127" s="163">
        <f t="shared" si="124"/>
        <v>126</v>
      </c>
      <c r="O127" s="246"/>
      <c r="P127" s="165" t="str">
        <f t="shared" si="125"/>
        <v/>
      </c>
      <c r="Q127" s="166"/>
      <c r="R127" s="247"/>
      <c r="S127" s="165">
        <f t="shared" si="126"/>
        <v>0</v>
      </c>
      <c r="T127" s="244">
        <v>140.0</v>
      </c>
      <c r="U127" s="169">
        <f t="shared" si="127"/>
        <v>1058.4</v>
      </c>
      <c r="V127" s="38"/>
      <c r="W127" s="38" t="str">
        <f t="shared" si="13"/>
        <v/>
      </c>
      <c r="X127" s="11"/>
      <c r="Y127" s="11"/>
      <c r="Z127" s="11"/>
      <c r="AA127" s="11"/>
    </row>
    <row r="128" ht="13.5" customHeight="1" outlineLevel="1">
      <c r="A128" s="315"/>
      <c r="B128" s="85" t="s">
        <v>95</v>
      </c>
      <c r="C128" s="238">
        <v>0.025</v>
      </c>
      <c r="D128" s="239">
        <v>0.15</v>
      </c>
      <c r="E128" s="245">
        <v>6.0</v>
      </c>
      <c r="F128" s="156">
        <f t="shared" si="117"/>
        <v>0.0225</v>
      </c>
      <c r="G128" s="156">
        <f t="shared" si="118"/>
        <v>0.9</v>
      </c>
      <c r="H128" s="240">
        <v>257.2</v>
      </c>
      <c r="I128" s="158">
        <f>ROUND(H128*1.1667,0)*0.88</f>
        <v>264</v>
      </c>
      <c r="J128" s="159">
        <f>ROUND((I128*0.88)*1.21,0)*(C128*D128*E128)</f>
        <v>6.3225</v>
      </c>
      <c r="K128" s="160">
        <f t="shared" si="121"/>
        <v>7.025</v>
      </c>
      <c r="L128" s="161">
        <f t="shared" si="132"/>
        <v>37</v>
      </c>
      <c r="M128" s="241">
        <f t="shared" si="123"/>
        <v>0.8325</v>
      </c>
      <c r="N128" s="163">
        <f t="shared" si="124"/>
        <v>33.3</v>
      </c>
      <c r="O128" s="246"/>
      <c r="P128" s="165" t="str">
        <f t="shared" si="125"/>
        <v/>
      </c>
      <c r="Q128" s="166"/>
      <c r="R128" s="247"/>
      <c r="S128" s="165">
        <f t="shared" si="126"/>
        <v>0</v>
      </c>
      <c r="T128" s="244">
        <v>37.0</v>
      </c>
      <c r="U128" s="169">
        <f t="shared" si="127"/>
        <v>233.9325</v>
      </c>
      <c r="V128" s="38" t="str">
        <f t="shared" ref="V128:V129" si="133">IF(O128="","",Q128-(O128*(H128*F128)))</f>
        <v/>
      </c>
      <c r="W128" s="38" t="str">
        <f t="shared" si="13"/>
        <v/>
      </c>
      <c r="X128" s="11"/>
      <c r="Y128" s="11"/>
      <c r="Z128" s="11"/>
      <c r="AA128" s="11"/>
    </row>
    <row r="129" ht="13.5" customHeight="1" outlineLevel="1">
      <c r="A129" s="315"/>
      <c r="B129" s="85" t="s">
        <v>98</v>
      </c>
      <c r="C129" s="238">
        <v>0.05</v>
      </c>
      <c r="D129" s="239">
        <v>0.05</v>
      </c>
      <c r="E129" s="245">
        <v>1.0</v>
      </c>
      <c r="F129" s="156">
        <f t="shared" si="117"/>
        <v>0.0025</v>
      </c>
      <c r="G129" s="156">
        <f t="shared" si="118"/>
        <v>0.05</v>
      </c>
      <c r="H129" s="240">
        <v>240.0</v>
      </c>
      <c r="I129" s="158">
        <f>ROUND(H129*1.1667,0)*0.9</f>
        <v>252</v>
      </c>
      <c r="J129" s="159">
        <f>ROUND((I129*0.873)*1.21,0)*(C129*D129*E129)</f>
        <v>0.665</v>
      </c>
      <c r="K129" s="160">
        <f t="shared" si="121"/>
        <v>13.3</v>
      </c>
      <c r="L129" s="161">
        <f t="shared" si="132"/>
        <v>55</v>
      </c>
      <c r="M129" s="241">
        <f t="shared" si="123"/>
        <v>0.1375</v>
      </c>
      <c r="N129" s="163">
        <f t="shared" si="124"/>
        <v>2.75</v>
      </c>
      <c r="O129" s="242"/>
      <c r="P129" s="165" t="str">
        <f t="shared" si="125"/>
        <v/>
      </c>
      <c r="Q129" s="166"/>
      <c r="R129" s="247"/>
      <c r="S129" s="165">
        <f t="shared" si="126"/>
        <v>0</v>
      </c>
      <c r="T129" s="244">
        <v>55.0</v>
      </c>
      <c r="U129" s="169">
        <f t="shared" si="127"/>
        <v>36.575</v>
      </c>
      <c r="V129" s="38" t="str">
        <f t="shared" si="133"/>
        <v/>
      </c>
      <c r="W129" s="38" t="str">
        <f t="shared" si="13"/>
        <v/>
      </c>
      <c r="X129" s="11"/>
      <c r="Y129" s="11"/>
      <c r="Z129" s="11"/>
      <c r="AA129" s="11"/>
    </row>
    <row r="130" ht="13.5" customHeight="1" outlineLevel="1">
      <c r="A130" s="315"/>
      <c r="B130" s="85"/>
      <c r="C130" s="238">
        <v>0.05</v>
      </c>
      <c r="D130" s="239">
        <v>0.05</v>
      </c>
      <c r="E130" s="245">
        <v>3.0</v>
      </c>
      <c r="F130" s="156">
        <f t="shared" si="117"/>
        <v>0.0075</v>
      </c>
      <c r="G130" s="156">
        <f t="shared" si="118"/>
        <v>0.15</v>
      </c>
      <c r="H130" s="240">
        <v>283.0</v>
      </c>
      <c r="I130" s="158">
        <f t="shared" ref="I130:I135" si="134">ROUND(H130*1.1667,0)</f>
        <v>330</v>
      </c>
      <c r="J130" s="159">
        <f t="shared" ref="J130:J136" si="135">ROUND((I130*0.992)*1.21,0)*(C130*D130*E130)</f>
        <v>2.97</v>
      </c>
      <c r="K130" s="160">
        <f t="shared" si="121"/>
        <v>19.8</v>
      </c>
      <c r="L130" s="452">
        <f t="shared" si="132"/>
        <v>2</v>
      </c>
      <c r="M130" s="241">
        <f t="shared" si="123"/>
        <v>0.015</v>
      </c>
      <c r="N130" s="163">
        <f t="shared" si="124"/>
        <v>0.3</v>
      </c>
      <c r="O130" s="246"/>
      <c r="P130" s="165" t="str">
        <f t="shared" si="125"/>
        <v/>
      </c>
      <c r="Q130" s="166"/>
      <c r="R130" s="247">
        <v>2.0</v>
      </c>
      <c r="S130" s="165">
        <f t="shared" si="126"/>
        <v>0.015</v>
      </c>
      <c r="T130" s="244">
        <v>0.0</v>
      </c>
      <c r="U130" s="169">
        <f t="shared" si="127"/>
        <v>5.94</v>
      </c>
      <c r="V130" s="38"/>
      <c r="W130" s="38"/>
      <c r="X130" s="11"/>
      <c r="Y130" s="11"/>
      <c r="Z130" s="11"/>
      <c r="AA130" s="11"/>
    </row>
    <row r="131" ht="13.5" customHeight="1" outlineLevel="1">
      <c r="A131" s="315"/>
      <c r="B131" s="85"/>
      <c r="C131" s="238">
        <v>0.05</v>
      </c>
      <c r="D131" s="239">
        <v>0.05</v>
      </c>
      <c r="E131" s="245">
        <v>3.7</v>
      </c>
      <c r="F131" s="156">
        <f t="shared" si="117"/>
        <v>0.00925</v>
      </c>
      <c r="G131" s="156">
        <f t="shared" si="118"/>
        <v>0.185</v>
      </c>
      <c r="H131" s="240">
        <v>283.0</v>
      </c>
      <c r="I131" s="158">
        <f t="shared" si="134"/>
        <v>330</v>
      </c>
      <c r="J131" s="159">
        <f t="shared" si="135"/>
        <v>3.663</v>
      </c>
      <c r="K131" s="160">
        <f t="shared" si="121"/>
        <v>19.8</v>
      </c>
      <c r="L131" s="161">
        <f t="shared" si="132"/>
        <v>9</v>
      </c>
      <c r="M131" s="241">
        <f t="shared" si="123"/>
        <v>0.08325</v>
      </c>
      <c r="N131" s="163">
        <f t="shared" si="124"/>
        <v>1.665</v>
      </c>
      <c r="O131" s="246">
        <v>40.0</v>
      </c>
      <c r="P131" s="165">
        <f t="shared" si="125"/>
        <v>0.37</v>
      </c>
      <c r="Q131" s="166">
        <v>146.0</v>
      </c>
      <c r="R131" s="247">
        <v>49.0</v>
      </c>
      <c r="S131" s="165">
        <f t="shared" si="126"/>
        <v>0.45325</v>
      </c>
      <c r="T131" s="244">
        <v>0.0</v>
      </c>
      <c r="U131" s="169">
        <f t="shared" si="127"/>
        <v>32.967</v>
      </c>
      <c r="V131" s="38"/>
      <c r="W131" s="38"/>
      <c r="X131" s="11"/>
      <c r="Y131" s="11"/>
      <c r="Z131" s="11"/>
      <c r="AA131" s="11"/>
    </row>
    <row r="132" ht="13.5" customHeight="1" outlineLevel="1">
      <c r="A132" s="315"/>
      <c r="B132" s="85"/>
      <c r="C132" s="238">
        <v>0.05</v>
      </c>
      <c r="D132" s="239">
        <v>0.05</v>
      </c>
      <c r="E132" s="245">
        <v>6.0</v>
      </c>
      <c r="F132" s="156">
        <f t="shared" si="117"/>
        <v>0.015</v>
      </c>
      <c r="G132" s="156">
        <f t="shared" si="118"/>
        <v>0.3</v>
      </c>
      <c r="H132" s="240">
        <v>283.0</v>
      </c>
      <c r="I132" s="158">
        <f t="shared" si="134"/>
        <v>330</v>
      </c>
      <c r="J132" s="159">
        <f t="shared" si="135"/>
        <v>5.94</v>
      </c>
      <c r="K132" s="160">
        <f t="shared" si="121"/>
        <v>19.8</v>
      </c>
      <c r="L132" s="161">
        <f t="shared" si="132"/>
        <v>84</v>
      </c>
      <c r="M132" s="241">
        <f t="shared" si="123"/>
        <v>1.26</v>
      </c>
      <c r="N132" s="163">
        <f t="shared" si="124"/>
        <v>25.2</v>
      </c>
      <c r="O132" s="246"/>
      <c r="P132" s="165" t="str">
        <f t="shared" si="125"/>
        <v/>
      </c>
      <c r="Q132" s="166"/>
      <c r="R132" s="247">
        <v>84.0</v>
      </c>
      <c r="S132" s="165">
        <f t="shared" si="126"/>
        <v>1.26</v>
      </c>
      <c r="T132" s="244">
        <v>0.0</v>
      </c>
      <c r="U132" s="169">
        <f t="shared" si="127"/>
        <v>498.96</v>
      </c>
      <c r="V132" s="38" t="str">
        <f t="shared" ref="V132:V134" si="136">IF(O132="","",Q132-(O132*(H132*F132)))</f>
        <v/>
      </c>
      <c r="W132" s="38" t="str">
        <f t="shared" ref="W132:W134" si="137">IF(O132="","",(P132*H132))</f>
        <v/>
      </c>
      <c r="X132" s="11"/>
      <c r="Y132" s="11"/>
      <c r="Z132" s="11"/>
      <c r="AA132" s="11"/>
    </row>
    <row r="133" ht="13.5" customHeight="1" outlineLevel="1">
      <c r="A133" s="315"/>
      <c r="B133" s="85"/>
      <c r="C133" s="238">
        <v>0.05</v>
      </c>
      <c r="D133" s="239">
        <v>0.1</v>
      </c>
      <c r="E133" s="245">
        <v>3.6</v>
      </c>
      <c r="F133" s="156">
        <f t="shared" si="117"/>
        <v>0.018</v>
      </c>
      <c r="G133" s="156">
        <f t="shared" si="118"/>
        <v>0.36</v>
      </c>
      <c r="H133" s="240">
        <v>240.0</v>
      </c>
      <c r="I133" s="158">
        <f t="shared" si="134"/>
        <v>280</v>
      </c>
      <c r="J133" s="159">
        <f t="shared" si="135"/>
        <v>6.048</v>
      </c>
      <c r="K133" s="160">
        <f t="shared" si="121"/>
        <v>16.8</v>
      </c>
      <c r="L133" s="161">
        <f t="shared" si="132"/>
        <v>88</v>
      </c>
      <c r="M133" s="241">
        <f t="shared" si="123"/>
        <v>1.584</v>
      </c>
      <c r="N133" s="163">
        <f t="shared" si="124"/>
        <v>31.68</v>
      </c>
      <c r="O133" s="246"/>
      <c r="P133" s="165" t="str">
        <f t="shared" si="125"/>
        <v/>
      </c>
      <c r="Q133" s="166"/>
      <c r="R133" s="243"/>
      <c r="S133" s="165">
        <f t="shared" si="126"/>
        <v>0</v>
      </c>
      <c r="T133" s="244">
        <v>88.0</v>
      </c>
      <c r="U133" s="169">
        <f t="shared" si="127"/>
        <v>532.224</v>
      </c>
      <c r="V133" s="38" t="str">
        <f t="shared" si="136"/>
        <v/>
      </c>
      <c r="W133" s="38" t="str">
        <f t="shared" si="137"/>
        <v/>
      </c>
      <c r="X133" s="11"/>
      <c r="Y133" s="11"/>
      <c r="Z133" s="11"/>
      <c r="AA133" s="11"/>
    </row>
    <row r="134" ht="13.5" customHeight="1" outlineLevel="1">
      <c r="A134" s="315"/>
      <c r="B134" s="85"/>
      <c r="C134" s="238">
        <v>0.05</v>
      </c>
      <c r="D134" s="239">
        <v>0.1</v>
      </c>
      <c r="E134" s="245">
        <v>4.9</v>
      </c>
      <c r="F134" s="156">
        <f t="shared" si="117"/>
        <v>0.0245</v>
      </c>
      <c r="G134" s="156">
        <f t="shared" si="118"/>
        <v>0.49</v>
      </c>
      <c r="H134" s="240">
        <v>240.0</v>
      </c>
      <c r="I134" s="158">
        <f t="shared" si="134"/>
        <v>280</v>
      </c>
      <c r="J134" s="159">
        <f t="shared" si="135"/>
        <v>8.232</v>
      </c>
      <c r="K134" s="160">
        <f t="shared" si="121"/>
        <v>16.8</v>
      </c>
      <c r="L134" s="161">
        <f t="shared" si="132"/>
        <v>312</v>
      </c>
      <c r="M134" s="241">
        <f t="shared" si="123"/>
        <v>7.644</v>
      </c>
      <c r="N134" s="163">
        <f t="shared" si="124"/>
        <v>152.88</v>
      </c>
      <c r="O134" s="246"/>
      <c r="P134" s="165" t="str">
        <f t="shared" si="125"/>
        <v/>
      </c>
      <c r="Q134" s="166"/>
      <c r="R134" s="247"/>
      <c r="S134" s="165">
        <f t="shared" si="126"/>
        <v>0</v>
      </c>
      <c r="T134" s="244">
        <v>312.0</v>
      </c>
      <c r="U134" s="169">
        <f t="shared" si="127"/>
        <v>2568.384</v>
      </c>
      <c r="V134" s="38" t="str">
        <f t="shared" si="136"/>
        <v/>
      </c>
      <c r="W134" s="38" t="str">
        <f t="shared" si="137"/>
        <v/>
      </c>
      <c r="X134" s="11"/>
      <c r="Y134" s="11"/>
      <c r="Z134" s="11"/>
      <c r="AA134" s="11"/>
    </row>
    <row r="135" ht="13.5" customHeight="1" outlineLevel="1">
      <c r="A135" s="315"/>
      <c r="B135" s="85"/>
      <c r="C135" s="238">
        <v>0.05</v>
      </c>
      <c r="D135" s="239">
        <v>0.1</v>
      </c>
      <c r="E135" s="245">
        <v>6.0</v>
      </c>
      <c r="F135" s="156">
        <f t="shared" si="117"/>
        <v>0.03</v>
      </c>
      <c r="G135" s="156">
        <f t="shared" si="118"/>
        <v>0.6</v>
      </c>
      <c r="H135" s="240">
        <v>240.0</v>
      </c>
      <c r="I135" s="158">
        <f t="shared" si="134"/>
        <v>280</v>
      </c>
      <c r="J135" s="159">
        <f t="shared" si="135"/>
        <v>10.08</v>
      </c>
      <c r="K135" s="160">
        <f t="shared" si="121"/>
        <v>16.8</v>
      </c>
      <c r="L135" s="161">
        <f t="shared" si="132"/>
        <v>68</v>
      </c>
      <c r="M135" s="241">
        <f t="shared" si="123"/>
        <v>2.04</v>
      </c>
      <c r="N135" s="163">
        <f t="shared" si="124"/>
        <v>40.8</v>
      </c>
      <c r="O135" s="246"/>
      <c r="P135" s="165" t="str">
        <f t="shared" si="125"/>
        <v/>
      </c>
      <c r="Q135" s="166"/>
      <c r="R135" s="247"/>
      <c r="S135" s="165">
        <f t="shared" si="126"/>
        <v>0</v>
      </c>
      <c r="T135" s="244">
        <v>68.0</v>
      </c>
      <c r="U135" s="169">
        <f t="shared" si="127"/>
        <v>685.44</v>
      </c>
      <c r="V135" s="38"/>
      <c r="W135" s="38"/>
      <c r="X135" s="11"/>
      <c r="Y135" s="11"/>
      <c r="Z135" s="11"/>
      <c r="AA135" s="11"/>
    </row>
    <row r="136" ht="13.5" customHeight="1" outlineLevel="1">
      <c r="A136" s="315"/>
      <c r="B136" s="85" t="s">
        <v>98</v>
      </c>
      <c r="C136" s="238">
        <v>0.05</v>
      </c>
      <c r="D136" s="239">
        <v>0.1</v>
      </c>
      <c r="E136" s="245">
        <v>6.0</v>
      </c>
      <c r="F136" s="156">
        <f t="shared" si="117"/>
        <v>0.03</v>
      </c>
      <c r="G136" s="156">
        <f t="shared" si="118"/>
        <v>0.6</v>
      </c>
      <c r="H136" s="240">
        <v>240.0</v>
      </c>
      <c r="I136" s="158">
        <f t="shared" ref="I136:I137" si="138">ROUND(H136*1.1667,0)*0.9</f>
        <v>252</v>
      </c>
      <c r="J136" s="159">
        <f t="shared" si="135"/>
        <v>9.06</v>
      </c>
      <c r="K136" s="160">
        <f t="shared" si="121"/>
        <v>15.1</v>
      </c>
      <c r="L136" s="161">
        <f t="shared" si="132"/>
        <v>0</v>
      </c>
      <c r="M136" s="241">
        <f t="shared" si="123"/>
        <v>0</v>
      </c>
      <c r="N136" s="163">
        <f t="shared" si="124"/>
        <v>0</v>
      </c>
      <c r="O136" s="246"/>
      <c r="P136" s="165" t="str">
        <f t="shared" si="125"/>
        <v/>
      </c>
      <c r="Q136" s="166"/>
      <c r="R136" s="247"/>
      <c r="S136" s="165">
        <f t="shared" si="126"/>
        <v>0</v>
      </c>
      <c r="T136" s="263">
        <v>0.0</v>
      </c>
      <c r="U136" s="169">
        <f t="shared" si="127"/>
        <v>0</v>
      </c>
      <c r="V136" s="38" t="str">
        <f t="shared" ref="V136:V172" si="139">IF(O136="","",Q136-(O136*(H136*F136)))</f>
        <v/>
      </c>
      <c r="W136" s="38" t="str">
        <f t="shared" ref="W136:W191" si="140">IF(O136="","",(P136*H136))</f>
        <v/>
      </c>
      <c r="X136" s="11"/>
      <c r="Y136" s="11"/>
      <c r="Z136" s="11"/>
      <c r="AA136" s="11"/>
    </row>
    <row r="137" ht="13.5" customHeight="1" outlineLevel="1">
      <c r="A137" s="315"/>
      <c r="B137" s="85" t="s">
        <v>95</v>
      </c>
      <c r="C137" s="238">
        <v>0.05</v>
      </c>
      <c r="D137" s="239">
        <v>0.125</v>
      </c>
      <c r="E137" s="245">
        <v>6.0</v>
      </c>
      <c r="F137" s="156">
        <f t="shared" si="117"/>
        <v>0.0375</v>
      </c>
      <c r="G137" s="156">
        <f t="shared" si="118"/>
        <v>0.75</v>
      </c>
      <c r="H137" s="240">
        <v>240.0</v>
      </c>
      <c r="I137" s="158">
        <f t="shared" si="138"/>
        <v>252</v>
      </c>
      <c r="J137" s="159">
        <f>ROUND((I137*0.873)*1.21,0)*(C137*D137*E137)</f>
        <v>9.975</v>
      </c>
      <c r="K137" s="160">
        <f t="shared" si="121"/>
        <v>13.3</v>
      </c>
      <c r="L137" s="161">
        <f t="shared" si="132"/>
        <v>16</v>
      </c>
      <c r="M137" s="241">
        <f t="shared" si="123"/>
        <v>0.6</v>
      </c>
      <c r="N137" s="163">
        <f t="shared" si="124"/>
        <v>12</v>
      </c>
      <c r="O137" s="246"/>
      <c r="P137" s="165" t="str">
        <f t="shared" si="125"/>
        <v/>
      </c>
      <c r="Q137" s="166"/>
      <c r="R137" s="243"/>
      <c r="S137" s="165">
        <f t="shared" si="126"/>
        <v>0</v>
      </c>
      <c r="T137" s="244">
        <v>16.0</v>
      </c>
      <c r="U137" s="169">
        <f t="shared" si="127"/>
        <v>159.6</v>
      </c>
      <c r="V137" s="38" t="str">
        <f t="shared" si="139"/>
        <v/>
      </c>
      <c r="W137" s="38" t="str">
        <f t="shared" si="140"/>
        <v/>
      </c>
      <c r="X137" s="11"/>
      <c r="Y137" s="11"/>
      <c r="Z137" s="11"/>
      <c r="AA137" s="11"/>
    </row>
    <row r="138" ht="13.5" customHeight="1" outlineLevel="1">
      <c r="A138" s="315"/>
      <c r="B138" s="85"/>
      <c r="C138" s="238">
        <v>0.05</v>
      </c>
      <c r="D138" s="239">
        <v>0.15</v>
      </c>
      <c r="E138" s="245">
        <v>3.7</v>
      </c>
      <c r="F138" s="156">
        <f t="shared" si="117"/>
        <v>0.02775</v>
      </c>
      <c r="G138" s="156">
        <f t="shared" si="118"/>
        <v>0.555</v>
      </c>
      <c r="H138" s="240">
        <v>240.0</v>
      </c>
      <c r="I138" s="158">
        <f t="shared" ref="I138:I158" si="141">ROUND(H138*1.1667,0)</f>
        <v>280</v>
      </c>
      <c r="J138" s="159">
        <f t="shared" ref="J138:J158" si="142">ROUND((I138*0.992)*1.21,0)*(C138*D138*E138)</f>
        <v>9.324</v>
      </c>
      <c r="K138" s="160">
        <f t="shared" si="121"/>
        <v>16.8</v>
      </c>
      <c r="L138" s="161">
        <f t="shared" si="132"/>
        <v>33</v>
      </c>
      <c r="M138" s="241">
        <f t="shared" si="123"/>
        <v>0.91575</v>
      </c>
      <c r="N138" s="163">
        <f t="shared" si="124"/>
        <v>18.315</v>
      </c>
      <c r="O138" s="246"/>
      <c r="P138" s="165" t="str">
        <f t="shared" si="125"/>
        <v/>
      </c>
      <c r="Q138" s="166"/>
      <c r="R138" s="243"/>
      <c r="S138" s="165">
        <f t="shared" si="126"/>
        <v>0</v>
      </c>
      <c r="T138" s="244">
        <v>33.0</v>
      </c>
      <c r="U138" s="169">
        <f t="shared" si="127"/>
        <v>307.692</v>
      </c>
      <c r="V138" s="38" t="str">
        <f t="shared" si="139"/>
        <v/>
      </c>
      <c r="W138" s="38" t="str">
        <f t="shared" si="140"/>
        <v/>
      </c>
      <c r="X138" s="38"/>
      <c r="Y138" s="38"/>
      <c r="Z138" s="11"/>
      <c r="AA138" s="11"/>
    </row>
    <row r="139" ht="13.5" customHeight="1" outlineLevel="1">
      <c r="A139" s="315"/>
      <c r="B139" s="85"/>
      <c r="C139" s="238">
        <v>0.05</v>
      </c>
      <c r="D139" s="239">
        <v>0.15</v>
      </c>
      <c r="E139" s="245">
        <v>4.9</v>
      </c>
      <c r="F139" s="156">
        <f t="shared" si="117"/>
        <v>0.03675</v>
      </c>
      <c r="G139" s="156">
        <f t="shared" si="118"/>
        <v>0.735</v>
      </c>
      <c r="H139" s="240">
        <v>240.0</v>
      </c>
      <c r="I139" s="158">
        <f t="shared" si="141"/>
        <v>280</v>
      </c>
      <c r="J139" s="159">
        <f t="shared" si="142"/>
        <v>12.348</v>
      </c>
      <c r="K139" s="160">
        <f t="shared" si="121"/>
        <v>16.8</v>
      </c>
      <c r="L139" s="161">
        <f t="shared" si="132"/>
        <v>405</v>
      </c>
      <c r="M139" s="241">
        <f t="shared" si="123"/>
        <v>14.88375</v>
      </c>
      <c r="N139" s="163">
        <f t="shared" si="124"/>
        <v>297.675</v>
      </c>
      <c r="O139" s="246"/>
      <c r="P139" s="165" t="str">
        <f t="shared" si="125"/>
        <v/>
      </c>
      <c r="Q139" s="166"/>
      <c r="R139" s="247"/>
      <c r="S139" s="165">
        <f t="shared" si="126"/>
        <v>0</v>
      </c>
      <c r="T139" s="244">
        <v>405.0</v>
      </c>
      <c r="U139" s="169">
        <f t="shared" si="127"/>
        <v>5000.94</v>
      </c>
      <c r="V139" s="38" t="str">
        <f t="shared" si="139"/>
        <v/>
      </c>
      <c r="W139" s="38" t="str">
        <f t="shared" si="140"/>
        <v/>
      </c>
      <c r="X139" s="11"/>
      <c r="Y139" s="11"/>
      <c r="Z139" s="11"/>
      <c r="AA139" s="11"/>
    </row>
    <row r="140" ht="13.5" customHeight="1" outlineLevel="1">
      <c r="A140" s="315"/>
      <c r="B140" s="85"/>
      <c r="C140" s="238">
        <v>0.05</v>
      </c>
      <c r="D140" s="239">
        <v>0.15</v>
      </c>
      <c r="E140" s="245">
        <v>6.0</v>
      </c>
      <c r="F140" s="156">
        <f t="shared" si="117"/>
        <v>0.045</v>
      </c>
      <c r="G140" s="156">
        <f t="shared" si="118"/>
        <v>0.9</v>
      </c>
      <c r="H140" s="240">
        <v>240.0</v>
      </c>
      <c r="I140" s="158">
        <f t="shared" si="141"/>
        <v>280</v>
      </c>
      <c r="J140" s="159">
        <f t="shared" si="142"/>
        <v>15.12</v>
      </c>
      <c r="K140" s="160">
        <f t="shared" si="121"/>
        <v>16.8</v>
      </c>
      <c r="L140" s="161">
        <f t="shared" si="132"/>
        <v>853</v>
      </c>
      <c r="M140" s="241">
        <f t="shared" si="123"/>
        <v>38.385</v>
      </c>
      <c r="N140" s="163">
        <f t="shared" si="124"/>
        <v>767.7</v>
      </c>
      <c r="O140" s="246">
        <v>10.0</v>
      </c>
      <c r="P140" s="165">
        <f t="shared" si="125"/>
        <v>0.45</v>
      </c>
      <c r="Q140" s="166">
        <v>126.0</v>
      </c>
      <c r="R140" s="247"/>
      <c r="S140" s="165">
        <f t="shared" si="126"/>
        <v>0</v>
      </c>
      <c r="T140" s="244">
        <v>863.0</v>
      </c>
      <c r="U140" s="169">
        <f t="shared" si="127"/>
        <v>12897.36</v>
      </c>
      <c r="V140" s="38">
        <f t="shared" si="139"/>
        <v>18</v>
      </c>
      <c r="W140" s="38">
        <f t="shared" si="140"/>
        <v>108</v>
      </c>
      <c r="X140" s="11"/>
      <c r="Y140" s="11"/>
      <c r="Z140" s="11"/>
      <c r="AA140" s="11"/>
    </row>
    <row r="141" ht="13.5" customHeight="1" outlineLevel="1">
      <c r="A141" s="315"/>
      <c r="B141" s="85" t="s">
        <v>95</v>
      </c>
      <c r="C141" s="238">
        <v>0.05</v>
      </c>
      <c r="D141" s="239">
        <v>0.2</v>
      </c>
      <c r="E141" s="245">
        <v>3.7</v>
      </c>
      <c r="F141" s="156">
        <f t="shared" si="117"/>
        <v>0.037</v>
      </c>
      <c r="G141" s="156">
        <f t="shared" si="118"/>
        <v>0.74</v>
      </c>
      <c r="H141" s="240">
        <v>240.0</v>
      </c>
      <c r="I141" s="158">
        <f t="shared" si="141"/>
        <v>280</v>
      </c>
      <c r="J141" s="159">
        <f t="shared" si="142"/>
        <v>12.432</v>
      </c>
      <c r="K141" s="344">
        <f t="shared" si="121"/>
        <v>16.8</v>
      </c>
      <c r="L141" s="161">
        <f t="shared" si="132"/>
        <v>16</v>
      </c>
      <c r="M141" s="241">
        <f t="shared" si="123"/>
        <v>0.592</v>
      </c>
      <c r="N141" s="163">
        <f t="shared" si="124"/>
        <v>11.84</v>
      </c>
      <c r="O141" s="246"/>
      <c r="P141" s="165" t="str">
        <f t="shared" si="125"/>
        <v/>
      </c>
      <c r="Q141" s="166"/>
      <c r="R141" s="243"/>
      <c r="S141" s="165">
        <f t="shared" si="126"/>
        <v>0</v>
      </c>
      <c r="T141" s="244">
        <v>16.0</v>
      </c>
      <c r="U141" s="169">
        <f t="shared" si="127"/>
        <v>198.912</v>
      </c>
      <c r="V141" s="38" t="str">
        <f t="shared" si="139"/>
        <v/>
      </c>
      <c r="W141" s="38" t="str">
        <f t="shared" si="140"/>
        <v/>
      </c>
      <c r="X141" s="11"/>
      <c r="Y141" s="11"/>
      <c r="Z141" s="11"/>
      <c r="AA141" s="11"/>
    </row>
    <row r="142" ht="13.5" customHeight="1" outlineLevel="1">
      <c r="A142" s="315"/>
      <c r="B142" s="85" t="s">
        <v>95</v>
      </c>
      <c r="C142" s="238">
        <v>0.05</v>
      </c>
      <c r="D142" s="239">
        <v>0.2</v>
      </c>
      <c r="E142" s="245">
        <v>3.9</v>
      </c>
      <c r="F142" s="156">
        <f t="shared" si="117"/>
        <v>0.039</v>
      </c>
      <c r="G142" s="156">
        <f t="shared" si="118"/>
        <v>0.78</v>
      </c>
      <c r="H142" s="240">
        <v>240.0</v>
      </c>
      <c r="I142" s="158">
        <f t="shared" si="141"/>
        <v>280</v>
      </c>
      <c r="J142" s="159">
        <f t="shared" si="142"/>
        <v>13.104</v>
      </c>
      <c r="K142" s="344">
        <f t="shared" si="121"/>
        <v>16.8</v>
      </c>
      <c r="L142" s="161">
        <f t="shared" si="132"/>
        <v>51</v>
      </c>
      <c r="M142" s="241">
        <f t="shared" si="123"/>
        <v>1.989</v>
      </c>
      <c r="N142" s="163">
        <f t="shared" si="124"/>
        <v>39.78</v>
      </c>
      <c r="O142" s="246"/>
      <c r="P142" s="165" t="str">
        <f t="shared" si="125"/>
        <v/>
      </c>
      <c r="Q142" s="166"/>
      <c r="R142" s="243"/>
      <c r="S142" s="165">
        <f t="shared" si="126"/>
        <v>0</v>
      </c>
      <c r="T142" s="244">
        <v>51.0</v>
      </c>
      <c r="U142" s="169">
        <f t="shared" si="127"/>
        <v>668.304</v>
      </c>
      <c r="V142" s="38" t="str">
        <f t="shared" si="139"/>
        <v/>
      </c>
      <c r="W142" s="38" t="str">
        <f t="shared" si="140"/>
        <v/>
      </c>
      <c r="X142" s="11"/>
      <c r="Y142" s="11"/>
      <c r="Z142" s="11"/>
      <c r="AA142" s="11"/>
    </row>
    <row r="143" ht="13.5" customHeight="1" outlineLevel="1">
      <c r="A143" s="315"/>
      <c r="B143" s="85"/>
      <c r="C143" s="238">
        <v>0.05</v>
      </c>
      <c r="D143" s="239">
        <v>0.2</v>
      </c>
      <c r="E143" s="245">
        <v>4.9</v>
      </c>
      <c r="F143" s="156">
        <f t="shared" si="117"/>
        <v>0.049</v>
      </c>
      <c r="G143" s="156">
        <f t="shared" si="118"/>
        <v>0.98</v>
      </c>
      <c r="H143" s="240">
        <v>240.0</v>
      </c>
      <c r="I143" s="158">
        <f t="shared" si="141"/>
        <v>280</v>
      </c>
      <c r="J143" s="159">
        <f t="shared" si="142"/>
        <v>16.464</v>
      </c>
      <c r="K143" s="344">
        <f t="shared" si="121"/>
        <v>16.8</v>
      </c>
      <c r="L143" s="161">
        <f t="shared" si="132"/>
        <v>187</v>
      </c>
      <c r="M143" s="241">
        <f t="shared" si="123"/>
        <v>9.163</v>
      </c>
      <c r="N143" s="163">
        <f t="shared" si="124"/>
        <v>183.26</v>
      </c>
      <c r="O143" s="246">
        <v>10.0</v>
      </c>
      <c r="P143" s="165">
        <f t="shared" si="125"/>
        <v>0.49</v>
      </c>
      <c r="Q143" s="166">
        <v>164.0</v>
      </c>
      <c r="R143" s="247"/>
      <c r="S143" s="165">
        <f t="shared" si="126"/>
        <v>0</v>
      </c>
      <c r="T143" s="244">
        <v>197.0</v>
      </c>
      <c r="U143" s="169">
        <f t="shared" si="127"/>
        <v>3078.768</v>
      </c>
      <c r="V143" s="38">
        <f t="shared" si="139"/>
        <v>46.4</v>
      </c>
      <c r="W143" s="38">
        <f t="shared" si="140"/>
        <v>117.6</v>
      </c>
      <c r="X143" s="11"/>
      <c r="Y143" s="11"/>
      <c r="Z143" s="11"/>
      <c r="AA143" s="11"/>
    </row>
    <row r="144" ht="13.5" customHeight="1" outlineLevel="1">
      <c r="A144" s="315"/>
      <c r="B144" s="85"/>
      <c r="C144" s="238">
        <v>0.05</v>
      </c>
      <c r="D144" s="239">
        <v>0.2</v>
      </c>
      <c r="E144" s="245">
        <v>6.0</v>
      </c>
      <c r="F144" s="156">
        <f t="shared" si="117"/>
        <v>0.06</v>
      </c>
      <c r="G144" s="156">
        <f t="shared" si="118"/>
        <v>1.2</v>
      </c>
      <c r="H144" s="240">
        <v>240.0</v>
      </c>
      <c r="I144" s="158">
        <f t="shared" si="141"/>
        <v>280</v>
      </c>
      <c r="J144" s="159">
        <f t="shared" si="142"/>
        <v>20.16</v>
      </c>
      <c r="K144" s="344">
        <f t="shared" si="121"/>
        <v>16.8</v>
      </c>
      <c r="L144" s="161">
        <f t="shared" si="132"/>
        <v>459</v>
      </c>
      <c r="M144" s="241">
        <f t="shared" si="123"/>
        <v>27.54</v>
      </c>
      <c r="N144" s="163">
        <f t="shared" si="124"/>
        <v>550.8</v>
      </c>
      <c r="O144" s="246"/>
      <c r="P144" s="165" t="str">
        <f t="shared" si="125"/>
        <v/>
      </c>
      <c r="Q144" s="166"/>
      <c r="R144" s="247"/>
      <c r="S144" s="165">
        <f t="shared" si="126"/>
        <v>0</v>
      </c>
      <c r="T144" s="244">
        <v>459.0</v>
      </c>
      <c r="U144" s="169">
        <f t="shared" si="127"/>
        <v>9253.44</v>
      </c>
      <c r="V144" s="38" t="str">
        <f t="shared" si="139"/>
        <v/>
      </c>
      <c r="W144" s="38" t="str">
        <f t="shared" si="140"/>
        <v/>
      </c>
      <c r="X144" s="11"/>
      <c r="Y144" s="11"/>
      <c r="Z144" s="11"/>
      <c r="AA144" s="11"/>
    </row>
    <row r="145" ht="13.5" customHeight="1" outlineLevel="1">
      <c r="A145" s="315"/>
      <c r="B145" s="248"/>
      <c r="C145" s="238">
        <v>0.075</v>
      </c>
      <c r="D145" s="239">
        <v>0.15</v>
      </c>
      <c r="E145" s="245">
        <v>6.0</v>
      </c>
      <c r="F145" s="156">
        <f t="shared" si="117"/>
        <v>0.0675</v>
      </c>
      <c r="G145" s="156">
        <f t="shared" si="118"/>
        <v>0.9</v>
      </c>
      <c r="H145" s="240">
        <v>240.0</v>
      </c>
      <c r="I145" s="158">
        <f t="shared" si="141"/>
        <v>280</v>
      </c>
      <c r="J145" s="159">
        <f t="shared" si="142"/>
        <v>22.68</v>
      </c>
      <c r="K145" s="160">
        <f t="shared" si="121"/>
        <v>25.2</v>
      </c>
      <c r="L145" s="161">
        <f t="shared" si="132"/>
        <v>43</v>
      </c>
      <c r="M145" s="241">
        <f t="shared" si="123"/>
        <v>2.9025</v>
      </c>
      <c r="N145" s="163">
        <f t="shared" si="124"/>
        <v>38.7</v>
      </c>
      <c r="O145" s="246"/>
      <c r="P145" s="165" t="str">
        <f t="shared" si="125"/>
        <v/>
      </c>
      <c r="Q145" s="166"/>
      <c r="R145" s="243"/>
      <c r="S145" s="165">
        <f t="shared" si="126"/>
        <v>0</v>
      </c>
      <c r="T145" s="244">
        <v>43.0</v>
      </c>
      <c r="U145" s="169">
        <f t="shared" si="127"/>
        <v>975.24</v>
      </c>
      <c r="V145" s="38" t="str">
        <f t="shared" si="139"/>
        <v/>
      </c>
      <c r="W145" s="38" t="str">
        <f t="shared" si="140"/>
        <v/>
      </c>
      <c r="X145" s="11"/>
      <c r="Y145" s="11"/>
      <c r="Z145" s="11"/>
      <c r="AA145" s="11"/>
    </row>
    <row r="146" ht="13.5" customHeight="1" outlineLevel="1">
      <c r="A146" s="315"/>
      <c r="B146" s="248"/>
      <c r="C146" s="238">
        <v>0.075</v>
      </c>
      <c r="D146" s="239">
        <v>0.2</v>
      </c>
      <c r="E146" s="245">
        <v>3.8</v>
      </c>
      <c r="F146" s="156">
        <f t="shared" si="117"/>
        <v>0.057</v>
      </c>
      <c r="G146" s="156">
        <f t="shared" si="118"/>
        <v>0.76</v>
      </c>
      <c r="H146" s="240">
        <v>240.0</v>
      </c>
      <c r="I146" s="158">
        <f t="shared" si="141"/>
        <v>280</v>
      </c>
      <c r="J146" s="159">
        <f t="shared" si="142"/>
        <v>19.152</v>
      </c>
      <c r="K146" s="160">
        <f t="shared" si="121"/>
        <v>25.2</v>
      </c>
      <c r="L146" s="161">
        <f t="shared" si="132"/>
        <v>1</v>
      </c>
      <c r="M146" s="241">
        <f t="shared" si="123"/>
        <v>0.057</v>
      </c>
      <c r="N146" s="163">
        <f t="shared" si="124"/>
        <v>0.76</v>
      </c>
      <c r="O146" s="275"/>
      <c r="P146" s="165" t="str">
        <f t="shared" si="125"/>
        <v/>
      </c>
      <c r="Q146" s="166"/>
      <c r="R146" s="243"/>
      <c r="S146" s="165">
        <f t="shared" si="126"/>
        <v>0</v>
      </c>
      <c r="T146" s="244">
        <v>1.0</v>
      </c>
      <c r="U146" s="169">
        <f t="shared" si="127"/>
        <v>19.152</v>
      </c>
      <c r="V146" s="38" t="str">
        <f t="shared" si="139"/>
        <v/>
      </c>
      <c r="W146" s="38" t="str">
        <f t="shared" si="140"/>
        <v/>
      </c>
      <c r="X146" s="11"/>
      <c r="Y146" s="11"/>
      <c r="Z146" s="11"/>
      <c r="AA146" s="11"/>
    </row>
    <row r="147" ht="13.5" customHeight="1" outlineLevel="1">
      <c r="A147" s="315"/>
      <c r="B147" s="248"/>
      <c r="C147" s="238">
        <v>0.075</v>
      </c>
      <c r="D147" s="239">
        <v>0.2</v>
      </c>
      <c r="E147" s="245">
        <v>4.3</v>
      </c>
      <c r="F147" s="156">
        <f t="shared" si="117"/>
        <v>0.0645</v>
      </c>
      <c r="G147" s="156">
        <f t="shared" si="118"/>
        <v>0.86</v>
      </c>
      <c r="H147" s="240">
        <v>240.0</v>
      </c>
      <c r="I147" s="158">
        <f t="shared" si="141"/>
        <v>280</v>
      </c>
      <c r="J147" s="159">
        <f t="shared" si="142"/>
        <v>21.672</v>
      </c>
      <c r="K147" s="160">
        <f t="shared" si="121"/>
        <v>25.2</v>
      </c>
      <c r="L147" s="161">
        <f t="shared" si="132"/>
        <v>10</v>
      </c>
      <c r="M147" s="241">
        <f t="shared" si="123"/>
        <v>0.645</v>
      </c>
      <c r="N147" s="163">
        <f t="shared" si="124"/>
        <v>8.6</v>
      </c>
      <c r="O147" s="345"/>
      <c r="P147" s="165" t="str">
        <f t="shared" si="125"/>
        <v/>
      </c>
      <c r="Q147" s="166"/>
      <c r="R147" s="243"/>
      <c r="S147" s="165">
        <f t="shared" si="126"/>
        <v>0</v>
      </c>
      <c r="T147" s="244">
        <v>10.0</v>
      </c>
      <c r="U147" s="169">
        <f t="shared" si="127"/>
        <v>216.72</v>
      </c>
      <c r="V147" s="38" t="str">
        <f t="shared" si="139"/>
        <v/>
      </c>
      <c r="W147" s="38" t="str">
        <f t="shared" si="140"/>
        <v/>
      </c>
      <c r="X147" s="11"/>
      <c r="Y147" s="11"/>
      <c r="Z147" s="11"/>
      <c r="AA147" s="11"/>
    </row>
    <row r="148" ht="13.5" customHeight="1" outlineLevel="1">
      <c r="A148" s="315"/>
      <c r="B148" s="248"/>
      <c r="C148" s="238">
        <v>0.075</v>
      </c>
      <c r="D148" s="239">
        <v>0.2</v>
      </c>
      <c r="E148" s="245">
        <v>4.9</v>
      </c>
      <c r="F148" s="156">
        <f t="shared" si="117"/>
        <v>0.0735</v>
      </c>
      <c r="G148" s="156">
        <f t="shared" si="118"/>
        <v>0.98</v>
      </c>
      <c r="H148" s="240">
        <v>240.0</v>
      </c>
      <c r="I148" s="158">
        <f t="shared" si="141"/>
        <v>280</v>
      </c>
      <c r="J148" s="159">
        <f t="shared" si="142"/>
        <v>24.696</v>
      </c>
      <c r="K148" s="160">
        <f t="shared" si="121"/>
        <v>25.2</v>
      </c>
      <c r="L148" s="161">
        <f t="shared" si="132"/>
        <v>5</v>
      </c>
      <c r="M148" s="241">
        <f t="shared" si="123"/>
        <v>0.3675</v>
      </c>
      <c r="N148" s="163">
        <f t="shared" si="124"/>
        <v>4.9</v>
      </c>
      <c r="O148" s="246"/>
      <c r="P148" s="165" t="str">
        <f t="shared" si="125"/>
        <v/>
      </c>
      <c r="Q148" s="166"/>
      <c r="R148" s="243"/>
      <c r="S148" s="165">
        <f t="shared" si="126"/>
        <v>0</v>
      </c>
      <c r="T148" s="244">
        <v>5.0</v>
      </c>
      <c r="U148" s="169">
        <f t="shared" si="127"/>
        <v>123.48</v>
      </c>
      <c r="V148" s="38" t="str">
        <f t="shared" si="139"/>
        <v/>
      </c>
      <c r="W148" s="38" t="str">
        <f t="shared" si="140"/>
        <v/>
      </c>
      <c r="X148" s="11"/>
      <c r="Y148" s="11"/>
      <c r="Z148" s="11"/>
      <c r="AA148" s="11"/>
    </row>
    <row r="149" ht="13.5" customHeight="1" outlineLevel="1">
      <c r="A149" s="315"/>
      <c r="B149" s="248"/>
      <c r="C149" s="238">
        <v>0.075</v>
      </c>
      <c r="D149" s="239">
        <v>0.2</v>
      </c>
      <c r="E149" s="245">
        <v>6.0</v>
      </c>
      <c r="F149" s="156">
        <f t="shared" si="117"/>
        <v>0.09</v>
      </c>
      <c r="G149" s="156">
        <f t="shared" si="118"/>
        <v>1.2</v>
      </c>
      <c r="H149" s="240">
        <v>240.0</v>
      </c>
      <c r="I149" s="158">
        <f t="shared" si="141"/>
        <v>280</v>
      </c>
      <c r="J149" s="159">
        <f t="shared" si="142"/>
        <v>30.24</v>
      </c>
      <c r="K149" s="160">
        <f t="shared" si="121"/>
        <v>25.2</v>
      </c>
      <c r="L149" s="161">
        <f t="shared" si="132"/>
        <v>1</v>
      </c>
      <c r="M149" s="241">
        <f t="shared" si="123"/>
        <v>0.09</v>
      </c>
      <c r="N149" s="163">
        <f t="shared" si="124"/>
        <v>1.2</v>
      </c>
      <c r="O149" s="246"/>
      <c r="P149" s="165" t="str">
        <f t="shared" si="125"/>
        <v/>
      </c>
      <c r="Q149" s="166"/>
      <c r="R149" s="243"/>
      <c r="S149" s="165">
        <f t="shared" si="126"/>
        <v>0</v>
      </c>
      <c r="T149" s="244">
        <v>1.0</v>
      </c>
      <c r="U149" s="169">
        <f t="shared" si="127"/>
        <v>30.24</v>
      </c>
      <c r="V149" s="38" t="str">
        <f t="shared" si="139"/>
        <v/>
      </c>
      <c r="W149" s="38" t="str">
        <f t="shared" si="140"/>
        <v/>
      </c>
      <c r="X149" s="11"/>
      <c r="Y149" s="11"/>
      <c r="Z149" s="11"/>
      <c r="AA149" s="11"/>
    </row>
    <row r="150" ht="13.5" customHeight="1" outlineLevel="1">
      <c r="A150" s="315"/>
      <c r="B150" s="248"/>
      <c r="C150" s="238">
        <v>0.1</v>
      </c>
      <c r="D150" s="239">
        <v>0.1</v>
      </c>
      <c r="E150" s="245">
        <v>3.6</v>
      </c>
      <c r="F150" s="156">
        <f t="shared" si="117"/>
        <v>0.036</v>
      </c>
      <c r="G150" s="156">
        <f t="shared" si="118"/>
        <v>0.36</v>
      </c>
      <c r="H150" s="240">
        <v>240.0</v>
      </c>
      <c r="I150" s="158">
        <f t="shared" si="141"/>
        <v>280</v>
      </c>
      <c r="J150" s="159">
        <f t="shared" si="142"/>
        <v>12.096</v>
      </c>
      <c r="K150" s="160">
        <f t="shared" si="121"/>
        <v>33.6</v>
      </c>
      <c r="L150" s="161">
        <f t="shared" si="132"/>
        <v>271</v>
      </c>
      <c r="M150" s="241">
        <f t="shared" si="123"/>
        <v>9.756</v>
      </c>
      <c r="N150" s="163">
        <f t="shared" si="124"/>
        <v>97.56</v>
      </c>
      <c r="O150" s="246">
        <v>4.0</v>
      </c>
      <c r="P150" s="165">
        <f t="shared" si="125"/>
        <v>0.144</v>
      </c>
      <c r="Q150" s="166">
        <v>58.54</v>
      </c>
      <c r="R150" s="243"/>
      <c r="S150" s="165">
        <f t="shared" si="126"/>
        <v>0</v>
      </c>
      <c r="T150" s="244">
        <v>275.0</v>
      </c>
      <c r="U150" s="169">
        <f t="shared" si="127"/>
        <v>3278.016</v>
      </c>
      <c r="V150" s="38">
        <f t="shared" si="139"/>
        <v>23.98</v>
      </c>
      <c r="W150" s="38">
        <f t="shared" si="140"/>
        <v>34.56</v>
      </c>
      <c r="X150" s="11"/>
      <c r="Y150" s="11"/>
      <c r="Z150" s="11"/>
      <c r="AA150" s="11"/>
    </row>
    <row r="151" ht="13.5" customHeight="1" outlineLevel="1">
      <c r="A151" s="315"/>
      <c r="B151" s="248"/>
      <c r="C151" s="238">
        <v>0.1</v>
      </c>
      <c r="D151" s="239">
        <v>0.1</v>
      </c>
      <c r="E151" s="245">
        <v>3.9</v>
      </c>
      <c r="F151" s="156">
        <f t="shared" si="117"/>
        <v>0.039</v>
      </c>
      <c r="G151" s="156">
        <f t="shared" si="118"/>
        <v>0.39</v>
      </c>
      <c r="H151" s="240">
        <v>240.0</v>
      </c>
      <c r="I151" s="158">
        <f t="shared" si="141"/>
        <v>280</v>
      </c>
      <c r="J151" s="159">
        <f t="shared" si="142"/>
        <v>13.104</v>
      </c>
      <c r="K151" s="160">
        <f t="shared" si="121"/>
        <v>33.6</v>
      </c>
      <c r="L151" s="161">
        <f t="shared" si="132"/>
        <v>12</v>
      </c>
      <c r="M151" s="241">
        <f t="shared" si="123"/>
        <v>0.468</v>
      </c>
      <c r="N151" s="163">
        <f t="shared" si="124"/>
        <v>4.68</v>
      </c>
      <c r="O151" s="246"/>
      <c r="P151" s="165" t="str">
        <f t="shared" si="125"/>
        <v/>
      </c>
      <c r="Q151" s="166"/>
      <c r="R151" s="243"/>
      <c r="S151" s="165">
        <f t="shared" si="126"/>
        <v>0</v>
      </c>
      <c r="T151" s="244">
        <v>12.0</v>
      </c>
      <c r="U151" s="169">
        <f t="shared" si="127"/>
        <v>157.248</v>
      </c>
      <c r="V151" s="38" t="str">
        <f t="shared" si="139"/>
        <v/>
      </c>
      <c r="W151" s="38" t="str">
        <f t="shared" si="140"/>
        <v/>
      </c>
      <c r="X151" s="11"/>
      <c r="Y151" s="11"/>
      <c r="Z151" s="11"/>
      <c r="AA151" s="11"/>
    </row>
    <row r="152" ht="13.5" customHeight="1" outlineLevel="1">
      <c r="A152" s="315"/>
      <c r="B152" s="248"/>
      <c r="C152" s="238">
        <v>0.1</v>
      </c>
      <c r="D152" s="239">
        <v>0.1</v>
      </c>
      <c r="E152" s="245">
        <v>4.9</v>
      </c>
      <c r="F152" s="156">
        <f t="shared" si="117"/>
        <v>0.049</v>
      </c>
      <c r="G152" s="156">
        <f t="shared" si="118"/>
        <v>0.49</v>
      </c>
      <c r="H152" s="240">
        <v>240.0</v>
      </c>
      <c r="I152" s="158">
        <f t="shared" si="141"/>
        <v>280</v>
      </c>
      <c r="J152" s="159">
        <f t="shared" si="142"/>
        <v>16.464</v>
      </c>
      <c r="K152" s="160">
        <f t="shared" si="121"/>
        <v>33.6</v>
      </c>
      <c r="L152" s="161">
        <f t="shared" si="132"/>
        <v>5</v>
      </c>
      <c r="M152" s="241">
        <f t="shared" si="123"/>
        <v>0.245</v>
      </c>
      <c r="N152" s="163">
        <f t="shared" si="124"/>
        <v>2.45</v>
      </c>
      <c r="O152" s="246"/>
      <c r="P152" s="165" t="str">
        <f t="shared" si="125"/>
        <v/>
      </c>
      <c r="Q152" s="166"/>
      <c r="R152" s="243"/>
      <c r="S152" s="165">
        <f t="shared" si="126"/>
        <v>0</v>
      </c>
      <c r="T152" s="244">
        <v>5.0</v>
      </c>
      <c r="U152" s="169">
        <f t="shared" si="127"/>
        <v>82.32</v>
      </c>
      <c r="V152" s="38" t="str">
        <f t="shared" si="139"/>
        <v/>
      </c>
      <c r="W152" s="38" t="str">
        <f t="shared" si="140"/>
        <v/>
      </c>
      <c r="X152" s="11"/>
      <c r="Y152" s="11"/>
      <c r="Z152" s="11"/>
      <c r="AA152" s="11"/>
    </row>
    <row r="153" ht="13.5" customHeight="1" outlineLevel="1">
      <c r="A153" s="315"/>
      <c r="B153" s="248"/>
      <c r="C153" s="238">
        <v>0.1</v>
      </c>
      <c r="D153" s="239">
        <v>0.1</v>
      </c>
      <c r="E153" s="245">
        <v>6.0</v>
      </c>
      <c r="F153" s="156">
        <f t="shared" si="117"/>
        <v>0.06</v>
      </c>
      <c r="G153" s="156">
        <f t="shared" si="118"/>
        <v>0.6</v>
      </c>
      <c r="H153" s="240">
        <v>240.0</v>
      </c>
      <c r="I153" s="158">
        <f t="shared" si="141"/>
        <v>280</v>
      </c>
      <c r="J153" s="159">
        <f t="shared" si="142"/>
        <v>20.16</v>
      </c>
      <c r="K153" s="160">
        <f t="shared" si="121"/>
        <v>33.6</v>
      </c>
      <c r="L153" s="161">
        <f t="shared" si="132"/>
        <v>121</v>
      </c>
      <c r="M153" s="241">
        <f t="shared" si="123"/>
        <v>7.26</v>
      </c>
      <c r="N153" s="163">
        <f t="shared" si="124"/>
        <v>72.6</v>
      </c>
      <c r="O153" s="246"/>
      <c r="P153" s="165" t="str">
        <f t="shared" si="125"/>
        <v/>
      </c>
      <c r="Q153" s="166"/>
      <c r="R153" s="243"/>
      <c r="S153" s="165">
        <f t="shared" si="126"/>
        <v>0</v>
      </c>
      <c r="T153" s="244">
        <v>121.0</v>
      </c>
      <c r="U153" s="169">
        <f t="shared" si="127"/>
        <v>2439.36</v>
      </c>
      <c r="V153" s="38" t="str">
        <f t="shared" si="139"/>
        <v/>
      </c>
      <c r="W153" s="38" t="str">
        <f t="shared" si="140"/>
        <v/>
      </c>
      <c r="X153" s="11"/>
      <c r="Y153" s="11"/>
      <c r="Z153" s="11"/>
      <c r="AA153" s="11"/>
    </row>
    <row r="154" ht="13.5" customHeight="1" outlineLevel="1">
      <c r="A154" s="315"/>
      <c r="B154" s="248"/>
      <c r="C154" s="238">
        <v>0.1</v>
      </c>
      <c r="D154" s="239">
        <v>0.15</v>
      </c>
      <c r="E154" s="245">
        <v>3.6</v>
      </c>
      <c r="F154" s="156">
        <f t="shared" si="117"/>
        <v>0.054</v>
      </c>
      <c r="G154" s="156">
        <f t="shared" si="118"/>
        <v>0.54</v>
      </c>
      <c r="H154" s="240">
        <v>240.0</v>
      </c>
      <c r="I154" s="158">
        <f t="shared" si="141"/>
        <v>280</v>
      </c>
      <c r="J154" s="159">
        <f t="shared" si="142"/>
        <v>18.144</v>
      </c>
      <c r="K154" s="160">
        <f t="shared" si="121"/>
        <v>33.6</v>
      </c>
      <c r="L154" s="161">
        <f t="shared" si="132"/>
        <v>47</v>
      </c>
      <c r="M154" s="241">
        <f t="shared" si="123"/>
        <v>2.538</v>
      </c>
      <c r="N154" s="163">
        <f t="shared" si="124"/>
        <v>25.38</v>
      </c>
      <c r="O154" s="246"/>
      <c r="P154" s="165" t="str">
        <f t="shared" si="125"/>
        <v/>
      </c>
      <c r="Q154" s="166"/>
      <c r="R154" s="243"/>
      <c r="S154" s="165">
        <f t="shared" si="126"/>
        <v>0</v>
      </c>
      <c r="T154" s="244">
        <v>47.0</v>
      </c>
      <c r="U154" s="169">
        <f t="shared" si="127"/>
        <v>852.768</v>
      </c>
      <c r="V154" s="38" t="str">
        <f t="shared" si="139"/>
        <v/>
      </c>
      <c r="W154" s="38" t="str">
        <f t="shared" si="140"/>
        <v/>
      </c>
      <c r="X154" s="11"/>
      <c r="Y154" s="11"/>
      <c r="Z154" s="11"/>
      <c r="AA154" s="11"/>
    </row>
    <row r="155" ht="13.5" customHeight="1" outlineLevel="1">
      <c r="A155" s="315"/>
      <c r="B155" s="248"/>
      <c r="C155" s="238">
        <v>0.1</v>
      </c>
      <c r="D155" s="239">
        <v>0.15</v>
      </c>
      <c r="E155" s="245">
        <v>4.9</v>
      </c>
      <c r="F155" s="156">
        <f t="shared" si="117"/>
        <v>0.0735</v>
      </c>
      <c r="G155" s="156">
        <f t="shared" si="118"/>
        <v>0.735</v>
      </c>
      <c r="H155" s="240">
        <v>240.0</v>
      </c>
      <c r="I155" s="158">
        <f t="shared" si="141"/>
        <v>280</v>
      </c>
      <c r="J155" s="159">
        <f t="shared" si="142"/>
        <v>24.696</v>
      </c>
      <c r="K155" s="160">
        <f t="shared" si="121"/>
        <v>33.6</v>
      </c>
      <c r="L155" s="161">
        <f t="shared" si="132"/>
        <v>135</v>
      </c>
      <c r="M155" s="241">
        <f t="shared" si="123"/>
        <v>9.9225</v>
      </c>
      <c r="N155" s="163">
        <f t="shared" si="124"/>
        <v>99.225</v>
      </c>
      <c r="O155" s="246"/>
      <c r="P155" s="165" t="str">
        <f t="shared" si="125"/>
        <v/>
      </c>
      <c r="Q155" s="166"/>
      <c r="R155" s="243"/>
      <c r="S155" s="165">
        <f t="shared" si="126"/>
        <v>0</v>
      </c>
      <c r="T155" s="244">
        <v>135.0</v>
      </c>
      <c r="U155" s="169">
        <f t="shared" si="127"/>
        <v>3333.96</v>
      </c>
      <c r="V155" s="38" t="str">
        <f t="shared" si="139"/>
        <v/>
      </c>
      <c r="W155" s="38" t="str">
        <f t="shared" si="140"/>
        <v/>
      </c>
      <c r="X155" s="11"/>
      <c r="Y155" s="11"/>
      <c r="Z155" s="11"/>
      <c r="AA155" s="11"/>
    </row>
    <row r="156" ht="13.5" customHeight="1" outlineLevel="1">
      <c r="A156" s="315"/>
      <c r="B156" s="248"/>
      <c r="C156" s="238">
        <v>0.1</v>
      </c>
      <c r="D156" s="239">
        <v>0.15</v>
      </c>
      <c r="E156" s="245">
        <v>6.0</v>
      </c>
      <c r="F156" s="156">
        <f t="shared" si="117"/>
        <v>0.09</v>
      </c>
      <c r="G156" s="156">
        <f t="shared" si="118"/>
        <v>0.9</v>
      </c>
      <c r="H156" s="332">
        <v>240.0</v>
      </c>
      <c r="I156" s="158">
        <f t="shared" si="141"/>
        <v>280</v>
      </c>
      <c r="J156" s="159">
        <f t="shared" si="142"/>
        <v>30.24</v>
      </c>
      <c r="K156" s="160">
        <f t="shared" si="121"/>
        <v>33.6</v>
      </c>
      <c r="L156" s="161">
        <f t="shared" si="132"/>
        <v>165</v>
      </c>
      <c r="M156" s="241">
        <f t="shared" si="123"/>
        <v>14.85</v>
      </c>
      <c r="N156" s="163">
        <f t="shared" si="124"/>
        <v>148.5</v>
      </c>
      <c r="O156" s="246">
        <v>3.0</v>
      </c>
      <c r="P156" s="165">
        <f t="shared" si="125"/>
        <v>0.27</v>
      </c>
      <c r="Q156" s="166">
        <v>77.0</v>
      </c>
      <c r="R156" s="243"/>
      <c r="S156" s="165">
        <f t="shared" si="126"/>
        <v>0</v>
      </c>
      <c r="T156" s="244">
        <v>168.0</v>
      </c>
      <c r="U156" s="169">
        <f t="shared" si="127"/>
        <v>4989.6</v>
      </c>
      <c r="V156" s="38">
        <f t="shared" si="139"/>
        <v>12.2</v>
      </c>
      <c r="W156" s="38">
        <f t="shared" si="140"/>
        <v>64.8</v>
      </c>
      <c r="X156" s="11"/>
      <c r="Y156" s="11"/>
      <c r="Z156" s="11"/>
      <c r="AA156" s="11"/>
    </row>
    <row r="157" ht="13.5" customHeight="1" outlineLevel="1">
      <c r="A157" s="315"/>
      <c r="B157" s="248"/>
      <c r="C157" s="238">
        <v>0.1</v>
      </c>
      <c r="D157" s="239">
        <v>0.2</v>
      </c>
      <c r="E157" s="245">
        <v>4.9</v>
      </c>
      <c r="F157" s="156">
        <f t="shared" si="117"/>
        <v>0.098</v>
      </c>
      <c r="G157" s="156">
        <f t="shared" si="118"/>
        <v>0.98</v>
      </c>
      <c r="H157" s="240">
        <v>240.0</v>
      </c>
      <c r="I157" s="158">
        <f t="shared" si="141"/>
        <v>280</v>
      </c>
      <c r="J157" s="159">
        <f t="shared" si="142"/>
        <v>32.928</v>
      </c>
      <c r="K157" s="160">
        <f t="shared" si="121"/>
        <v>33.6</v>
      </c>
      <c r="L157" s="161">
        <f t="shared" si="132"/>
        <v>33</v>
      </c>
      <c r="M157" s="241">
        <f t="shared" si="123"/>
        <v>3.234</v>
      </c>
      <c r="N157" s="163">
        <f t="shared" si="124"/>
        <v>32.34</v>
      </c>
      <c r="O157" s="246"/>
      <c r="P157" s="165" t="str">
        <f t="shared" si="125"/>
        <v/>
      </c>
      <c r="Q157" s="166"/>
      <c r="R157" s="243"/>
      <c r="S157" s="165">
        <f t="shared" si="126"/>
        <v>0</v>
      </c>
      <c r="T157" s="244">
        <v>33.0</v>
      </c>
      <c r="U157" s="169">
        <f t="shared" si="127"/>
        <v>1086.624</v>
      </c>
      <c r="V157" s="38" t="str">
        <f t="shared" si="139"/>
        <v/>
      </c>
      <c r="W157" s="38" t="str">
        <f t="shared" si="140"/>
        <v/>
      </c>
      <c r="X157" s="11"/>
      <c r="Y157" s="11"/>
      <c r="Z157" s="11"/>
      <c r="AA157" s="11"/>
    </row>
    <row r="158" ht="13.5" customHeight="1" outlineLevel="1">
      <c r="A158" s="315"/>
      <c r="B158" s="248"/>
      <c r="C158" s="238">
        <v>0.1</v>
      </c>
      <c r="D158" s="239">
        <v>0.2</v>
      </c>
      <c r="E158" s="245">
        <v>6.0</v>
      </c>
      <c r="F158" s="156">
        <f t="shared" si="117"/>
        <v>0.12</v>
      </c>
      <c r="G158" s="156">
        <f t="shared" si="118"/>
        <v>1.2</v>
      </c>
      <c r="H158" s="240">
        <v>240.0</v>
      </c>
      <c r="I158" s="158">
        <f t="shared" si="141"/>
        <v>280</v>
      </c>
      <c r="J158" s="159">
        <f t="shared" si="142"/>
        <v>40.32</v>
      </c>
      <c r="K158" s="160">
        <f t="shared" si="121"/>
        <v>33.6</v>
      </c>
      <c r="L158" s="161">
        <f t="shared" si="132"/>
        <v>88</v>
      </c>
      <c r="M158" s="241">
        <f t="shared" si="123"/>
        <v>10.56</v>
      </c>
      <c r="N158" s="163">
        <f t="shared" si="124"/>
        <v>105.6</v>
      </c>
      <c r="O158" s="246">
        <v>1.0</v>
      </c>
      <c r="P158" s="165">
        <f t="shared" si="125"/>
        <v>0.12</v>
      </c>
      <c r="Q158" s="166">
        <v>34.0</v>
      </c>
      <c r="R158" s="243"/>
      <c r="S158" s="165">
        <f t="shared" si="126"/>
        <v>0</v>
      </c>
      <c r="T158" s="244">
        <v>89.0</v>
      </c>
      <c r="U158" s="169">
        <f t="shared" si="127"/>
        <v>3548.16</v>
      </c>
      <c r="V158" s="38">
        <f t="shared" si="139"/>
        <v>5.2</v>
      </c>
      <c r="W158" s="38">
        <f t="shared" si="140"/>
        <v>28.8</v>
      </c>
      <c r="X158" s="11"/>
      <c r="Y158" s="11"/>
      <c r="Z158" s="11"/>
      <c r="AA158" s="11"/>
    </row>
    <row r="159" ht="13.5" customHeight="1" outlineLevel="1">
      <c r="A159" s="315"/>
      <c r="B159" s="85" t="s">
        <v>98</v>
      </c>
      <c r="C159" s="238">
        <v>0.15</v>
      </c>
      <c r="D159" s="239">
        <v>0.15</v>
      </c>
      <c r="E159" s="245">
        <v>3.1</v>
      </c>
      <c r="F159" s="156">
        <f t="shared" si="117"/>
        <v>0.06975</v>
      </c>
      <c r="G159" s="156">
        <f t="shared" si="118"/>
        <v>0.465</v>
      </c>
      <c r="H159" s="240">
        <v>240.0</v>
      </c>
      <c r="I159" s="158">
        <f>ROUND(H159*1.1667,0)*0.9</f>
        <v>252</v>
      </c>
      <c r="J159" s="159">
        <f>ROUND((I159*0.873)*1.21,0)*(C159*D159*E159)</f>
        <v>18.5535</v>
      </c>
      <c r="K159" s="160">
        <f t="shared" si="121"/>
        <v>39.9</v>
      </c>
      <c r="L159" s="161">
        <f t="shared" si="132"/>
        <v>8</v>
      </c>
      <c r="M159" s="241">
        <f t="shared" si="123"/>
        <v>0.558</v>
      </c>
      <c r="N159" s="163">
        <f t="shared" si="124"/>
        <v>3.72</v>
      </c>
      <c r="O159" s="246"/>
      <c r="P159" s="165" t="str">
        <f t="shared" si="125"/>
        <v/>
      </c>
      <c r="Q159" s="166"/>
      <c r="R159" s="243"/>
      <c r="S159" s="165">
        <f t="shared" si="126"/>
        <v>0</v>
      </c>
      <c r="T159" s="244">
        <v>8.0</v>
      </c>
      <c r="U159" s="169">
        <f t="shared" si="127"/>
        <v>148.428</v>
      </c>
      <c r="V159" s="38" t="str">
        <f t="shared" si="139"/>
        <v/>
      </c>
      <c r="W159" s="38" t="str">
        <f t="shared" si="140"/>
        <v/>
      </c>
      <c r="X159" s="11"/>
      <c r="Y159" s="11"/>
      <c r="Z159" s="11"/>
      <c r="AA159" s="11"/>
    </row>
    <row r="160" ht="13.5" customHeight="1" outlineLevel="1">
      <c r="A160" s="315"/>
      <c r="B160" s="85"/>
      <c r="C160" s="238">
        <v>0.15</v>
      </c>
      <c r="D160" s="239">
        <v>0.15</v>
      </c>
      <c r="E160" s="245">
        <v>4.9</v>
      </c>
      <c r="F160" s="156">
        <f t="shared" si="117"/>
        <v>0.11025</v>
      </c>
      <c r="G160" s="156">
        <f t="shared" si="118"/>
        <v>0.735</v>
      </c>
      <c r="H160" s="332">
        <v>240.0</v>
      </c>
      <c r="I160" s="158">
        <f t="shared" ref="I160:I162" si="143">ROUND(H160*1.1667,0)</f>
        <v>280</v>
      </c>
      <c r="J160" s="159">
        <f t="shared" ref="J160:J162" si="144">ROUND((I160*0.992)*1.21,0)*(C160*D160*E160)</f>
        <v>37.044</v>
      </c>
      <c r="K160" s="160">
        <f t="shared" si="121"/>
        <v>50.4</v>
      </c>
      <c r="L160" s="161">
        <f t="shared" si="132"/>
        <v>20</v>
      </c>
      <c r="M160" s="241">
        <f t="shared" si="123"/>
        <v>2.205</v>
      </c>
      <c r="N160" s="163">
        <f t="shared" si="124"/>
        <v>14.7</v>
      </c>
      <c r="O160" s="246"/>
      <c r="P160" s="165" t="str">
        <f t="shared" si="125"/>
        <v/>
      </c>
      <c r="Q160" s="166"/>
      <c r="R160" s="243"/>
      <c r="S160" s="165">
        <f t="shared" si="126"/>
        <v>0</v>
      </c>
      <c r="T160" s="244">
        <v>20.0</v>
      </c>
      <c r="U160" s="169">
        <f t="shared" si="127"/>
        <v>740.88</v>
      </c>
      <c r="V160" s="38" t="str">
        <f t="shared" si="139"/>
        <v/>
      </c>
      <c r="W160" s="38" t="str">
        <f t="shared" si="140"/>
        <v/>
      </c>
      <c r="X160" s="11"/>
      <c r="Y160" s="11"/>
      <c r="Z160" s="11"/>
      <c r="AA160" s="11"/>
    </row>
    <row r="161" ht="13.5" customHeight="1" outlineLevel="1">
      <c r="A161" s="315"/>
      <c r="B161" s="85"/>
      <c r="C161" s="238">
        <v>0.15</v>
      </c>
      <c r="D161" s="239">
        <v>0.15</v>
      </c>
      <c r="E161" s="245">
        <v>6.0</v>
      </c>
      <c r="F161" s="156">
        <f t="shared" si="117"/>
        <v>0.135</v>
      </c>
      <c r="G161" s="156">
        <f t="shared" si="118"/>
        <v>0.9</v>
      </c>
      <c r="H161" s="240">
        <v>240.0</v>
      </c>
      <c r="I161" s="158">
        <f t="shared" si="143"/>
        <v>280</v>
      </c>
      <c r="J161" s="159">
        <f t="shared" si="144"/>
        <v>45.36</v>
      </c>
      <c r="K161" s="160">
        <f t="shared" si="121"/>
        <v>50.4</v>
      </c>
      <c r="L161" s="161">
        <f t="shared" si="132"/>
        <v>18</v>
      </c>
      <c r="M161" s="241">
        <f t="shared" si="123"/>
        <v>2.43</v>
      </c>
      <c r="N161" s="163">
        <f t="shared" si="124"/>
        <v>16.2</v>
      </c>
      <c r="O161" s="246"/>
      <c r="P161" s="165" t="str">
        <f t="shared" si="125"/>
        <v/>
      </c>
      <c r="Q161" s="166"/>
      <c r="R161" s="247"/>
      <c r="S161" s="165">
        <f t="shared" si="126"/>
        <v>0</v>
      </c>
      <c r="T161" s="244">
        <v>18.0</v>
      </c>
      <c r="U161" s="169">
        <f t="shared" si="127"/>
        <v>816.48</v>
      </c>
      <c r="V161" s="38" t="str">
        <f t="shared" si="139"/>
        <v/>
      </c>
      <c r="W161" s="38" t="str">
        <f t="shared" si="140"/>
        <v/>
      </c>
      <c r="X161" s="11"/>
      <c r="Y161" s="11"/>
      <c r="Z161" s="11"/>
      <c r="AA161" s="11"/>
    </row>
    <row r="162" ht="13.5" customHeight="1" outlineLevel="1">
      <c r="A162" s="315"/>
      <c r="B162" s="85"/>
      <c r="C162" s="238">
        <v>0.15</v>
      </c>
      <c r="D162" s="239">
        <v>0.2</v>
      </c>
      <c r="E162" s="245">
        <v>4.9</v>
      </c>
      <c r="F162" s="156">
        <f t="shared" si="117"/>
        <v>0.147</v>
      </c>
      <c r="G162" s="156">
        <f t="shared" si="118"/>
        <v>0.98</v>
      </c>
      <c r="H162" s="240">
        <v>240.0</v>
      </c>
      <c r="I162" s="158">
        <f t="shared" si="143"/>
        <v>280</v>
      </c>
      <c r="J162" s="159">
        <f t="shared" si="144"/>
        <v>49.392</v>
      </c>
      <c r="K162" s="160">
        <f t="shared" si="121"/>
        <v>50.4</v>
      </c>
      <c r="L162" s="161">
        <f t="shared" si="132"/>
        <v>21</v>
      </c>
      <c r="M162" s="241">
        <f t="shared" si="123"/>
        <v>3.087</v>
      </c>
      <c r="N162" s="163">
        <f t="shared" si="124"/>
        <v>20.58</v>
      </c>
      <c r="O162" s="246">
        <v>5.0</v>
      </c>
      <c r="P162" s="165">
        <f t="shared" si="125"/>
        <v>0.735</v>
      </c>
      <c r="Q162" s="166">
        <v>206.0</v>
      </c>
      <c r="R162" s="243"/>
      <c r="S162" s="165">
        <f t="shared" si="126"/>
        <v>0</v>
      </c>
      <c r="T162" s="244">
        <v>26.0</v>
      </c>
      <c r="U162" s="169">
        <f t="shared" si="127"/>
        <v>1037.232</v>
      </c>
      <c r="V162" s="38">
        <f t="shared" si="139"/>
        <v>29.6</v>
      </c>
      <c r="W162" s="38">
        <f t="shared" si="140"/>
        <v>176.4</v>
      </c>
      <c r="X162" s="11"/>
      <c r="Y162" s="11"/>
      <c r="Z162" s="11"/>
      <c r="AA162" s="11"/>
    </row>
    <row r="163" ht="13.5" customHeight="1" outlineLevel="1">
      <c r="A163" s="315"/>
      <c r="B163" s="85" t="s">
        <v>98</v>
      </c>
      <c r="C163" s="238">
        <v>0.15</v>
      </c>
      <c r="D163" s="239">
        <v>0.2</v>
      </c>
      <c r="E163" s="245">
        <v>6.0</v>
      </c>
      <c r="F163" s="156">
        <f t="shared" si="117"/>
        <v>0.18</v>
      </c>
      <c r="G163" s="156">
        <f t="shared" si="118"/>
        <v>1.2</v>
      </c>
      <c r="H163" s="240">
        <v>240.0</v>
      </c>
      <c r="I163" s="158">
        <f>ROUND(H163*1.1667,0)*0.9</f>
        <v>252</v>
      </c>
      <c r="J163" s="159">
        <f>ROUND((I163*0.873)*1.21,0)*(C163*D163*E163)</f>
        <v>47.88</v>
      </c>
      <c r="K163" s="160">
        <f t="shared" si="121"/>
        <v>39.9</v>
      </c>
      <c r="L163" s="161">
        <f t="shared" si="132"/>
        <v>2</v>
      </c>
      <c r="M163" s="241">
        <f t="shared" si="123"/>
        <v>0.36</v>
      </c>
      <c r="N163" s="163">
        <f t="shared" si="124"/>
        <v>2.4</v>
      </c>
      <c r="O163" s="252"/>
      <c r="P163" s="165" t="str">
        <f t="shared" si="125"/>
        <v/>
      </c>
      <c r="Q163" s="172"/>
      <c r="R163" s="243"/>
      <c r="S163" s="165">
        <f t="shared" si="126"/>
        <v>0</v>
      </c>
      <c r="T163" s="244">
        <v>2.0</v>
      </c>
      <c r="U163" s="169">
        <f t="shared" si="127"/>
        <v>95.76</v>
      </c>
      <c r="V163" s="38" t="str">
        <f t="shared" si="139"/>
        <v/>
      </c>
      <c r="W163" s="38" t="str">
        <f t="shared" si="140"/>
        <v/>
      </c>
      <c r="X163" s="11"/>
      <c r="Y163" s="11"/>
      <c r="Z163" s="11"/>
      <c r="AA163" s="11"/>
    </row>
    <row r="164" ht="13.5" customHeight="1" outlineLevel="1">
      <c r="A164" s="315"/>
      <c r="B164" s="85"/>
      <c r="C164" s="238">
        <v>0.15</v>
      </c>
      <c r="D164" s="239">
        <v>0.25</v>
      </c>
      <c r="E164" s="245">
        <v>6.0</v>
      </c>
      <c r="F164" s="156">
        <f t="shared" si="117"/>
        <v>0.225</v>
      </c>
      <c r="G164" s="156">
        <f t="shared" si="118"/>
        <v>1.5</v>
      </c>
      <c r="H164" s="240">
        <v>240.0</v>
      </c>
      <c r="I164" s="158">
        <f t="shared" ref="I164:I171" si="145">ROUND(H164*1.1667,0)</f>
        <v>280</v>
      </c>
      <c r="J164" s="159">
        <f t="shared" ref="J164:J166" si="146">ROUND((I164*0.992)*1.21,0)*(C164*D164*E164)</f>
        <v>75.6</v>
      </c>
      <c r="K164" s="160">
        <f t="shared" si="121"/>
        <v>50.4</v>
      </c>
      <c r="L164" s="161">
        <f t="shared" si="132"/>
        <v>20</v>
      </c>
      <c r="M164" s="241">
        <f t="shared" si="123"/>
        <v>4.5</v>
      </c>
      <c r="N164" s="163">
        <f t="shared" si="124"/>
        <v>30</v>
      </c>
      <c r="O164" s="252"/>
      <c r="P164" s="165" t="str">
        <f t="shared" si="125"/>
        <v/>
      </c>
      <c r="Q164" s="172"/>
      <c r="R164" s="243"/>
      <c r="S164" s="165">
        <f t="shared" si="126"/>
        <v>0</v>
      </c>
      <c r="T164" s="244">
        <v>20.0</v>
      </c>
      <c r="U164" s="169">
        <f t="shared" si="127"/>
        <v>1512</v>
      </c>
      <c r="V164" s="38" t="str">
        <f t="shared" si="139"/>
        <v/>
      </c>
      <c r="W164" s="38" t="str">
        <f t="shared" si="140"/>
        <v/>
      </c>
      <c r="X164" s="11"/>
      <c r="Y164" s="11"/>
      <c r="Z164" s="11"/>
      <c r="AA164" s="11"/>
    </row>
    <row r="165" ht="13.5" customHeight="1" outlineLevel="1">
      <c r="A165" s="315"/>
      <c r="B165" s="85"/>
      <c r="C165" s="238">
        <v>0.2</v>
      </c>
      <c r="D165" s="239">
        <v>0.2</v>
      </c>
      <c r="E165" s="245">
        <v>6.0</v>
      </c>
      <c r="F165" s="156">
        <f t="shared" si="117"/>
        <v>0.24</v>
      </c>
      <c r="G165" s="156">
        <f t="shared" si="118"/>
        <v>1.2</v>
      </c>
      <c r="H165" s="240">
        <v>240.0</v>
      </c>
      <c r="I165" s="158">
        <f t="shared" si="145"/>
        <v>280</v>
      </c>
      <c r="J165" s="159">
        <f t="shared" si="146"/>
        <v>80.64</v>
      </c>
      <c r="K165" s="160">
        <f t="shared" si="121"/>
        <v>67.2</v>
      </c>
      <c r="L165" s="161">
        <f t="shared" si="132"/>
        <v>17</v>
      </c>
      <c r="M165" s="241">
        <f t="shared" si="123"/>
        <v>4.08</v>
      </c>
      <c r="N165" s="163">
        <f t="shared" si="124"/>
        <v>20.4</v>
      </c>
      <c r="O165" s="252"/>
      <c r="P165" s="165" t="str">
        <f t="shared" si="125"/>
        <v/>
      </c>
      <c r="Q165" s="172"/>
      <c r="R165" s="243"/>
      <c r="S165" s="165">
        <f t="shared" si="126"/>
        <v>0</v>
      </c>
      <c r="T165" s="244">
        <v>17.0</v>
      </c>
      <c r="U165" s="169">
        <f t="shared" si="127"/>
        <v>1370.88</v>
      </c>
      <c r="V165" s="38" t="str">
        <f t="shared" si="139"/>
        <v/>
      </c>
      <c r="W165" s="38" t="str">
        <f t="shared" si="140"/>
        <v/>
      </c>
      <c r="X165" s="11"/>
      <c r="Y165" s="11"/>
      <c r="Z165" s="11"/>
      <c r="AA165" s="11"/>
    </row>
    <row r="166" ht="13.5" customHeight="1" outlineLevel="1">
      <c r="A166" s="315"/>
      <c r="B166" s="85" t="s">
        <v>99</v>
      </c>
      <c r="C166" s="238">
        <v>0.05</v>
      </c>
      <c r="D166" s="239">
        <v>0.05</v>
      </c>
      <c r="E166" s="245">
        <v>1.5</v>
      </c>
      <c r="F166" s="156">
        <f t="shared" si="117"/>
        <v>0.00375</v>
      </c>
      <c r="G166" s="156">
        <f t="shared" si="118"/>
        <v>0.075</v>
      </c>
      <c r="H166" s="240">
        <v>255.0</v>
      </c>
      <c r="I166" s="158">
        <f t="shared" si="145"/>
        <v>298</v>
      </c>
      <c r="J166" s="159">
        <f t="shared" si="146"/>
        <v>1.3425</v>
      </c>
      <c r="K166" s="160">
        <f t="shared" si="121"/>
        <v>17.9</v>
      </c>
      <c r="L166" s="161">
        <f t="shared" si="132"/>
        <v>127</v>
      </c>
      <c r="M166" s="241">
        <f t="shared" si="123"/>
        <v>0.47625</v>
      </c>
      <c r="N166" s="163">
        <f t="shared" si="124"/>
        <v>9.525</v>
      </c>
      <c r="O166" s="275"/>
      <c r="P166" s="165" t="str">
        <f t="shared" si="125"/>
        <v/>
      </c>
      <c r="Q166" s="172"/>
      <c r="R166" s="243"/>
      <c r="S166" s="165">
        <f t="shared" si="126"/>
        <v>0</v>
      </c>
      <c r="T166" s="244">
        <v>127.0</v>
      </c>
      <c r="U166" s="169">
        <f t="shared" si="127"/>
        <v>170.4975</v>
      </c>
      <c r="V166" s="38" t="str">
        <f t="shared" si="139"/>
        <v/>
      </c>
      <c r="W166" s="38" t="str">
        <f t="shared" si="140"/>
        <v/>
      </c>
      <c r="X166" s="11"/>
      <c r="Y166" s="11"/>
      <c r="Z166" s="11"/>
      <c r="AA166" s="11"/>
    </row>
    <row r="167" ht="13.5" customHeight="1" outlineLevel="1">
      <c r="A167" s="315"/>
      <c r="B167" s="85" t="s">
        <v>99</v>
      </c>
      <c r="C167" s="238">
        <v>0.07</v>
      </c>
      <c r="D167" s="239">
        <v>0.07</v>
      </c>
      <c r="E167" s="245">
        <v>1.8</v>
      </c>
      <c r="F167" s="156">
        <f t="shared" si="117"/>
        <v>0.00882</v>
      </c>
      <c r="G167" s="156">
        <f t="shared" si="118"/>
        <v>0.126</v>
      </c>
      <c r="H167" s="240">
        <v>255.0</v>
      </c>
      <c r="I167" s="158">
        <f t="shared" si="145"/>
        <v>298</v>
      </c>
      <c r="J167" s="159">
        <f t="shared" ref="J167:J171" si="147">ROUND((I167*0.855)*1.21,0)*(C167*D167*E167)</f>
        <v>2.71656</v>
      </c>
      <c r="K167" s="160">
        <f t="shared" si="121"/>
        <v>21.56</v>
      </c>
      <c r="L167" s="161">
        <f t="shared" si="132"/>
        <v>69</v>
      </c>
      <c r="M167" s="241">
        <f t="shared" si="123"/>
        <v>0.60858</v>
      </c>
      <c r="N167" s="163">
        <f t="shared" si="124"/>
        <v>8.694</v>
      </c>
      <c r="O167" s="345"/>
      <c r="P167" s="165" t="str">
        <f t="shared" si="125"/>
        <v/>
      </c>
      <c r="Q167" s="166"/>
      <c r="R167" s="243"/>
      <c r="S167" s="165">
        <f t="shared" si="126"/>
        <v>0</v>
      </c>
      <c r="T167" s="244">
        <v>69.0</v>
      </c>
      <c r="U167" s="169">
        <f t="shared" si="127"/>
        <v>187.44264</v>
      </c>
      <c r="V167" s="38" t="str">
        <f t="shared" si="139"/>
        <v/>
      </c>
      <c r="W167" s="38" t="str">
        <f t="shared" si="140"/>
        <v/>
      </c>
      <c r="X167" s="11"/>
      <c r="Y167" s="11"/>
      <c r="Z167" s="11"/>
      <c r="AA167" s="11"/>
    </row>
    <row r="168" ht="13.5" customHeight="1" outlineLevel="1">
      <c r="A168" s="315"/>
      <c r="B168" s="85" t="s">
        <v>99</v>
      </c>
      <c r="C168" s="238">
        <v>0.085</v>
      </c>
      <c r="D168" s="239">
        <v>0.085</v>
      </c>
      <c r="E168" s="245">
        <v>1.8</v>
      </c>
      <c r="F168" s="156">
        <f t="shared" si="117"/>
        <v>0.013005</v>
      </c>
      <c r="G168" s="156">
        <f t="shared" si="118"/>
        <v>0.153</v>
      </c>
      <c r="H168" s="240">
        <v>255.0</v>
      </c>
      <c r="I168" s="158">
        <f t="shared" si="145"/>
        <v>298</v>
      </c>
      <c r="J168" s="159">
        <f t="shared" si="147"/>
        <v>4.00554</v>
      </c>
      <c r="K168" s="160">
        <f t="shared" si="121"/>
        <v>26.18</v>
      </c>
      <c r="L168" s="161">
        <f t="shared" si="132"/>
        <v>78</v>
      </c>
      <c r="M168" s="241">
        <f t="shared" si="123"/>
        <v>1.01439</v>
      </c>
      <c r="N168" s="163">
        <f t="shared" si="124"/>
        <v>11.934</v>
      </c>
      <c r="O168" s="275"/>
      <c r="P168" s="165" t="str">
        <f t="shared" si="125"/>
        <v/>
      </c>
      <c r="Q168" s="172"/>
      <c r="R168" s="243"/>
      <c r="S168" s="165">
        <f t="shared" si="126"/>
        <v>0</v>
      </c>
      <c r="T168" s="244">
        <v>78.0</v>
      </c>
      <c r="U168" s="169">
        <f t="shared" si="127"/>
        <v>312.43212</v>
      </c>
      <c r="V168" s="38" t="str">
        <f t="shared" si="139"/>
        <v/>
      </c>
      <c r="W168" s="38" t="str">
        <f t="shared" si="140"/>
        <v/>
      </c>
      <c r="X168" s="11"/>
      <c r="Y168" s="11"/>
      <c r="Z168" s="11"/>
      <c r="AA168" s="11"/>
    </row>
    <row r="169" ht="13.5" customHeight="1" outlineLevel="1">
      <c r="A169" s="315"/>
      <c r="B169" s="85" t="s">
        <v>99</v>
      </c>
      <c r="C169" s="238">
        <v>0.09</v>
      </c>
      <c r="D169" s="239">
        <v>0.09</v>
      </c>
      <c r="E169" s="245">
        <v>1.8</v>
      </c>
      <c r="F169" s="156">
        <f t="shared" si="117"/>
        <v>0.01458</v>
      </c>
      <c r="G169" s="156">
        <f t="shared" si="118"/>
        <v>0.162</v>
      </c>
      <c r="H169" s="240">
        <v>255.0</v>
      </c>
      <c r="I169" s="158">
        <f t="shared" si="145"/>
        <v>298</v>
      </c>
      <c r="J169" s="159">
        <f t="shared" si="147"/>
        <v>4.49064</v>
      </c>
      <c r="K169" s="160">
        <f t="shared" si="121"/>
        <v>27.72</v>
      </c>
      <c r="L169" s="161">
        <f t="shared" si="132"/>
        <v>85</v>
      </c>
      <c r="M169" s="241">
        <f t="shared" si="123"/>
        <v>1.2393</v>
      </c>
      <c r="N169" s="163">
        <f t="shared" si="124"/>
        <v>13.77</v>
      </c>
      <c r="O169" s="275"/>
      <c r="P169" s="165" t="str">
        <f t="shared" si="125"/>
        <v/>
      </c>
      <c r="Q169" s="172"/>
      <c r="R169" s="243"/>
      <c r="S169" s="165">
        <f t="shared" si="126"/>
        <v>0</v>
      </c>
      <c r="T169" s="244">
        <v>85.0</v>
      </c>
      <c r="U169" s="169">
        <f t="shared" si="127"/>
        <v>381.7044</v>
      </c>
      <c r="V169" s="38" t="str">
        <f t="shared" si="139"/>
        <v/>
      </c>
      <c r="W169" s="38" t="str">
        <f t="shared" si="140"/>
        <v/>
      </c>
      <c r="X169" s="11"/>
      <c r="Y169" s="11"/>
      <c r="Z169" s="11"/>
      <c r="AA169" s="11"/>
    </row>
    <row r="170" ht="13.5" customHeight="1" outlineLevel="1">
      <c r="A170" s="315"/>
      <c r="B170" s="85" t="s">
        <v>99</v>
      </c>
      <c r="C170" s="238">
        <v>0.1</v>
      </c>
      <c r="D170" s="239">
        <v>0.1</v>
      </c>
      <c r="E170" s="245">
        <v>1.8</v>
      </c>
      <c r="F170" s="156">
        <f t="shared" si="117"/>
        <v>0.018</v>
      </c>
      <c r="G170" s="156">
        <f t="shared" si="118"/>
        <v>0.18</v>
      </c>
      <c r="H170" s="240">
        <v>255.0</v>
      </c>
      <c r="I170" s="158">
        <f t="shared" si="145"/>
        <v>298</v>
      </c>
      <c r="J170" s="159">
        <f t="shared" si="147"/>
        <v>5.544</v>
      </c>
      <c r="K170" s="160">
        <f t="shared" si="121"/>
        <v>30.8</v>
      </c>
      <c r="L170" s="161">
        <f t="shared" si="132"/>
        <v>303</v>
      </c>
      <c r="M170" s="241">
        <f t="shared" si="123"/>
        <v>5.454</v>
      </c>
      <c r="N170" s="163">
        <f t="shared" si="124"/>
        <v>54.54</v>
      </c>
      <c r="O170" s="275"/>
      <c r="P170" s="165" t="str">
        <f t="shared" si="125"/>
        <v/>
      </c>
      <c r="Q170" s="172"/>
      <c r="R170" s="243"/>
      <c r="S170" s="165">
        <f t="shared" si="126"/>
        <v>0</v>
      </c>
      <c r="T170" s="244">
        <v>303.0</v>
      </c>
      <c r="U170" s="169">
        <f t="shared" si="127"/>
        <v>1679.832</v>
      </c>
      <c r="V170" s="38" t="str">
        <f t="shared" si="139"/>
        <v/>
      </c>
      <c r="W170" s="38" t="str">
        <f t="shared" si="140"/>
        <v/>
      </c>
      <c r="X170" s="11"/>
      <c r="Y170" s="11"/>
      <c r="Z170" s="11"/>
      <c r="AA170" s="11"/>
    </row>
    <row r="171" ht="13.5" customHeight="1" outlineLevel="1">
      <c r="A171" s="315"/>
      <c r="B171" s="251" t="s">
        <v>100</v>
      </c>
      <c r="C171" s="238">
        <v>0.05</v>
      </c>
      <c r="D171" s="239">
        <v>0.1</v>
      </c>
      <c r="E171" s="245">
        <v>3.6</v>
      </c>
      <c r="F171" s="156">
        <f t="shared" si="117"/>
        <v>0.018</v>
      </c>
      <c r="G171" s="156">
        <f t="shared" si="118"/>
        <v>0.36</v>
      </c>
      <c r="H171" s="240">
        <v>255.0</v>
      </c>
      <c r="I171" s="158">
        <f t="shared" si="145"/>
        <v>298</v>
      </c>
      <c r="J171" s="159">
        <f t="shared" si="147"/>
        <v>5.544</v>
      </c>
      <c r="K171" s="160">
        <f t="shared" si="121"/>
        <v>15.4</v>
      </c>
      <c r="L171" s="161">
        <f t="shared" si="132"/>
        <v>292</v>
      </c>
      <c r="M171" s="241">
        <f t="shared" si="123"/>
        <v>5.256</v>
      </c>
      <c r="N171" s="163">
        <f t="shared" si="124"/>
        <v>105.12</v>
      </c>
      <c r="O171" s="275"/>
      <c r="P171" s="165" t="str">
        <f t="shared" si="125"/>
        <v/>
      </c>
      <c r="Q171" s="172"/>
      <c r="R171" s="243"/>
      <c r="S171" s="165">
        <f t="shared" si="126"/>
        <v>0</v>
      </c>
      <c r="T171" s="244">
        <v>292.0</v>
      </c>
      <c r="U171" s="169">
        <f t="shared" si="127"/>
        <v>1618.848</v>
      </c>
      <c r="V171" s="38" t="str">
        <f t="shared" si="139"/>
        <v/>
      </c>
      <c r="W171" s="38" t="str">
        <f t="shared" si="140"/>
        <v/>
      </c>
      <c r="X171" s="11"/>
      <c r="Y171" s="11"/>
      <c r="Z171" s="11"/>
      <c r="AA171" s="11"/>
    </row>
    <row r="172" ht="13.5" customHeight="1" outlineLevel="1">
      <c r="A172" s="315"/>
      <c r="B172" s="449" t="s">
        <v>101</v>
      </c>
      <c r="C172" s="238">
        <v>0.025</v>
      </c>
      <c r="D172" s="239">
        <v>0.05</v>
      </c>
      <c r="E172" s="245">
        <v>1.0</v>
      </c>
      <c r="F172" s="156">
        <f t="shared" si="117"/>
        <v>0.00125</v>
      </c>
      <c r="G172" s="156">
        <f t="shared" si="118"/>
        <v>0.05</v>
      </c>
      <c r="H172" s="240">
        <v>240.0</v>
      </c>
      <c r="I172" s="158">
        <f>ROUND(H172*0.6,0)</f>
        <v>144</v>
      </c>
      <c r="J172" s="159">
        <f>ROUND((I172*0.992)*1.21,0)*(C172*D172*E172)</f>
        <v>0.21625</v>
      </c>
      <c r="K172" s="160">
        <f t="shared" si="121"/>
        <v>4.325</v>
      </c>
      <c r="L172" s="161">
        <f t="shared" si="132"/>
        <v>995</v>
      </c>
      <c r="M172" s="241">
        <f t="shared" si="123"/>
        <v>1.24375</v>
      </c>
      <c r="N172" s="163">
        <f t="shared" si="124"/>
        <v>49.75</v>
      </c>
      <c r="O172" s="246"/>
      <c r="P172" s="165" t="str">
        <f t="shared" si="125"/>
        <v/>
      </c>
      <c r="Q172" s="166"/>
      <c r="R172" s="243"/>
      <c r="S172" s="165">
        <f t="shared" si="126"/>
        <v>0</v>
      </c>
      <c r="T172" s="244">
        <v>995.0</v>
      </c>
      <c r="U172" s="169">
        <f t="shared" si="127"/>
        <v>215.16875</v>
      </c>
      <c r="V172" s="38" t="str">
        <f t="shared" si="139"/>
        <v/>
      </c>
      <c r="W172" s="38" t="str">
        <f t="shared" si="140"/>
        <v/>
      </c>
      <c r="X172" s="11"/>
      <c r="Y172" s="11"/>
      <c r="Z172" s="11"/>
      <c r="AA172" s="11"/>
    </row>
    <row r="173" ht="13.5" customHeight="1">
      <c r="A173" s="315"/>
      <c r="B173" s="211" t="s">
        <v>56</v>
      </c>
      <c r="C173" s="298"/>
      <c r="D173" s="298"/>
      <c r="E173" s="298"/>
      <c r="F173" s="298"/>
      <c r="G173" s="298"/>
      <c r="H173" s="215">
        <f t="shared" ref="H173:I173" si="148">AVERAGE(H110:H172)</f>
        <v>256.5150956</v>
      </c>
      <c r="I173" s="215">
        <f t="shared" si="148"/>
        <v>288.1129032</v>
      </c>
      <c r="J173" s="216"/>
      <c r="K173" s="214">
        <f>AVERAGE(K110:K172)</f>
        <v>21.72803226</v>
      </c>
      <c r="L173" s="217"/>
      <c r="M173" s="211">
        <f>SUM(M110:M172)</f>
        <v>290.06974</v>
      </c>
      <c r="N173" s="301"/>
      <c r="O173" s="346"/>
      <c r="P173" s="214">
        <f t="shared" ref="P173:Q173" si="149">SUM(P110:P172)</f>
        <v>4.1656</v>
      </c>
      <c r="Q173" s="216">
        <f t="shared" si="149"/>
        <v>1292.54</v>
      </c>
      <c r="R173" s="347"/>
      <c r="S173" s="214">
        <f>SUM(S110:S172)</f>
        <v>1.72825</v>
      </c>
      <c r="T173" s="224"/>
      <c r="U173" s="348">
        <f>SUM(U110:U172)</f>
        <v>97108.70503</v>
      </c>
      <c r="V173" s="38"/>
      <c r="W173" s="38" t="str">
        <f t="shared" si="140"/>
        <v/>
      </c>
      <c r="X173" s="11"/>
      <c r="Y173" s="11"/>
      <c r="Z173" s="11"/>
      <c r="AA173" s="11"/>
    </row>
    <row r="174" ht="13.5" customHeight="1">
      <c r="A174" s="315"/>
      <c r="B174" s="264" t="s">
        <v>102</v>
      </c>
      <c r="C174" s="226"/>
      <c r="D174" s="226"/>
      <c r="E174" s="226"/>
      <c r="F174" s="226"/>
      <c r="G174" s="226"/>
      <c r="H174" s="226"/>
      <c r="I174" s="230"/>
      <c r="J174" s="231"/>
      <c r="K174" s="226"/>
      <c r="L174" s="226"/>
      <c r="M174" s="226"/>
      <c r="N174" s="232"/>
      <c r="O174" s="260"/>
      <c r="P174" s="226"/>
      <c r="Q174" s="261"/>
      <c r="R174" s="236"/>
      <c r="S174" s="226"/>
      <c r="T174" s="226"/>
      <c r="U174" s="237"/>
      <c r="V174" s="38"/>
      <c r="W174" s="38" t="str">
        <f t="shared" si="140"/>
        <v/>
      </c>
      <c r="X174" s="11"/>
      <c r="Y174" s="11"/>
      <c r="Z174" s="11"/>
      <c r="AA174" s="11"/>
    </row>
    <row r="175" ht="13.5" customHeight="1" outlineLevel="1">
      <c r="A175" s="315"/>
      <c r="B175" s="85" t="s">
        <v>93</v>
      </c>
      <c r="C175" s="238">
        <v>0.01</v>
      </c>
      <c r="D175" s="239">
        <v>0.04</v>
      </c>
      <c r="E175" s="245">
        <v>1.1</v>
      </c>
      <c r="F175" s="156">
        <f t="shared" ref="F175:F180" si="150">C175*D175*E175</f>
        <v>0.00044</v>
      </c>
      <c r="G175" s="156">
        <f t="shared" ref="G175:G180" si="151">D175*E175</f>
        <v>0.044</v>
      </c>
      <c r="H175" s="240">
        <v>228.8</v>
      </c>
      <c r="I175" s="158">
        <f>ROUND(H175*1.225,0)</f>
        <v>280</v>
      </c>
      <c r="J175" s="159">
        <f>ROUND((I175*1.7)*1.21,0)*(C175*D175*E175)</f>
        <v>0.25344</v>
      </c>
      <c r="K175" s="160">
        <f t="shared" ref="K175:K180" si="152">J175/(D175*E175)</f>
        <v>5.76</v>
      </c>
      <c r="L175" s="161">
        <f t="shared" ref="L175:L180" si="153">T175+R175-O175</f>
        <v>20</v>
      </c>
      <c r="M175" s="241">
        <f t="shared" ref="M175:M180" si="154">L175*F175</f>
        <v>0.0088</v>
      </c>
      <c r="N175" s="163">
        <f t="shared" ref="N175:N180" si="155">L175*G175</f>
        <v>0.88</v>
      </c>
      <c r="O175" s="246"/>
      <c r="P175" s="165" t="str">
        <f t="shared" ref="P175:P192" si="156">IF(O175="","",(O175*F175))</f>
        <v/>
      </c>
      <c r="Q175" s="166"/>
      <c r="R175" s="243"/>
      <c r="S175" s="165">
        <f t="shared" ref="S175:S180" si="157">R175*F175</f>
        <v>0</v>
      </c>
      <c r="T175" s="244">
        <v>20.0</v>
      </c>
      <c r="U175" s="169">
        <f t="shared" ref="U175:U180" si="158">J175*L175</f>
        <v>5.0688</v>
      </c>
      <c r="V175" s="38" t="str">
        <f t="shared" ref="V175:V180" si="159">IF(O175="","",Q175-(O175*(H175*F175)))</f>
        <v/>
      </c>
      <c r="W175" s="38" t="str">
        <f t="shared" si="140"/>
        <v/>
      </c>
      <c r="X175" s="11"/>
      <c r="Y175" s="11"/>
      <c r="Z175" s="11"/>
      <c r="AA175" s="11"/>
    </row>
    <row r="176" ht="13.5" customHeight="1" outlineLevel="1">
      <c r="A176" s="315"/>
      <c r="B176" s="85"/>
      <c r="C176" s="238">
        <v>0.021</v>
      </c>
      <c r="D176" s="239">
        <v>0.038</v>
      </c>
      <c r="E176" s="245">
        <v>4.8</v>
      </c>
      <c r="F176" s="156">
        <f t="shared" si="150"/>
        <v>0.0038304</v>
      </c>
      <c r="G176" s="156">
        <f t="shared" si="151"/>
        <v>0.1824</v>
      </c>
      <c r="H176" s="240">
        <v>343.0</v>
      </c>
      <c r="I176" s="158">
        <f t="shared" ref="I176:I180" si="160">ROUND(H176*1.1667,0)</f>
        <v>400</v>
      </c>
      <c r="J176" s="159">
        <f t="shared" ref="J176:J180" si="161">ROUND((I176*0.992)*1.21,0)*(C176*D176*E176)</f>
        <v>1.838592</v>
      </c>
      <c r="K176" s="160">
        <f t="shared" si="152"/>
        <v>10.08</v>
      </c>
      <c r="L176" s="161">
        <f t="shared" si="153"/>
        <v>1036</v>
      </c>
      <c r="M176" s="241">
        <f t="shared" si="154"/>
        <v>3.9682944</v>
      </c>
      <c r="N176" s="163">
        <f t="shared" si="155"/>
        <v>188.9664</v>
      </c>
      <c r="O176" s="246"/>
      <c r="P176" s="165" t="str">
        <f t="shared" si="156"/>
        <v/>
      </c>
      <c r="Q176" s="166"/>
      <c r="R176" s="243"/>
      <c r="S176" s="165">
        <f t="shared" si="157"/>
        <v>0</v>
      </c>
      <c r="T176" s="244">
        <v>1036.0</v>
      </c>
      <c r="U176" s="169">
        <f t="shared" si="158"/>
        <v>1904.781312</v>
      </c>
      <c r="V176" s="38" t="str">
        <f t="shared" si="159"/>
        <v/>
      </c>
      <c r="W176" s="38" t="str">
        <f t="shared" si="140"/>
        <v/>
      </c>
      <c r="X176" s="11"/>
      <c r="Y176" s="11"/>
      <c r="Z176" s="11"/>
      <c r="AA176" s="11"/>
    </row>
    <row r="177" ht="13.5" customHeight="1" outlineLevel="1">
      <c r="A177" s="315"/>
      <c r="B177" s="85"/>
      <c r="C177" s="238">
        <v>0.025</v>
      </c>
      <c r="D177" s="239">
        <v>0.045</v>
      </c>
      <c r="E177" s="245">
        <v>2.0</v>
      </c>
      <c r="F177" s="156">
        <f t="shared" si="150"/>
        <v>0.00225</v>
      </c>
      <c r="G177" s="156">
        <f t="shared" si="151"/>
        <v>0.09</v>
      </c>
      <c r="H177" s="240">
        <v>343.0</v>
      </c>
      <c r="I177" s="158">
        <f t="shared" si="160"/>
        <v>400</v>
      </c>
      <c r="J177" s="159">
        <f t="shared" si="161"/>
        <v>1.08</v>
      </c>
      <c r="K177" s="160">
        <f t="shared" si="152"/>
        <v>12</v>
      </c>
      <c r="L177" s="161">
        <f t="shared" si="153"/>
        <v>26</v>
      </c>
      <c r="M177" s="241">
        <f t="shared" si="154"/>
        <v>0.0585</v>
      </c>
      <c r="N177" s="163">
        <f t="shared" si="155"/>
        <v>2.34</v>
      </c>
      <c r="O177" s="246"/>
      <c r="P177" s="165" t="str">
        <f t="shared" si="156"/>
        <v/>
      </c>
      <c r="Q177" s="166"/>
      <c r="R177" s="247"/>
      <c r="S177" s="165">
        <f t="shared" si="157"/>
        <v>0</v>
      </c>
      <c r="T177" s="244">
        <v>26.0</v>
      </c>
      <c r="U177" s="169">
        <f t="shared" si="158"/>
        <v>28.08</v>
      </c>
      <c r="V177" s="38" t="str">
        <f t="shared" si="159"/>
        <v/>
      </c>
      <c r="W177" s="38" t="str">
        <f t="shared" si="140"/>
        <v/>
      </c>
      <c r="X177" s="11"/>
      <c r="Y177" s="11"/>
      <c r="Z177" s="11"/>
      <c r="AA177" s="11"/>
    </row>
    <row r="178" ht="13.5" customHeight="1" outlineLevel="1">
      <c r="A178" s="315"/>
      <c r="B178" s="85"/>
      <c r="C178" s="238">
        <v>0.027</v>
      </c>
      <c r="D178" s="239">
        <v>0.027</v>
      </c>
      <c r="E178" s="245">
        <v>2.4</v>
      </c>
      <c r="F178" s="156">
        <f t="shared" si="150"/>
        <v>0.0017496</v>
      </c>
      <c r="G178" s="156">
        <f t="shared" si="151"/>
        <v>0.0648</v>
      </c>
      <c r="H178" s="240">
        <v>400.0</v>
      </c>
      <c r="I178" s="158">
        <f t="shared" si="160"/>
        <v>467</v>
      </c>
      <c r="J178" s="159">
        <f t="shared" si="161"/>
        <v>0.9815256</v>
      </c>
      <c r="K178" s="160">
        <f t="shared" si="152"/>
        <v>15.147</v>
      </c>
      <c r="L178" s="161">
        <f t="shared" si="153"/>
        <v>1410</v>
      </c>
      <c r="M178" s="241">
        <f t="shared" si="154"/>
        <v>2.466936</v>
      </c>
      <c r="N178" s="163">
        <f t="shared" si="155"/>
        <v>91.368</v>
      </c>
      <c r="O178" s="246"/>
      <c r="P178" s="165" t="str">
        <f t="shared" si="156"/>
        <v/>
      </c>
      <c r="Q178" s="166"/>
      <c r="R178" s="243"/>
      <c r="S178" s="165">
        <f t="shared" si="157"/>
        <v>0</v>
      </c>
      <c r="T178" s="244">
        <v>1410.0</v>
      </c>
      <c r="U178" s="169">
        <f t="shared" si="158"/>
        <v>1383.951096</v>
      </c>
      <c r="V178" s="38" t="str">
        <f t="shared" si="159"/>
        <v/>
      </c>
      <c r="W178" s="38" t="str">
        <f t="shared" si="140"/>
        <v/>
      </c>
      <c r="X178" s="11"/>
      <c r="Y178" s="11"/>
      <c r="Z178" s="11"/>
      <c r="AA178" s="11"/>
    </row>
    <row r="179" ht="13.5" customHeight="1" outlineLevel="1">
      <c r="A179" s="315"/>
      <c r="B179" s="85"/>
      <c r="C179" s="238">
        <v>0.045</v>
      </c>
      <c r="D179" s="239">
        <v>0.095</v>
      </c>
      <c r="E179" s="245">
        <v>4.2</v>
      </c>
      <c r="F179" s="156">
        <f t="shared" si="150"/>
        <v>0.017955</v>
      </c>
      <c r="G179" s="156">
        <f t="shared" si="151"/>
        <v>0.399</v>
      </c>
      <c r="H179" s="240">
        <v>343.0</v>
      </c>
      <c r="I179" s="158">
        <f t="shared" si="160"/>
        <v>400</v>
      </c>
      <c r="J179" s="159">
        <f t="shared" si="161"/>
        <v>8.6184</v>
      </c>
      <c r="K179" s="160">
        <f t="shared" si="152"/>
        <v>21.6</v>
      </c>
      <c r="L179" s="161">
        <f t="shared" si="153"/>
        <v>185</v>
      </c>
      <c r="M179" s="241">
        <f t="shared" si="154"/>
        <v>3.321675</v>
      </c>
      <c r="N179" s="163">
        <f t="shared" si="155"/>
        <v>73.815</v>
      </c>
      <c r="O179" s="252"/>
      <c r="P179" s="165" t="str">
        <f t="shared" si="156"/>
        <v/>
      </c>
      <c r="Q179" s="172"/>
      <c r="R179" s="243"/>
      <c r="S179" s="165">
        <f t="shared" si="157"/>
        <v>0</v>
      </c>
      <c r="T179" s="244">
        <v>185.0</v>
      </c>
      <c r="U179" s="169">
        <f t="shared" si="158"/>
        <v>1594.404</v>
      </c>
      <c r="V179" s="38" t="str">
        <f t="shared" si="159"/>
        <v/>
      </c>
      <c r="W179" s="38" t="str">
        <f t="shared" si="140"/>
        <v/>
      </c>
      <c r="X179" s="11"/>
      <c r="Y179" s="11"/>
      <c r="Z179" s="11"/>
      <c r="AA179" s="11"/>
    </row>
    <row r="180" ht="13.5" customHeight="1" outlineLevel="1">
      <c r="A180" s="315"/>
      <c r="B180" s="85" t="s">
        <v>86</v>
      </c>
      <c r="C180" s="238">
        <v>0.045</v>
      </c>
      <c r="D180" s="239">
        <v>0.12</v>
      </c>
      <c r="E180" s="245">
        <v>2.4</v>
      </c>
      <c r="F180" s="156">
        <f t="shared" si="150"/>
        <v>0.01296</v>
      </c>
      <c r="G180" s="156">
        <f t="shared" si="151"/>
        <v>0.288</v>
      </c>
      <c r="H180" s="240">
        <v>343.0</v>
      </c>
      <c r="I180" s="158">
        <f t="shared" si="160"/>
        <v>400</v>
      </c>
      <c r="J180" s="159">
        <f t="shared" si="161"/>
        <v>6.2208</v>
      </c>
      <c r="K180" s="160">
        <f t="shared" si="152"/>
        <v>21.6</v>
      </c>
      <c r="L180" s="161">
        <f t="shared" si="153"/>
        <v>89</v>
      </c>
      <c r="M180" s="241">
        <f t="shared" si="154"/>
        <v>1.15344</v>
      </c>
      <c r="N180" s="163">
        <f t="shared" si="155"/>
        <v>25.632</v>
      </c>
      <c r="O180" s="252"/>
      <c r="P180" s="165" t="str">
        <f t="shared" si="156"/>
        <v/>
      </c>
      <c r="Q180" s="172"/>
      <c r="R180" s="243"/>
      <c r="S180" s="165">
        <f t="shared" si="157"/>
        <v>0</v>
      </c>
      <c r="T180" s="244">
        <v>89.0</v>
      </c>
      <c r="U180" s="169">
        <f t="shared" si="158"/>
        <v>553.6512</v>
      </c>
      <c r="V180" s="38" t="str">
        <f t="shared" si="159"/>
        <v/>
      </c>
      <c r="W180" s="38" t="str">
        <f t="shared" si="140"/>
        <v/>
      </c>
      <c r="X180" s="11"/>
      <c r="Y180" s="11"/>
      <c r="Z180" s="11"/>
      <c r="AA180" s="11"/>
    </row>
    <row r="181" ht="13.5" customHeight="1" outlineLevel="1">
      <c r="A181" s="315"/>
      <c r="B181" s="349" t="s">
        <v>103</v>
      </c>
      <c r="C181" s="238">
        <v>0.045</v>
      </c>
      <c r="D181" s="239">
        <v>0.12</v>
      </c>
      <c r="E181" s="245">
        <v>3.9</v>
      </c>
      <c r="F181" s="156"/>
      <c r="G181" s="156"/>
      <c r="H181" s="240"/>
      <c r="I181" s="158"/>
      <c r="J181" s="159"/>
      <c r="K181" s="160"/>
      <c r="L181" s="161"/>
      <c r="M181" s="241"/>
      <c r="N181" s="163"/>
      <c r="O181" s="252"/>
      <c r="P181" s="165" t="str">
        <f t="shared" si="156"/>
        <v/>
      </c>
      <c r="Q181" s="172"/>
      <c r="R181" s="243"/>
      <c r="S181" s="165"/>
      <c r="T181" s="244"/>
      <c r="U181" s="169"/>
      <c r="V181" s="38"/>
      <c r="W181" s="38" t="str">
        <f t="shared" si="140"/>
        <v/>
      </c>
      <c r="X181" s="11"/>
      <c r="Y181" s="11"/>
      <c r="Z181" s="11"/>
      <c r="AA181" s="11"/>
    </row>
    <row r="182" ht="13.5" customHeight="1" outlineLevel="1">
      <c r="A182" s="315"/>
      <c r="B182" s="349" t="s">
        <v>103</v>
      </c>
      <c r="C182" s="238">
        <v>0.045</v>
      </c>
      <c r="D182" s="239">
        <v>0.12</v>
      </c>
      <c r="E182" s="245">
        <v>4.2</v>
      </c>
      <c r="F182" s="156"/>
      <c r="G182" s="156"/>
      <c r="H182" s="240"/>
      <c r="I182" s="158"/>
      <c r="J182" s="159"/>
      <c r="K182" s="160"/>
      <c r="L182" s="161"/>
      <c r="M182" s="241"/>
      <c r="N182" s="163"/>
      <c r="O182" s="252"/>
      <c r="P182" s="165" t="str">
        <f t="shared" si="156"/>
        <v/>
      </c>
      <c r="Q182" s="172"/>
      <c r="R182" s="243"/>
      <c r="S182" s="165"/>
      <c r="T182" s="244"/>
      <c r="U182" s="169"/>
      <c r="V182" s="38"/>
      <c r="W182" s="38" t="str">
        <f t="shared" si="140"/>
        <v/>
      </c>
      <c r="X182" s="11"/>
      <c r="Y182" s="11"/>
      <c r="Z182" s="11"/>
      <c r="AA182" s="11"/>
    </row>
    <row r="183" ht="13.5" customHeight="1" outlineLevel="1">
      <c r="A183" s="315"/>
      <c r="B183" s="85"/>
      <c r="C183" s="238">
        <v>0.045</v>
      </c>
      <c r="D183" s="239">
        <v>0.12</v>
      </c>
      <c r="E183" s="245">
        <v>5.4</v>
      </c>
      <c r="F183" s="156">
        <f t="shared" ref="F183:F185" si="162">C183*D183*E183</f>
        <v>0.02916</v>
      </c>
      <c r="G183" s="156">
        <f t="shared" ref="G183:G185" si="163">D183*E183</f>
        <v>0.648</v>
      </c>
      <c r="H183" s="240">
        <v>343.0</v>
      </c>
      <c r="I183" s="158">
        <f t="shared" ref="I183:I185" si="164">ROUND(H183*1.1667,0)</f>
        <v>400</v>
      </c>
      <c r="J183" s="159">
        <f t="shared" ref="J183:J185" si="165">ROUND((I183*0.992)*1.21,0)*(C183*D183*E183)</f>
        <v>13.9968</v>
      </c>
      <c r="K183" s="160">
        <f t="shared" ref="K183:K185" si="166">J183/(D183*E183)</f>
        <v>21.6</v>
      </c>
      <c r="L183" s="161">
        <f t="shared" ref="L183:L185" si="167">T183+R183-O183</f>
        <v>57</v>
      </c>
      <c r="M183" s="241">
        <f t="shared" ref="M183:M185" si="168">L183*F183</f>
        <v>1.66212</v>
      </c>
      <c r="N183" s="163">
        <f t="shared" ref="N183:N185" si="169">L183*G183</f>
        <v>36.936</v>
      </c>
      <c r="O183" s="252"/>
      <c r="P183" s="165" t="str">
        <f t="shared" si="156"/>
        <v/>
      </c>
      <c r="Q183" s="172"/>
      <c r="R183" s="243"/>
      <c r="S183" s="165">
        <f t="shared" ref="S183:S185" si="170">R183*F183</f>
        <v>0</v>
      </c>
      <c r="T183" s="244">
        <v>57.0</v>
      </c>
      <c r="U183" s="169">
        <f t="shared" ref="U183:U185" si="171">J183*L183</f>
        <v>797.8176</v>
      </c>
      <c r="V183" s="38" t="str">
        <f t="shared" ref="V183:V185" si="172">IF(O183="","",Q183-(O183*(H183*F183)))</f>
        <v/>
      </c>
      <c r="W183" s="38" t="str">
        <f t="shared" si="140"/>
        <v/>
      </c>
      <c r="X183" s="11"/>
      <c r="Y183" s="11"/>
      <c r="Z183" s="11"/>
      <c r="AA183" s="11"/>
    </row>
    <row r="184" ht="13.5" customHeight="1" outlineLevel="1">
      <c r="A184" s="315"/>
      <c r="B184" s="85" t="s">
        <v>86</v>
      </c>
      <c r="C184" s="238">
        <v>0.045</v>
      </c>
      <c r="D184" s="239">
        <v>0.145</v>
      </c>
      <c r="E184" s="245">
        <v>2.4</v>
      </c>
      <c r="F184" s="156">
        <f t="shared" si="162"/>
        <v>0.01566</v>
      </c>
      <c r="G184" s="156">
        <f t="shared" si="163"/>
        <v>0.348</v>
      </c>
      <c r="H184" s="240">
        <v>343.0</v>
      </c>
      <c r="I184" s="158">
        <f t="shared" si="164"/>
        <v>400</v>
      </c>
      <c r="J184" s="159">
        <f t="shared" si="165"/>
        <v>7.5168</v>
      </c>
      <c r="K184" s="160">
        <f t="shared" si="166"/>
        <v>21.6</v>
      </c>
      <c r="L184" s="161">
        <f t="shared" si="167"/>
        <v>92</v>
      </c>
      <c r="M184" s="241">
        <f t="shared" si="168"/>
        <v>1.44072</v>
      </c>
      <c r="N184" s="163">
        <f t="shared" si="169"/>
        <v>32.016</v>
      </c>
      <c r="O184" s="246"/>
      <c r="P184" s="165" t="str">
        <f t="shared" si="156"/>
        <v/>
      </c>
      <c r="Q184" s="166"/>
      <c r="R184" s="243"/>
      <c r="S184" s="165">
        <f t="shared" si="170"/>
        <v>0</v>
      </c>
      <c r="T184" s="244">
        <v>92.0</v>
      </c>
      <c r="U184" s="169">
        <f t="shared" si="171"/>
        <v>691.5456</v>
      </c>
      <c r="V184" s="38" t="str">
        <f t="shared" si="172"/>
        <v/>
      </c>
      <c r="W184" s="38" t="str">
        <f t="shared" si="140"/>
        <v/>
      </c>
      <c r="X184" s="11"/>
      <c r="Y184" s="11"/>
      <c r="Z184" s="11"/>
      <c r="AA184" s="11"/>
    </row>
    <row r="185" ht="13.5" customHeight="1" outlineLevel="1">
      <c r="A185" s="315"/>
      <c r="B185" s="85"/>
      <c r="C185" s="238">
        <v>0.045</v>
      </c>
      <c r="D185" s="239">
        <v>0.145</v>
      </c>
      <c r="E185" s="245">
        <v>4.8</v>
      </c>
      <c r="F185" s="156">
        <f t="shared" si="162"/>
        <v>0.03132</v>
      </c>
      <c r="G185" s="156">
        <f t="shared" si="163"/>
        <v>0.696</v>
      </c>
      <c r="H185" s="240">
        <v>343.0</v>
      </c>
      <c r="I185" s="158">
        <f t="shared" si="164"/>
        <v>400</v>
      </c>
      <c r="J185" s="159">
        <f t="shared" si="165"/>
        <v>15.0336</v>
      </c>
      <c r="K185" s="160">
        <f t="shared" si="166"/>
        <v>21.6</v>
      </c>
      <c r="L185" s="161">
        <f t="shared" si="167"/>
        <v>1305</v>
      </c>
      <c r="M185" s="241">
        <f t="shared" si="168"/>
        <v>40.8726</v>
      </c>
      <c r="N185" s="163">
        <f t="shared" si="169"/>
        <v>908.28</v>
      </c>
      <c r="O185" s="246"/>
      <c r="P185" s="165" t="str">
        <f t="shared" si="156"/>
        <v/>
      </c>
      <c r="Q185" s="166"/>
      <c r="R185" s="243"/>
      <c r="S185" s="165">
        <f t="shared" si="170"/>
        <v>0</v>
      </c>
      <c r="T185" s="244">
        <v>1305.0</v>
      </c>
      <c r="U185" s="169">
        <f t="shared" si="171"/>
        <v>19618.848</v>
      </c>
      <c r="V185" s="38" t="str">
        <f t="shared" si="172"/>
        <v/>
      </c>
      <c r="W185" s="38" t="str">
        <f t="shared" si="140"/>
        <v/>
      </c>
      <c r="X185" s="11"/>
      <c r="Y185" s="11"/>
      <c r="Z185" s="11"/>
      <c r="AA185" s="11"/>
    </row>
    <row r="186" ht="13.5" customHeight="1" outlineLevel="1">
      <c r="A186" s="315"/>
      <c r="B186" s="349" t="s">
        <v>103</v>
      </c>
      <c r="C186" s="238">
        <v>0.045</v>
      </c>
      <c r="D186" s="239">
        <v>0.145</v>
      </c>
      <c r="E186" s="245">
        <v>4.8</v>
      </c>
      <c r="F186" s="156"/>
      <c r="G186" s="156"/>
      <c r="H186" s="240"/>
      <c r="I186" s="158"/>
      <c r="J186" s="159"/>
      <c r="K186" s="160"/>
      <c r="L186" s="161"/>
      <c r="M186" s="241"/>
      <c r="N186" s="163"/>
      <c r="O186" s="252"/>
      <c r="P186" s="165" t="str">
        <f t="shared" si="156"/>
        <v/>
      </c>
      <c r="Q186" s="166"/>
      <c r="R186" s="243"/>
      <c r="S186" s="165"/>
      <c r="T186" s="244"/>
      <c r="U186" s="169"/>
      <c r="V186" s="38"/>
      <c r="W186" s="38" t="str">
        <f t="shared" si="140"/>
        <v/>
      </c>
      <c r="X186" s="11"/>
      <c r="Y186" s="11"/>
      <c r="Z186" s="11"/>
      <c r="AA186" s="11"/>
    </row>
    <row r="187" ht="13.5" customHeight="1" outlineLevel="1">
      <c r="A187" s="315"/>
      <c r="B187" s="349" t="s">
        <v>103</v>
      </c>
      <c r="C187" s="238">
        <v>0.045</v>
      </c>
      <c r="D187" s="239">
        <v>0.145</v>
      </c>
      <c r="E187" s="245">
        <v>6.0</v>
      </c>
      <c r="F187" s="156"/>
      <c r="G187" s="156"/>
      <c r="H187" s="240"/>
      <c r="I187" s="158"/>
      <c r="J187" s="159"/>
      <c r="K187" s="160"/>
      <c r="L187" s="161"/>
      <c r="M187" s="241"/>
      <c r="N187" s="163"/>
      <c r="O187" s="252"/>
      <c r="P187" s="165" t="str">
        <f t="shared" si="156"/>
        <v/>
      </c>
      <c r="Q187" s="166"/>
      <c r="R187" s="243"/>
      <c r="S187" s="165"/>
      <c r="T187" s="244"/>
      <c r="U187" s="169"/>
      <c r="V187" s="38"/>
      <c r="W187" s="38" t="str">
        <f t="shared" si="140"/>
        <v/>
      </c>
      <c r="X187" s="11"/>
      <c r="Y187" s="11"/>
      <c r="Z187" s="11"/>
      <c r="AA187" s="11"/>
    </row>
    <row r="188" ht="13.5" customHeight="1" outlineLevel="1">
      <c r="A188" s="315"/>
      <c r="B188" s="85" t="s">
        <v>86</v>
      </c>
      <c r="C188" s="238">
        <v>0.045</v>
      </c>
      <c r="D188" s="239">
        <v>0.145</v>
      </c>
      <c r="E188" s="245">
        <v>6.0</v>
      </c>
      <c r="F188" s="156">
        <f>C188*D188*E188</f>
        <v>0.03915</v>
      </c>
      <c r="G188" s="156">
        <f>D188*E188</f>
        <v>0.87</v>
      </c>
      <c r="H188" s="240">
        <v>343.0</v>
      </c>
      <c r="I188" s="158">
        <f>ROUND(H188*1.1667,0)</f>
        <v>400</v>
      </c>
      <c r="J188" s="159">
        <f>ROUND((I188*0.992)*1.21,0)*(C188*D188*E188)</f>
        <v>18.792</v>
      </c>
      <c r="K188" s="160">
        <f>J188/(D188*E188)</f>
        <v>21.6</v>
      </c>
      <c r="L188" s="161">
        <f>T188+R188-O188</f>
        <v>1003</v>
      </c>
      <c r="M188" s="241">
        <f>L188*F188</f>
        <v>39.26745</v>
      </c>
      <c r="N188" s="163">
        <f>L188*G188</f>
        <v>872.61</v>
      </c>
      <c r="O188" s="252"/>
      <c r="P188" s="165" t="str">
        <f t="shared" si="156"/>
        <v/>
      </c>
      <c r="Q188" s="166"/>
      <c r="R188" s="243"/>
      <c r="S188" s="165">
        <f>R188*F188</f>
        <v>0</v>
      </c>
      <c r="T188" s="244">
        <v>1003.0</v>
      </c>
      <c r="U188" s="169">
        <f>J188*L188</f>
        <v>18848.376</v>
      </c>
      <c r="V188" s="38" t="str">
        <f>IF(O188="","",Q188-(O188*(H188*F188)))</f>
        <v/>
      </c>
      <c r="W188" s="38" t="str">
        <f t="shared" si="140"/>
        <v/>
      </c>
      <c r="X188" s="11"/>
      <c r="Y188" s="11"/>
      <c r="Z188" s="11"/>
      <c r="AA188" s="11"/>
    </row>
    <row r="189" ht="13.5" customHeight="1" outlineLevel="1">
      <c r="A189" s="315"/>
      <c r="B189" s="349" t="s">
        <v>103</v>
      </c>
      <c r="C189" s="86">
        <v>0.045</v>
      </c>
      <c r="D189" s="87">
        <v>0.195</v>
      </c>
      <c r="E189" s="88">
        <v>4.8</v>
      </c>
      <c r="F189" s="156"/>
      <c r="G189" s="156"/>
      <c r="H189" s="240"/>
      <c r="I189" s="158"/>
      <c r="J189" s="159"/>
      <c r="K189" s="160"/>
      <c r="L189" s="161"/>
      <c r="M189" s="241"/>
      <c r="N189" s="163"/>
      <c r="O189" s="246"/>
      <c r="P189" s="165" t="str">
        <f t="shared" si="156"/>
        <v/>
      </c>
      <c r="Q189" s="166"/>
      <c r="R189" s="243"/>
      <c r="S189" s="165"/>
      <c r="T189" s="244"/>
      <c r="U189" s="169"/>
      <c r="V189" s="38"/>
      <c r="W189" s="38" t="str">
        <f t="shared" si="140"/>
        <v/>
      </c>
      <c r="X189" s="11"/>
      <c r="Y189" s="11"/>
      <c r="Z189" s="11"/>
      <c r="AA189" s="11"/>
    </row>
    <row r="190" ht="13.5" customHeight="1" outlineLevel="1">
      <c r="A190" s="315"/>
      <c r="B190" s="349" t="s">
        <v>104</v>
      </c>
      <c r="C190" s="238">
        <v>0.045</v>
      </c>
      <c r="D190" s="239">
        <v>0.195</v>
      </c>
      <c r="E190" s="245">
        <v>6.0</v>
      </c>
      <c r="F190" s="156"/>
      <c r="G190" s="156"/>
      <c r="H190" s="240"/>
      <c r="I190" s="158"/>
      <c r="J190" s="159"/>
      <c r="K190" s="160"/>
      <c r="L190" s="161"/>
      <c r="M190" s="241"/>
      <c r="N190" s="163"/>
      <c r="O190" s="246"/>
      <c r="P190" s="165" t="str">
        <f t="shared" si="156"/>
        <v/>
      </c>
      <c r="Q190" s="166"/>
      <c r="R190" s="243"/>
      <c r="S190" s="165"/>
      <c r="T190" s="244"/>
      <c r="U190" s="169"/>
      <c r="V190" s="38"/>
      <c r="W190" s="38" t="str">
        <f t="shared" si="140"/>
        <v/>
      </c>
      <c r="X190" s="11"/>
      <c r="Y190" s="11"/>
      <c r="Z190" s="11"/>
      <c r="AA190" s="11"/>
    </row>
    <row r="191" ht="13.5" customHeight="1" outlineLevel="1">
      <c r="A191" s="315"/>
      <c r="B191" s="85"/>
      <c r="C191" s="238">
        <v>0.045</v>
      </c>
      <c r="D191" s="239">
        <v>0.22</v>
      </c>
      <c r="E191" s="245">
        <v>3.6</v>
      </c>
      <c r="F191" s="156">
        <f>C191*D191*E191</f>
        <v>0.03564</v>
      </c>
      <c r="G191" s="156">
        <f>D191*E191</f>
        <v>0.792</v>
      </c>
      <c r="H191" s="240">
        <v>343.0</v>
      </c>
      <c r="I191" s="158">
        <f>ROUND(H191*1.1667,0)</f>
        <v>400</v>
      </c>
      <c r="J191" s="159">
        <f>ROUND((I191*0.992)*1.21,0)*(C191*D191*E191)</f>
        <v>17.1072</v>
      </c>
      <c r="K191" s="160">
        <f>J191/(D191*E191)</f>
        <v>21.6</v>
      </c>
      <c r="L191" s="161">
        <f>T191+R191-O191</f>
        <v>40</v>
      </c>
      <c r="M191" s="241">
        <f>L191*F191</f>
        <v>1.4256</v>
      </c>
      <c r="N191" s="163">
        <f>L191*G191</f>
        <v>31.68</v>
      </c>
      <c r="O191" s="246"/>
      <c r="P191" s="165" t="str">
        <f t="shared" si="156"/>
        <v/>
      </c>
      <c r="Q191" s="166"/>
      <c r="R191" s="243"/>
      <c r="S191" s="165">
        <f>R191*F191</f>
        <v>0</v>
      </c>
      <c r="T191" s="244">
        <v>40.0</v>
      </c>
      <c r="U191" s="169">
        <f>J191*L191</f>
        <v>684.288</v>
      </c>
      <c r="V191" s="38" t="str">
        <f>IF(O191="","",Q191-(O191*(H191*F191)))</f>
        <v/>
      </c>
      <c r="W191" s="38" t="str">
        <f t="shared" si="140"/>
        <v/>
      </c>
      <c r="X191" s="11"/>
      <c r="Y191" s="11"/>
      <c r="Z191" s="11"/>
      <c r="AA191" s="11"/>
    </row>
    <row r="192" ht="13.5" customHeight="1" outlineLevel="1">
      <c r="A192" s="315"/>
      <c r="B192" s="350" t="s">
        <v>105</v>
      </c>
      <c r="C192" s="238">
        <v>0.045</v>
      </c>
      <c r="D192" s="239">
        <v>0.22</v>
      </c>
      <c r="E192" s="245">
        <v>4.8</v>
      </c>
      <c r="F192" s="156"/>
      <c r="G192" s="156"/>
      <c r="H192" s="240"/>
      <c r="I192" s="158"/>
      <c r="J192" s="159"/>
      <c r="K192" s="160"/>
      <c r="L192" s="161"/>
      <c r="M192" s="241"/>
      <c r="N192" s="163"/>
      <c r="O192" s="246"/>
      <c r="P192" s="165" t="str">
        <f t="shared" si="156"/>
        <v/>
      </c>
      <c r="Q192" s="166"/>
      <c r="R192" s="243"/>
      <c r="S192" s="165"/>
      <c r="T192" s="244"/>
      <c r="U192" s="169"/>
      <c r="V192" s="38"/>
      <c r="W192" s="38"/>
      <c r="X192" s="11"/>
      <c r="Y192" s="11"/>
      <c r="Z192" s="11"/>
      <c r="AA192" s="11"/>
    </row>
    <row r="193" ht="13.5" customHeight="1" outlineLevel="1">
      <c r="A193" s="315"/>
      <c r="B193" s="85"/>
      <c r="C193" s="238">
        <v>0.045</v>
      </c>
      <c r="D193" s="239">
        <v>0.22</v>
      </c>
      <c r="E193" s="245">
        <v>6.0</v>
      </c>
      <c r="F193" s="156">
        <f t="shared" ref="F193:F195" si="173">C193*D193*E193</f>
        <v>0.0594</v>
      </c>
      <c r="G193" s="156">
        <f t="shared" ref="G193:G195" si="174">D193*E193</f>
        <v>1.32</v>
      </c>
      <c r="H193" s="240">
        <v>343.0</v>
      </c>
      <c r="I193" s="158">
        <f t="shared" ref="I193:I195" si="175">ROUND(H193*1.1667,0)</f>
        <v>400</v>
      </c>
      <c r="J193" s="159">
        <f t="shared" ref="J193:J195" si="176">ROUND((I193*0.992)*1.21,0)*(C193*D193*E193)</f>
        <v>28.512</v>
      </c>
      <c r="K193" s="160">
        <f t="shared" ref="K193:K195" si="177">J193/(D193*E193)</f>
        <v>21.6</v>
      </c>
      <c r="L193" s="161">
        <f t="shared" ref="L193:L195" si="178">T193+R193-O193</f>
        <v>45</v>
      </c>
      <c r="M193" s="241">
        <f t="shared" ref="M193:M195" si="179">L193*F193</f>
        <v>2.673</v>
      </c>
      <c r="N193" s="163">
        <f t="shared" ref="N193:N195" si="180">L193*G193</f>
        <v>59.4</v>
      </c>
      <c r="O193" s="246"/>
      <c r="P193" s="165"/>
      <c r="Q193" s="166"/>
      <c r="R193" s="243"/>
      <c r="S193" s="165">
        <f t="shared" ref="S193:S195" si="181">R193*F193</f>
        <v>0</v>
      </c>
      <c r="T193" s="263">
        <v>45.0</v>
      </c>
      <c r="U193" s="169">
        <f t="shared" ref="U193:U195" si="182">J193*L193</f>
        <v>1283.04</v>
      </c>
      <c r="V193" s="38" t="str">
        <f t="shared" ref="V193:V195" si="183">IF(O193="","",Q193-(O193*(H193*F193)))</f>
        <v/>
      </c>
      <c r="W193" s="38" t="str">
        <f t="shared" ref="W193:W198" si="184">IF(O193="","",(P193*H193))</f>
        <v/>
      </c>
      <c r="X193" s="11"/>
      <c r="Y193" s="11"/>
      <c r="Z193" s="11"/>
      <c r="AA193" s="11"/>
    </row>
    <row r="194" ht="13.5" customHeight="1" outlineLevel="1">
      <c r="A194" s="315"/>
      <c r="B194" s="85"/>
      <c r="C194" s="238">
        <v>0.047</v>
      </c>
      <c r="D194" s="239">
        <v>0.2</v>
      </c>
      <c r="E194" s="245">
        <v>6.0</v>
      </c>
      <c r="F194" s="156">
        <f t="shared" si="173"/>
        <v>0.0564</v>
      </c>
      <c r="G194" s="156">
        <f t="shared" si="174"/>
        <v>1.2</v>
      </c>
      <c r="H194" s="240">
        <v>343.0</v>
      </c>
      <c r="I194" s="158">
        <f t="shared" si="175"/>
        <v>400</v>
      </c>
      <c r="J194" s="159">
        <f t="shared" si="176"/>
        <v>27.072</v>
      </c>
      <c r="K194" s="160">
        <f t="shared" si="177"/>
        <v>22.56</v>
      </c>
      <c r="L194" s="161">
        <f t="shared" si="178"/>
        <v>44</v>
      </c>
      <c r="M194" s="241">
        <f t="shared" si="179"/>
        <v>2.4816</v>
      </c>
      <c r="N194" s="163">
        <f t="shared" si="180"/>
        <v>52.8</v>
      </c>
      <c r="O194" s="252"/>
      <c r="P194" s="165" t="str">
        <f t="shared" ref="P194:P195" si="185">IF(O194="","",(O194*F194))</f>
        <v/>
      </c>
      <c r="Q194" s="172"/>
      <c r="R194" s="243"/>
      <c r="S194" s="165">
        <f t="shared" si="181"/>
        <v>0</v>
      </c>
      <c r="T194" s="244">
        <v>44.0</v>
      </c>
      <c r="U194" s="169">
        <f t="shared" si="182"/>
        <v>1191.168</v>
      </c>
      <c r="V194" s="38" t="str">
        <f t="shared" si="183"/>
        <v/>
      </c>
      <c r="W194" s="38" t="str">
        <f t="shared" si="184"/>
        <v/>
      </c>
      <c r="X194" s="11"/>
      <c r="Y194" s="11"/>
      <c r="Z194" s="11"/>
      <c r="AA194" s="11"/>
    </row>
    <row r="195" ht="13.5" customHeight="1" outlineLevel="1">
      <c r="A195" s="315"/>
      <c r="B195" s="85"/>
      <c r="C195" s="238">
        <v>0.075</v>
      </c>
      <c r="D195" s="239">
        <v>0.195</v>
      </c>
      <c r="E195" s="245">
        <v>6.0</v>
      </c>
      <c r="F195" s="156">
        <f t="shared" si="173"/>
        <v>0.08775</v>
      </c>
      <c r="G195" s="156">
        <f t="shared" si="174"/>
        <v>1.17</v>
      </c>
      <c r="H195" s="240">
        <v>343.0</v>
      </c>
      <c r="I195" s="158">
        <f t="shared" si="175"/>
        <v>400</v>
      </c>
      <c r="J195" s="159">
        <f t="shared" si="176"/>
        <v>42.12</v>
      </c>
      <c r="K195" s="160">
        <f t="shared" si="177"/>
        <v>36</v>
      </c>
      <c r="L195" s="161">
        <f t="shared" si="178"/>
        <v>104</v>
      </c>
      <c r="M195" s="241">
        <f t="shared" si="179"/>
        <v>9.126</v>
      </c>
      <c r="N195" s="163">
        <f t="shared" si="180"/>
        <v>121.68</v>
      </c>
      <c r="O195" s="351"/>
      <c r="P195" s="165" t="str">
        <f t="shared" si="185"/>
        <v/>
      </c>
      <c r="Q195" s="352"/>
      <c r="R195" s="243"/>
      <c r="S195" s="165">
        <f t="shared" si="181"/>
        <v>0</v>
      </c>
      <c r="T195" s="263">
        <v>104.0</v>
      </c>
      <c r="U195" s="169">
        <f t="shared" si="182"/>
        <v>4380.48</v>
      </c>
      <c r="V195" s="38" t="str">
        <f t="shared" si="183"/>
        <v/>
      </c>
      <c r="W195" s="38" t="str">
        <f t="shared" si="184"/>
        <v/>
      </c>
      <c r="X195" s="11"/>
      <c r="Y195" s="11"/>
      <c r="Z195" s="11"/>
      <c r="AA195" s="11"/>
    </row>
    <row r="196" ht="13.5" customHeight="1">
      <c r="A196" s="315"/>
      <c r="B196" s="211" t="s">
        <v>56</v>
      </c>
      <c r="C196" s="298"/>
      <c r="D196" s="298"/>
      <c r="E196" s="298"/>
      <c r="F196" s="298"/>
      <c r="G196" s="298"/>
      <c r="H196" s="215">
        <f t="shared" ref="H196:I196" si="186">AVERAGE(H175:H195)</f>
        <v>338.9142857</v>
      </c>
      <c r="I196" s="215">
        <f t="shared" si="186"/>
        <v>396.2142857</v>
      </c>
      <c r="J196" s="216"/>
      <c r="K196" s="214">
        <f>AVERAGE(K175:K195)</f>
        <v>19.59621429</v>
      </c>
      <c r="L196" s="217"/>
      <c r="M196" s="353">
        <f>SUM(M175:M195)</f>
        <v>109.9267354</v>
      </c>
      <c r="N196" s="301"/>
      <c r="O196" s="219"/>
      <c r="P196" s="278">
        <f t="shared" ref="P196:Q196" si="187">SUM(P175:P195)</f>
        <v>0</v>
      </c>
      <c r="Q196" s="353">
        <f t="shared" si="187"/>
        <v>0</v>
      </c>
      <c r="R196" s="262"/>
      <c r="S196" s="223">
        <f>SUM(S175:S195)</f>
        <v>0</v>
      </c>
      <c r="T196" s="224"/>
      <c r="U196" s="348">
        <f>SUM(U175:U195)</f>
        <v>52965.49961</v>
      </c>
      <c r="V196" s="11"/>
      <c r="W196" s="38" t="str">
        <f t="shared" si="184"/>
        <v/>
      </c>
      <c r="X196" s="11"/>
      <c r="Y196" s="11"/>
      <c r="Z196" s="11"/>
      <c r="AA196" s="11"/>
    </row>
    <row r="197" ht="15.0" customHeight="1">
      <c r="A197" s="315"/>
      <c r="B197" s="354" t="s">
        <v>106</v>
      </c>
      <c r="C197" s="355"/>
      <c r="D197" s="355"/>
      <c r="E197" s="355"/>
      <c r="F197" s="355"/>
      <c r="G197" s="355"/>
      <c r="H197" s="355"/>
      <c r="I197" s="356">
        <f>AVERAGE(I173,I196)</f>
        <v>342.1635945</v>
      </c>
      <c r="J197" s="357"/>
      <c r="K197" s="358">
        <f>AVERAGE(K173,K196)</f>
        <v>20.66212327</v>
      </c>
      <c r="L197" s="359"/>
      <c r="M197" s="360">
        <f>SUM(M173+M196)</f>
        <v>399.9964754</v>
      </c>
      <c r="N197" s="361"/>
      <c r="O197" s="362"/>
      <c r="P197" s="363">
        <f t="shared" ref="P197:Q197" si="188">SUM(P173+P196)</f>
        <v>4.1656</v>
      </c>
      <c r="Q197" s="364">
        <f t="shared" si="188"/>
        <v>1292.54</v>
      </c>
      <c r="R197" s="365"/>
      <c r="S197" s="366">
        <f>SUM(S173+S196)</f>
        <v>1.72825</v>
      </c>
      <c r="T197" s="367"/>
      <c r="U197" s="368">
        <f>U196+U173</f>
        <v>150074.2046</v>
      </c>
      <c r="V197" s="11"/>
      <c r="W197" s="38" t="str">
        <f t="shared" si="184"/>
        <v/>
      </c>
      <c r="X197" s="11"/>
      <c r="Y197" s="11"/>
      <c r="Z197" s="11"/>
      <c r="AA197" s="11"/>
    </row>
    <row r="198" ht="13.5" customHeight="1">
      <c r="A198" s="369"/>
      <c r="B198" s="370"/>
      <c r="C198" s="370"/>
      <c r="D198" s="371"/>
      <c r="E198" s="371"/>
      <c r="F198" s="372"/>
      <c r="G198" s="372"/>
      <c r="H198" s="370"/>
      <c r="I198" s="373"/>
      <c r="J198" s="374"/>
      <c r="K198" s="375"/>
      <c r="L198" s="376"/>
      <c r="M198" s="377"/>
      <c r="N198" s="370"/>
      <c r="O198" s="378"/>
      <c r="P198" s="371"/>
      <c r="Q198" s="379"/>
      <c r="R198" s="380"/>
      <c r="S198" s="371"/>
      <c r="T198" s="381"/>
      <c r="U198" s="382"/>
      <c r="V198" s="11"/>
      <c r="W198" s="38" t="str">
        <f t="shared" si="184"/>
        <v/>
      </c>
      <c r="X198" s="11"/>
      <c r="Y198" s="11"/>
      <c r="Z198" s="11"/>
      <c r="AA198" s="11"/>
    </row>
    <row r="199" ht="13.5" customHeight="1">
      <c r="A199" s="383"/>
      <c r="B199" s="384" t="s">
        <v>31</v>
      </c>
      <c r="C199" s="92"/>
      <c r="D199" s="93"/>
      <c r="E199" s="92"/>
      <c r="F199" s="385"/>
      <c r="G199" s="385"/>
      <c r="H199" s="92"/>
      <c r="I199" s="386">
        <f>AVERAGE(I100,I108,I197)</f>
        <v>420.0925757</v>
      </c>
      <c r="J199" s="96"/>
      <c r="K199" s="94"/>
      <c r="L199" s="387"/>
      <c r="M199" s="94">
        <f>SUM(M100+M108+M197)</f>
        <v>633.5852638</v>
      </c>
      <c r="N199" s="388"/>
      <c r="O199" s="95"/>
      <c r="P199" s="94">
        <f t="shared" ref="P199:Q199" si="189">SUM(P100+P108+P197)</f>
        <v>4.7056</v>
      </c>
      <c r="Q199" s="389">
        <f t="shared" si="189"/>
        <v>1562.54</v>
      </c>
      <c r="R199" s="390"/>
      <c r="S199" s="94">
        <f>SUM(S100+S108+S197)</f>
        <v>1.72825</v>
      </c>
      <c r="T199" s="391"/>
      <c r="U199" s="392">
        <f>SUM(U100+U108+U197)</f>
        <v>271700.069</v>
      </c>
      <c r="V199" s="11">
        <f t="shared" ref="V199:W199" si="190">SUM(V2:V198)</f>
        <v>308.75472</v>
      </c>
      <c r="W199" s="11">
        <f t="shared" si="190"/>
        <v>1107.78528</v>
      </c>
      <c r="X199" s="11"/>
      <c r="Y199" s="11"/>
      <c r="Z199" s="11"/>
      <c r="AA199" s="11"/>
    </row>
    <row r="200" ht="13.5" customHeight="1">
      <c r="A200" s="11"/>
      <c r="B200" s="11"/>
      <c r="C200" s="11"/>
      <c r="D200" s="11"/>
      <c r="E200" s="11"/>
      <c r="F200" s="253"/>
      <c r="G200" s="253"/>
      <c r="H200" s="11"/>
      <c r="I200" s="393"/>
      <c r="J200" s="394"/>
      <c r="K200" s="395"/>
      <c r="L200" s="396"/>
      <c r="M200" s="11"/>
      <c r="N200" s="11"/>
      <c r="O200" s="71"/>
      <c r="P200" s="11"/>
      <c r="Q200" s="72"/>
      <c r="R200" s="397"/>
      <c r="S200" s="395"/>
      <c r="T200" s="398"/>
      <c r="U200" s="399"/>
      <c r="V200" s="11"/>
      <c r="W200" s="38"/>
      <c r="X200" s="11"/>
      <c r="Y200" s="11"/>
      <c r="Z200" s="11"/>
      <c r="AA200" s="11"/>
    </row>
    <row r="201" ht="13.5" customHeight="1">
      <c r="A201" s="11"/>
      <c r="B201" s="38"/>
      <c r="C201" s="400"/>
      <c r="D201" s="400"/>
      <c r="E201" s="400"/>
      <c r="F201" s="400"/>
      <c r="G201" s="400"/>
      <c r="H201" s="400"/>
      <c r="I201" s="400"/>
      <c r="J201" s="400"/>
      <c r="K201" s="400"/>
      <c r="L201" s="400"/>
      <c r="M201" s="400"/>
      <c r="N201" s="400"/>
      <c r="O201" s="400"/>
      <c r="P201" s="401"/>
      <c r="Q201" s="400"/>
      <c r="R201" s="398"/>
      <c r="S201" s="11"/>
      <c r="T201" s="11"/>
      <c r="U201" s="11"/>
      <c r="V201" s="11"/>
      <c r="W201" s="11"/>
      <c r="X201" s="11"/>
      <c r="Y201" s="11"/>
      <c r="Z201" s="402"/>
      <c r="AA201" s="402"/>
    </row>
    <row r="202" ht="13.5" customHeight="1">
      <c r="A202" s="11"/>
      <c r="B202" s="38"/>
      <c r="C202" s="400"/>
      <c r="D202" s="400"/>
      <c r="E202" s="400"/>
      <c r="F202" s="400"/>
      <c r="G202" s="400"/>
      <c r="H202" s="400"/>
      <c r="I202" s="400"/>
      <c r="J202" s="400"/>
      <c r="K202" s="400"/>
      <c r="L202" s="400"/>
      <c r="M202" s="400"/>
      <c r="N202" s="400"/>
      <c r="O202" s="400"/>
      <c r="P202" s="401"/>
      <c r="Q202" s="400"/>
      <c r="R202" s="398"/>
      <c r="S202" s="11"/>
      <c r="T202" s="11"/>
      <c r="U202" s="11"/>
      <c r="V202" s="11"/>
      <c r="W202" s="11"/>
      <c r="X202" s="11"/>
      <c r="Y202" s="11"/>
      <c r="Z202" s="402"/>
      <c r="AA202" s="402"/>
    </row>
    <row r="203" ht="13.5" customHeight="1">
      <c r="A203" s="11"/>
      <c r="B203" s="38"/>
      <c r="C203" s="400"/>
      <c r="D203" s="400"/>
      <c r="E203" s="400"/>
      <c r="F203" s="400"/>
      <c r="G203" s="400"/>
      <c r="H203" s="400"/>
      <c r="I203" s="400"/>
      <c r="J203" s="400"/>
      <c r="K203" s="400"/>
      <c r="L203" s="400"/>
      <c r="M203" s="400"/>
      <c r="N203" s="400"/>
      <c r="O203" s="400"/>
      <c r="P203" s="401"/>
      <c r="Q203" s="400"/>
      <c r="R203" s="398"/>
      <c r="S203" s="11"/>
      <c r="T203" s="11"/>
      <c r="U203" s="11"/>
      <c r="V203" s="11"/>
      <c r="W203" s="11"/>
      <c r="X203" s="11"/>
      <c r="Y203" s="11"/>
      <c r="Z203" s="402"/>
      <c r="AA203" s="402"/>
    </row>
    <row r="204" ht="13.5" customHeight="1">
      <c r="A204" s="11"/>
      <c r="B204" s="11"/>
      <c r="C204" s="400"/>
      <c r="D204" s="400"/>
      <c r="E204" s="400"/>
      <c r="F204" s="400"/>
      <c r="G204" s="400"/>
      <c r="H204" s="400"/>
      <c r="I204" s="400"/>
      <c r="J204" s="400"/>
      <c r="K204" s="400"/>
      <c r="L204" s="400"/>
      <c r="M204" s="400"/>
      <c r="N204" s="400"/>
      <c r="O204" s="400"/>
      <c r="P204" s="401"/>
      <c r="Q204" s="400"/>
      <c r="R204" s="398"/>
      <c r="S204" s="11"/>
      <c r="T204" s="11"/>
      <c r="U204" s="11"/>
      <c r="V204" s="11"/>
      <c r="W204" s="11"/>
      <c r="X204" s="11"/>
      <c r="Y204" s="11"/>
      <c r="Z204" s="402"/>
      <c r="AA204" s="402"/>
    </row>
    <row r="205" ht="13.5" customHeight="1">
      <c r="A205" s="11"/>
      <c r="B205" s="11"/>
      <c r="C205" s="400"/>
      <c r="D205" s="400"/>
      <c r="E205" s="400"/>
      <c r="F205" s="400"/>
      <c r="G205" s="400"/>
      <c r="H205" s="400"/>
      <c r="I205" s="400"/>
      <c r="J205" s="400"/>
      <c r="K205" s="400"/>
      <c r="L205" s="400"/>
      <c r="M205" s="400"/>
      <c r="N205" s="400"/>
      <c r="O205" s="400"/>
      <c r="P205" s="401"/>
      <c r="Q205" s="400"/>
      <c r="R205" s="398"/>
      <c r="S205" s="11"/>
      <c r="T205" s="11"/>
      <c r="U205" s="11"/>
      <c r="V205" s="11"/>
      <c r="W205" s="11"/>
      <c r="X205" s="11"/>
      <c r="Y205" s="11"/>
      <c r="Z205" s="402"/>
      <c r="AA205" s="402"/>
    </row>
    <row r="206" ht="13.5" customHeight="1">
      <c r="A206" s="11"/>
      <c r="B206" s="11"/>
      <c r="C206" s="400"/>
      <c r="D206" s="400"/>
      <c r="E206" s="400"/>
      <c r="F206" s="400"/>
      <c r="G206" s="400"/>
      <c r="H206" s="400"/>
      <c r="I206" s="400"/>
      <c r="J206" s="400"/>
      <c r="K206" s="400"/>
      <c r="L206" s="400"/>
      <c r="M206" s="400"/>
      <c r="N206" s="400"/>
      <c r="O206" s="400"/>
      <c r="P206" s="401"/>
      <c r="Q206" s="400"/>
      <c r="R206" s="398"/>
      <c r="S206" s="11"/>
      <c r="T206" s="11"/>
      <c r="U206" s="11"/>
      <c r="V206" s="11"/>
      <c r="W206" s="11"/>
      <c r="X206" s="11"/>
      <c r="Y206" s="11"/>
      <c r="Z206" s="402"/>
      <c r="AA206" s="402"/>
    </row>
    <row r="207" ht="13.5" customHeight="1">
      <c r="A207" s="11"/>
      <c r="B207" s="11"/>
      <c r="C207" s="400"/>
      <c r="D207" s="400"/>
      <c r="E207" s="400"/>
      <c r="F207" s="400"/>
      <c r="G207" s="400"/>
      <c r="H207" s="400"/>
      <c r="I207" s="400"/>
      <c r="J207" s="400"/>
      <c r="K207" s="400"/>
      <c r="L207" s="400"/>
      <c r="M207" s="400"/>
      <c r="N207" s="400"/>
      <c r="O207" s="400"/>
      <c r="P207" s="401"/>
      <c r="Q207" s="400"/>
      <c r="R207" s="398"/>
      <c r="S207" s="11"/>
      <c r="T207" s="11"/>
      <c r="U207" s="11"/>
      <c r="V207" s="11"/>
      <c r="W207" s="11"/>
      <c r="X207" s="11"/>
      <c r="Y207" s="11"/>
      <c r="Z207" s="402"/>
      <c r="AA207" s="402"/>
    </row>
    <row r="208" ht="13.5" customHeight="1">
      <c r="A208" s="11"/>
      <c r="B208" s="11"/>
      <c r="C208" s="403" t="s">
        <v>107</v>
      </c>
      <c r="D208" s="280"/>
      <c r="E208" s="280"/>
      <c r="F208" s="280"/>
      <c r="G208" s="280"/>
      <c r="H208" s="280"/>
      <c r="I208" s="280"/>
      <c r="J208" s="280"/>
      <c r="K208" s="280"/>
      <c r="L208" s="281"/>
      <c r="M208" s="403" t="s">
        <v>108</v>
      </c>
      <c r="N208" s="280"/>
      <c r="O208" s="280"/>
      <c r="P208" s="280"/>
      <c r="Q208" s="280"/>
      <c r="R208" s="281"/>
      <c r="S208" s="398"/>
      <c r="T208" s="11"/>
      <c r="U208" s="11"/>
      <c r="V208" s="11"/>
      <c r="W208" s="11"/>
      <c r="X208" s="11"/>
      <c r="Y208" s="11"/>
      <c r="Z208" s="402"/>
      <c r="AA208" s="402"/>
    </row>
    <row r="209" ht="13.5" customHeight="1">
      <c r="A209" s="11"/>
      <c r="B209" s="11"/>
      <c r="C209" s="404" t="s">
        <v>35</v>
      </c>
      <c r="D209" s="405" t="s">
        <v>24</v>
      </c>
      <c r="E209" s="405" t="s">
        <v>25</v>
      </c>
      <c r="F209" s="405" t="s">
        <v>36</v>
      </c>
      <c r="G209" s="406" t="s">
        <v>37</v>
      </c>
      <c r="H209" s="405"/>
      <c r="I209" s="407" t="s">
        <v>26</v>
      </c>
      <c r="J209" s="408" t="s">
        <v>27</v>
      </c>
      <c r="K209" s="409" t="s">
        <v>109</v>
      </c>
      <c r="L209" s="409" t="s">
        <v>110</v>
      </c>
      <c r="M209" s="404" t="s">
        <v>35</v>
      </c>
      <c r="N209" s="405" t="s">
        <v>24</v>
      </c>
      <c r="O209" s="405" t="s">
        <v>25</v>
      </c>
      <c r="P209" s="410" t="s">
        <v>111</v>
      </c>
      <c r="Q209" s="281"/>
      <c r="R209" s="409" t="s">
        <v>112</v>
      </c>
      <c r="S209" s="71"/>
      <c r="T209" s="72"/>
      <c r="U209" s="397"/>
      <c r="V209" s="395"/>
      <c r="W209" s="398"/>
      <c r="X209" s="399"/>
      <c r="Y209" s="11"/>
      <c r="Z209" s="11"/>
      <c r="AA209" s="11"/>
    </row>
    <row r="210" ht="13.5" customHeight="1">
      <c r="A210" s="11"/>
      <c r="B210" s="11"/>
      <c r="C210" s="238">
        <v>0.05</v>
      </c>
      <c r="D210" s="239">
        <v>0.2</v>
      </c>
      <c r="E210" s="245">
        <v>6.0</v>
      </c>
      <c r="F210" s="156">
        <f t="shared" ref="F210:F215" si="191">C210*D210*E210</f>
        <v>0.06</v>
      </c>
      <c r="G210" s="156">
        <f t="shared" ref="G210:G215" si="192">D210*E210</f>
        <v>1.2</v>
      </c>
      <c r="H210" s="240">
        <v>240.0</v>
      </c>
      <c r="I210" s="158">
        <f t="shared" ref="I210:I213" si="193">ROUND(H210*1.1667,0)</f>
        <v>280</v>
      </c>
      <c r="J210" s="159">
        <f t="shared" ref="J210:J215" si="194">ROUND((I210*0.992)*1.21,0)*(C210*D210*E210)</f>
        <v>20.16</v>
      </c>
      <c r="K210" s="411">
        <v>95.0</v>
      </c>
      <c r="L210" s="412">
        <f t="shared" ref="L210:L218" si="195">IF($P$219&gt;=1,I210*((C210*D210*E210)*K210),J210*K210)</f>
        <v>1596</v>
      </c>
      <c r="M210" s="412">
        <f t="shared" ref="M210:M218" si="196">IF(C210=0,0,C210*MAX(1,ROUNDUP(K210/INT(1.1/D210),0)))</f>
        <v>0.95</v>
      </c>
      <c r="N210" s="413">
        <f t="shared" ref="N210:N218" si="197">IF(D210=0,0,IF(D210*K210&lt;=1.1,D210*K210,INT(1.1/D210)*D210))</f>
        <v>1</v>
      </c>
      <c r="O210" s="412">
        <f t="shared" ref="O210:O218" si="198">E210</f>
        <v>6</v>
      </c>
      <c r="P210" s="414">
        <f t="shared" ref="P210:P218" si="199">ROUND((C210*D210*E210)*K210,2)</f>
        <v>5.7</v>
      </c>
      <c r="Q210" s="281"/>
      <c r="R210" s="412">
        <f t="shared" ref="R210:R218" si="200">P210*480</f>
        <v>2736</v>
      </c>
      <c r="S210" s="453"/>
      <c r="T210" s="454"/>
      <c r="U210" s="415"/>
      <c r="V210" s="395"/>
      <c r="W210" s="38"/>
      <c r="X210" s="416"/>
      <c r="Y210" s="11"/>
      <c r="Z210" s="11"/>
      <c r="AA210" s="11"/>
    </row>
    <row r="211" ht="13.5" customHeight="1">
      <c r="A211" s="11"/>
      <c r="B211" s="11"/>
      <c r="C211" s="238">
        <v>0.05</v>
      </c>
      <c r="D211" s="239">
        <v>0.2</v>
      </c>
      <c r="E211" s="245">
        <v>4.9</v>
      </c>
      <c r="F211" s="156">
        <f t="shared" si="191"/>
        <v>0.049</v>
      </c>
      <c r="G211" s="156">
        <f t="shared" si="192"/>
        <v>0.98</v>
      </c>
      <c r="H211" s="240">
        <v>240.0</v>
      </c>
      <c r="I211" s="158">
        <f t="shared" si="193"/>
        <v>280</v>
      </c>
      <c r="J211" s="159">
        <f t="shared" si="194"/>
        <v>16.464</v>
      </c>
      <c r="K211" s="411">
        <v>51.0</v>
      </c>
      <c r="L211" s="412">
        <f t="shared" si="195"/>
        <v>699.72</v>
      </c>
      <c r="M211" s="412">
        <f t="shared" si="196"/>
        <v>0.55</v>
      </c>
      <c r="N211" s="413">
        <f t="shared" si="197"/>
        <v>1</v>
      </c>
      <c r="O211" s="412">
        <f t="shared" si="198"/>
        <v>4.9</v>
      </c>
      <c r="P211" s="414">
        <f t="shared" si="199"/>
        <v>2.5</v>
      </c>
      <c r="Q211" s="281"/>
      <c r="R211" s="412">
        <f t="shared" si="200"/>
        <v>1200</v>
      </c>
      <c r="S211" s="71"/>
      <c r="T211" s="454"/>
      <c r="U211" s="415"/>
      <c r="V211" s="395"/>
      <c r="W211" s="38"/>
      <c r="X211" s="416"/>
      <c r="Y211" s="11"/>
      <c r="Z211" s="11"/>
      <c r="AA211" s="11"/>
    </row>
    <row r="212" ht="13.5" customHeight="1">
      <c r="A212" s="11"/>
      <c r="B212" s="11"/>
      <c r="C212" s="238">
        <v>0.1</v>
      </c>
      <c r="D212" s="239">
        <v>0.15</v>
      </c>
      <c r="E212" s="245">
        <v>6.0</v>
      </c>
      <c r="F212" s="156">
        <f t="shared" si="191"/>
        <v>0.09</v>
      </c>
      <c r="G212" s="156">
        <f t="shared" si="192"/>
        <v>0.9</v>
      </c>
      <c r="H212" s="332">
        <v>240.0</v>
      </c>
      <c r="I212" s="158">
        <f t="shared" si="193"/>
        <v>280</v>
      </c>
      <c r="J212" s="159">
        <f t="shared" si="194"/>
        <v>30.24</v>
      </c>
      <c r="K212" s="411">
        <v>10.0</v>
      </c>
      <c r="L212" s="412">
        <f t="shared" si="195"/>
        <v>252</v>
      </c>
      <c r="M212" s="412">
        <f t="shared" si="196"/>
        <v>0.2</v>
      </c>
      <c r="N212" s="413">
        <f t="shared" si="197"/>
        <v>1.05</v>
      </c>
      <c r="O212" s="412">
        <f t="shared" si="198"/>
        <v>6</v>
      </c>
      <c r="P212" s="414">
        <f t="shared" si="199"/>
        <v>0.9</v>
      </c>
      <c r="Q212" s="281"/>
      <c r="R212" s="412">
        <f t="shared" si="200"/>
        <v>432</v>
      </c>
      <c r="S212" s="71"/>
      <c r="T212" s="454"/>
      <c r="U212" s="415"/>
      <c r="V212" s="395"/>
      <c r="W212" s="11"/>
      <c r="X212" s="416"/>
      <c r="Y212" s="11"/>
      <c r="Z212" s="11"/>
      <c r="AA212" s="11"/>
    </row>
    <row r="213" ht="13.5" customHeight="1">
      <c r="A213" s="11"/>
      <c r="B213" s="11"/>
      <c r="C213" s="238">
        <v>0.1</v>
      </c>
      <c r="D213" s="239">
        <v>0.1</v>
      </c>
      <c r="E213" s="245">
        <v>6.0</v>
      </c>
      <c r="F213" s="156">
        <f t="shared" si="191"/>
        <v>0.06</v>
      </c>
      <c r="G213" s="156">
        <f t="shared" si="192"/>
        <v>0.6</v>
      </c>
      <c r="H213" s="240">
        <v>240.0</v>
      </c>
      <c r="I213" s="158">
        <f t="shared" si="193"/>
        <v>280</v>
      </c>
      <c r="J213" s="159">
        <f t="shared" si="194"/>
        <v>20.16</v>
      </c>
      <c r="K213" s="411">
        <v>10.0</v>
      </c>
      <c r="L213" s="412">
        <f t="shared" si="195"/>
        <v>168</v>
      </c>
      <c r="M213" s="412">
        <f t="shared" si="196"/>
        <v>0.1</v>
      </c>
      <c r="N213" s="413">
        <f t="shared" si="197"/>
        <v>1</v>
      </c>
      <c r="O213" s="412">
        <f t="shared" si="198"/>
        <v>6</v>
      </c>
      <c r="P213" s="414">
        <f t="shared" si="199"/>
        <v>0.6</v>
      </c>
      <c r="Q213" s="281"/>
      <c r="R213" s="412">
        <f t="shared" si="200"/>
        <v>288</v>
      </c>
      <c r="S213" s="453"/>
      <c r="T213" s="454"/>
      <c r="U213" s="415"/>
      <c r="V213" s="395"/>
      <c r="W213" s="11"/>
      <c r="X213" s="399"/>
      <c r="Y213" s="11"/>
      <c r="Z213" s="11"/>
      <c r="AA213" s="11"/>
    </row>
    <row r="214" ht="13.5" customHeight="1">
      <c r="A214" s="11"/>
      <c r="B214" s="11"/>
      <c r="C214" s="334">
        <v>0.023</v>
      </c>
      <c r="D214" s="335">
        <v>0.1</v>
      </c>
      <c r="E214" s="273">
        <v>4.8</v>
      </c>
      <c r="F214" s="184">
        <f t="shared" si="191"/>
        <v>0.01104</v>
      </c>
      <c r="G214" s="184">
        <f t="shared" si="192"/>
        <v>0.48</v>
      </c>
      <c r="H214" s="451">
        <v>228.8</v>
      </c>
      <c r="I214" s="337">
        <f>ROUND(H214*1.225,0)</f>
        <v>280</v>
      </c>
      <c r="J214" s="338">
        <f t="shared" si="194"/>
        <v>3.70944</v>
      </c>
      <c r="K214" s="411">
        <v>150.0</v>
      </c>
      <c r="L214" s="412">
        <f t="shared" si="195"/>
        <v>463.68</v>
      </c>
      <c r="M214" s="412">
        <f t="shared" si="196"/>
        <v>0.322</v>
      </c>
      <c r="N214" s="413">
        <f t="shared" si="197"/>
        <v>1.1</v>
      </c>
      <c r="O214" s="412">
        <f t="shared" si="198"/>
        <v>4.8</v>
      </c>
      <c r="P214" s="414">
        <f t="shared" si="199"/>
        <v>1.66</v>
      </c>
      <c r="Q214" s="281"/>
      <c r="R214" s="412">
        <f t="shared" si="200"/>
        <v>796.8</v>
      </c>
      <c r="S214" s="453"/>
      <c r="T214" s="454"/>
      <c r="U214" s="415"/>
      <c r="V214" s="395"/>
      <c r="W214" s="11"/>
      <c r="X214" s="399"/>
      <c r="Y214" s="11"/>
      <c r="Z214" s="11"/>
      <c r="AA214" s="11"/>
    </row>
    <row r="215" ht="13.5" customHeight="1">
      <c r="A215" s="11"/>
      <c r="B215" s="11"/>
      <c r="C215" s="238">
        <v>0.05</v>
      </c>
      <c r="D215" s="239">
        <v>0.05</v>
      </c>
      <c r="E215" s="245">
        <v>6.0</v>
      </c>
      <c r="F215" s="156">
        <f t="shared" si="191"/>
        <v>0.015</v>
      </c>
      <c r="G215" s="156">
        <f t="shared" si="192"/>
        <v>0.3</v>
      </c>
      <c r="H215" s="240">
        <v>283.0</v>
      </c>
      <c r="I215" s="158">
        <f>ROUND(H215*1.1667,0)</f>
        <v>330</v>
      </c>
      <c r="J215" s="159">
        <f t="shared" si="194"/>
        <v>5.94</v>
      </c>
      <c r="K215" s="411">
        <v>60.0</v>
      </c>
      <c r="L215" s="412">
        <f t="shared" si="195"/>
        <v>297</v>
      </c>
      <c r="M215" s="412">
        <f t="shared" si="196"/>
        <v>0.15</v>
      </c>
      <c r="N215" s="413">
        <f t="shared" si="197"/>
        <v>1.1</v>
      </c>
      <c r="O215" s="412">
        <f t="shared" si="198"/>
        <v>6</v>
      </c>
      <c r="P215" s="414">
        <f t="shared" si="199"/>
        <v>0.9</v>
      </c>
      <c r="Q215" s="281"/>
      <c r="R215" s="412">
        <f t="shared" si="200"/>
        <v>432</v>
      </c>
      <c r="S215" s="71"/>
      <c r="T215" s="454"/>
      <c r="U215" s="397"/>
      <c r="V215" s="395"/>
      <c r="W215" s="11"/>
      <c r="X215" s="399"/>
      <c r="Y215" s="11"/>
      <c r="Z215" s="11"/>
      <c r="AA215" s="11"/>
    </row>
    <row r="216" ht="13.5" customHeight="1">
      <c r="A216" s="11"/>
      <c r="B216" s="11"/>
      <c r="C216" s="418"/>
      <c r="D216" s="182"/>
      <c r="E216" s="183"/>
      <c r="F216" s="417"/>
      <c r="G216" s="417"/>
      <c r="H216" s="417"/>
      <c r="I216" s="417"/>
      <c r="J216" s="288"/>
      <c r="K216" s="411"/>
      <c r="L216" s="412">
        <f t="shared" si="195"/>
        <v>0</v>
      </c>
      <c r="M216" s="412">
        <f t="shared" si="196"/>
        <v>0</v>
      </c>
      <c r="N216" s="413">
        <f t="shared" si="197"/>
        <v>0</v>
      </c>
      <c r="O216" s="412" t="str">
        <f t="shared" si="198"/>
        <v/>
      </c>
      <c r="P216" s="414">
        <f t="shared" si="199"/>
        <v>0</v>
      </c>
      <c r="Q216" s="281"/>
      <c r="R216" s="412">
        <f t="shared" si="200"/>
        <v>0</v>
      </c>
      <c r="S216" s="71"/>
      <c r="T216" s="72"/>
      <c r="U216" s="397"/>
      <c r="V216" s="395"/>
      <c r="W216" s="11"/>
      <c r="X216" s="399"/>
      <c r="Y216" s="11"/>
      <c r="Z216" s="11"/>
      <c r="AA216" s="11"/>
    </row>
    <row r="217" ht="13.5" customHeight="1">
      <c r="A217" s="11"/>
      <c r="B217" s="11"/>
      <c r="C217" s="86"/>
      <c r="D217" s="87"/>
      <c r="E217" s="88"/>
      <c r="F217" s="173"/>
      <c r="G217" s="173"/>
      <c r="H217" s="157"/>
      <c r="I217" s="419"/>
      <c r="J217" s="288"/>
      <c r="K217" s="420"/>
      <c r="L217" s="412">
        <f t="shared" si="195"/>
        <v>0</v>
      </c>
      <c r="M217" s="412">
        <f t="shared" si="196"/>
        <v>0</v>
      </c>
      <c r="N217" s="413">
        <f t="shared" si="197"/>
        <v>0</v>
      </c>
      <c r="O217" s="412" t="str">
        <f t="shared" si="198"/>
        <v/>
      </c>
      <c r="P217" s="414">
        <f t="shared" si="199"/>
        <v>0</v>
      </c>
      <c r="Q217" s="281"/>
      <c r="R217" s="412">
        <f t="shared" si="200"/>
        <v>0</v>
      </c>
      <c r="S217" s="71"/>
      <c r="T217" s="454">
        <v>40.0</v>
      </c>
      <c r="U217" s="397"/>
      <c r="V217" s="395"/>
      <c r="W217" s="11"/>
      <c r="X217" s="399"/>
      <c r="Y217" s="11"/>
      <c r="Z217" s="11"/>
      <c r="AA217" s="11"/>
    </row>
    <row r="218" ht="13.5" customHeight="1">
      <c r="A218" s="11"/>
      <c r="B218" s="11"/>
      <c r="C218" s="195"/>
      <c r="D218" s="87"/>
      <c r="E218" s="88"/>
      <c r="F218" s="419"/>
      <c r="G218" s="419"/>
      <c r="H218" s="419"/>
      <c r="I218" s="419"/>
      <c r="J218" s="288"/>
      <c r="K218" s="420"/>
      <c r="L218" s="412">
        <f t="shared" si="195"/>
        <v>0</v>
      </c>
      <c r="M218" s="412">
        <f t="shared" si="196"/>
        <v>0</v>
      </c>
      <c r="N218" s="413">
        <f t="shared" si="197"/>
        <v>0</v>
      </c>
      <c r="O218" s="412" t="str">
        <f t="shared" si="198"/>
        <v/>
      </c>
      <c r="P218" s="414">
        <f t="shared" si="199"/>
        <v>0</v>
      </c>
      <c r="Q218" s="281"/>
      <c r="R218" s="412">
        <f t="shared" si="200"/>
        <v>0</v>
      </c>
      <c r="S218" s="71"/>
      <c r="T218" s="72">
        <f>SUM(T210:T217)</f>
        <v>40</v>
      </c>
      <c r="U218" s="397"/>
      <c r="V218" s="395"/>
      <c r="W218" s="11"/>
      <c r="X218" s="399"/>
      <c r="Y218" s="11"/>
      <c r="Z218" s="11"/>
      <c r="AA218" s="11"/>
    </row>
    <row r="219" ht="13.5" customHeight="1">
      <c r="A219" s="11"/>
      <c r="B219" s="11"/>
      <c r="C219" s="421" t="s">
        <v>13</v>
      </c>
      <c r="D219" s="280"/>
      <c r="E219" s="280"/>
      <c r="F219" s="280"/>
      <c r="G219" s="280"/>
      <c r="H219" s="280"/>
      <c r="I219" s="280"/>
      <c r="J219" s="280"/>
      <c r="K219" s="281"/>
      <c r="L219" s="422">
        <f t="shared" ref="L219:M219" si="201">SUM(L210:L218)</f>
        <v>3476.4</v>
      </c>
      <c r="M219" s="422">
        <f t="shared" si="201"/>
        <v>2.272</v>
      </c>
      <c r="N219" s="423">
        <f t="shared" ref="N219:O219" si="202">MAX(N210:N218)</f>
        <v>1.1</v>
      </c>
      <c r="O219" s="422">
        <f t="shared" si="202"/>
        <v>6</v>
      </c>
      <c r="P219" s="424">
        <f>SUM(P210:P218)</f>
        <v>12.26</v>
      </c>
      <c r="Q219" s="281"/>
      <c r="R219" s="422">
        <f>SUM(R210:R218)</f>
        <v>5884.8</v>
      </c>
      <c r="S219" s="453"/>
      <c r="T219" s="72"/>
      <c r="U219" s="397"/>
      <c r="V219" s="395"/>
      <c r="W219" s="398"/>
      <c r="X219" s="399"/>
      <c r="Y219" s="11"/>
      <c r="Z219" s="11"/>
      <c r="AA219" s="11"/>
    </row>
    <row r="220" ht="13.5" customHeight="1">
      <c r="A220" s="11"/>
      <c r="B220" s="11"/>
      <c r="C220" s="425" t="s">
        <v>113</v>
      </c>
      <c r="L220" s="426"/>
      <c r="M220" s="11"/>
      <c r="N220" s="11"/>
      <c r="O220" s="71"/>
      <c r="P220" s="427"/>
      <c r="Q220" s="397"/>
      <c r="R220" s="395"/>
      <c r="S220" s="398"/>
      <c r="T220" s="399"/>
      <c r="U220" s="11"/>
      <c r="V220" s="11"/>
      <c r="W220" s="428"/>
      <c r="X220" s="11"/>
      <c r="Y220" s="11"/>
      <c r="Z220" s="402"/>
      <c r="AA220" s="402"/>
    </row>
    <row r="221" ht="13.5" customHeight="1">
      <c r="A221" s="11"/>
      <c r="B221" s="11"/>
      <c r="C221" s="11"/>
      <c r="D221" s="11"/>
      <c r="E221" s="11"/>
      <c r="F221" s="253"/>
      <c r="G221" s="253"/>
      <c r="H221" s="11"/>
      <c r="I221" s="429"/>
      <c r="J221" s="427"/>
      <c r="K221" s="430" t="s">
        <v>13</v>
      </c>
      <c r="L221" s="431">
        <f>L219+L220</f>
        <v>3476.4</v>
      </c>
      <c r="M221" s="11"/>
      <c r="N221" s="11"/>
      <c r="O221" s="71"/>
      <c r="P221" s="427"/>
      <c r="Q221" s="397"/>
      <c r="R221" s="395"/>
      <c r="S221" s="398"/>
      <c r="T221" s="399"/>
      <c r="U221" s="11"/>
      <c r="V221" s="11"/>
      <c r="W221" s="398"/>
      <c r="X221" s="11"/>
      <c r="Y221" s="11"/>
      <c r="Z221" s="402"/>
      <c r="AA221" s="402"/>
    </row>
    <row r="222" ht="13.5" customHeight="1">
      <c r="A222" s="11"/>
      <c r="B222" s="11"/>
      <c r="C222" s="11"/>
      <c r="D222" s="11"/>
      <c r="E222" s="11"/>
      <c r="F222" s="253"/>
      <c r="G222" s="253"/>
      <c r="H222" s="11"/>
      <c r="I222" s="429"/>
      <c r="J222" s="427"/>
      <c r="K222" s="395"/>
      <c r="L222" s="431"/>
      <c r="M222" s="11"/>
      <c r="N222" s="11"/>
      <c r="O222" s="71"/>
      <c r="P222" s="427"/>
      <c r="Q222" s="397"/>
      <c r="R222" s="395"/>
      <c r="S222" s="398"/>
      <c r="T222" s="399"/>
      <c r="U222" s="11"/>
      <c r="V222" s="11"/>
      <c r="W222" s="11"/>
      <c r="X222" s="11"/>
      <c r="Y222" s="11"/>
      <c r="Z222" s="402"/>
      <c r="AA222" s="402"/>
    </row>
    <row r="223" ht="13.5" customHeight="1">
      <c r="A223" s="11"/>
      <c r="B223" s="11"/>
      <c r="C223" s="403" t="s">
        <v>114</v>
      </c>
      <c r="D223" s="280"/>
      <c r="E223" s="280"/>
      <c r="F223" s="280"/>
      <c r="G223" s="280"/>
      <c r="H223" s="280"/>
      <c r="I223" s="280"/>
      <c r="J223" s="280"/>
      <c r="K223" s="280"/>
      <c r="L223" s="281"/>
      <c r="M223" s="403" t="s">
        <v>108</v>
      </c>
      <c r="N223" s="280"/>
      <c r="O223" s="280"/>
      <c r="P223" s="280"/>
      <c r="Q223" s="280"/>
      <c r="R223" s="281"/>
      <c r="S223" s="398"/>
      <c r="T223" s="399"/>
      <c r="U223" s="11"/>
      <c r="V223" s="11"/>
      <c r="W223" s="11"/>
      <c r="X223" s="11"/>
      <c r="Y223" s="11"/>
      <c r="Z223" s="402"/>
      <c r="AA223" s="402"/>
    </row>
    <row r="224" ht="13.5" customHeight="1">
      <c r="A224" s="11"/>
      <c r="B224" s="11"/>
      <c r="C224" s="404" t="s">
        <v>35</v>
      </c>
      <c r="D224" s="405" t="s">
        <v>24</v>
      </c>
      <c r="E224" s="405" t="s">
        <v>25</v>
      </c>
      <c r="F224" s="405" t="s">
        <v>36</v>
      </c>
      <c r="G224" s="406" t="s">
        <v>37</v>
      </c>
      <c r="H224" s="405"/>
      <c r="I224" s="407" t="s">
        <v>26</v>
      </c>
      <c r="J224" s="408" t="s">
        <v>27</v>
      </c>
      <c r="K224" s="409" t="s">
        <v>109</v>
      </c>
      <c r="L224" s="409" t="s">
        <v>110</v>
      </c>
      <c r="M224" s="404" t="s">
        <v>35</v>
      </c>
      <c r="N224" s="405" t="s">
        <v>24</v>
      </c>
      <c r="O224" s="405" t="s">
        <v>25</v>
      </c>
      <c r="P224" s="410" t="s">
        <v>111</v>
      </c>
      <c r="Q224" s="281"/>
      <c r="R224" s="409" t="s">
        <v>112</v>
      </c>
      <c r="S224" s="398"/>
      <c r="T224" s="399"/>
      <c r="U224" s="11"/>
      <c r="V224" s="11"/>
      <c r="W224" s="11"/>
      <c r="X224" s="11"/>
      <c r="Y224" s="11"/>
      <c r="Z224" s="402"/>
      <c r="AA224" s="402"/>
    </row>
    <row r="225" ht="13.5" customHeight="1">
      <c r="A225" s="11"/>
      <c r="B225" s="11"/>
      <c r="C225" s="238"/>
      <c r="D225" s="239"/>
      <c r="E225" s="245"/>
      <c r="F225" s="156"/>
      <c r="G225" s="156"/>
      <c r="H225" s="332"/>
      <c r="I225" s="316"/>
      <c r="J225" s="159"/>
      <c r="K225" s="411"/>
      <c r="L225" s="412">
        <f t="shared" ref="L225:L233" si="203">I225*((C225*D225*E225)*K225)</f>
        <v>0</v>
      </c>
      <c r="M225" s="412">
        <f t="shared" ref="M225:M233" si="204">IF(C225=0,0,C225*MAX(1,ROUNDUP(K225/INT(1.1/D225),0)))</f>
        <v>0</v>
      </c>
      <c r="N225" s="413">
        <f t="shared" ref="N225:N233" si="205">IF(D225=0,0,IF(D225*K225&lt;=1.1,D225*K225,INT(1.1/D225)*D225))</f>
        <v>0</v>
      </c>
      <c r="O225" s="412" t="str">
        <f t="shared" ref="O225:O233" si="206">E225</f>
        <v/>
      </c>
      <c r="P225" s="414">
        <f t="shared" ref="P225:P233" si="207">ROUND((C225*D225*E225)*K225,2)</f>
        <v>0</v>
      </c>
      <c r="Q225" s="281"/>
      <c r="R225" s="412">
        <f t="shared" ref="R225:R233" si="208">P225*480</f>
        <v>0</v>
      </c>
      <c r="S225" s="398"/>
      <c r="T225" s="399"/>
      <c r="U225" s="38"/>
      <c r="V225" s="11"/>
      <c r="W225" s="38"/>
      <c r="X225" s="11"/>
      <c r="Y225" s="11"/>
      <c r="Z225" s="402"/>
      <c r="AA225" s="402"/>
    </row>
    <row r="226" ht="13.5" customHeight="1">
      <c r="A226" s="11"/>
      <c r="B226" s="11"/>
      <c r="C226" s="238"/>
      <c r="D226" s="239"/>
      <c r="E226" s="245"/>
      <c r="F226" s="156"/>
      <c r="G226" s="156"/>
      <c r="H226" s="332"/>
      <c r="I226" s="316"/>
      <c r="J226" s="159"/>
      <c r="K226" s="411"/>
      <c r="L226" s="412">
        <f t="shared" si="203"/>
        <v>0</v>
      </c>
      <c r="M226" s="412">
        <f t="shared" si="204"/>
        <v>0</v>
      </c>
      <c r="N226" s="413">
        <f t="shared" si="205"/>
        <v>0</v>
      </c>
      <c r="O226" s="412" t="str">
        <f t="shared" si="206"/>
        <v/>
      </c>
      <c r="P226" s="414">
        <f t="shared" si="207"/>
        <v>0</v>
      </c>
      <c r="Q226" s="281"/>
      <c r="R226" s="412">
        <f t="shared" si="208"/>
        <v>0</v>
      </c>
      <c r="S226" s="398"/>
      <c r="T226" s="399"/>
      <c r="U226" s="38"/>
      <c r="V226" s="11"/>
      <c r="W226" s="38"/>
      <c r="X226" s="11"/>
      <c r="Y226" s="11"/>
      <c r="Z226" s="402"/>
      <c r="AA226" s="402"/>
    </row>
    <row r="227" ht="13.5" customHeight="1">
      <c r="A227" s="11"/>
      <c r="B227" s="11"/>
      <c r="C227" s="238"/>
      <c r="D227" s="239"/>
      <c r="E227" s="245"/>
      <c r="F227" s="156"/>
      <c r="G227" s="156"/>
      <c r="H227" s="332"/>
      <c r="I227" s="316"/>
      <c r="J227" s="159"/>
      <c r="K227" s="411"/>
      <c r="L227" s="412">
        <f t="shared" si="203"/>
        <v>0</v>
      </c>
      <c r="M227" s="412">
        <f t="shared" si="204"/>
        <v>0</v>
      </c>
      <c r="N227" s="413">
        <f t="shared" si="205"/>
        <v>0</v>
      </c>
      <c r="O227" s="412" t="str">
        <f t="shared" si="206"/>
        <v/>
      </c>
      <c r="P227" s="414">
        <f t="shared" si="207"/>
        <v>0</v>
      </c>
      <c r="Q227" s="281"/>
      <c r="R227" s="412">
        <f t="shared" si="208"/>
        <v>0</v>
      </c>
      <c r="S227" s="398"/>
      <c r="T227" s="399"/>
      <c r="U227" s="11"/>
      <c r="V227" s="11"/>
      <c r="W227" s="11"/>
      <c r="X227" s="11"/>
      <c r="Y227" s="11"/>
      <c r="Z227" s="402"/>
      <c r="AA227" s="402"/>
    </row>
    <row r="228" ht="13.5" customHeight="1">
      <c r="A228" s="11"/>
      <c r="B228" s="11"/>
      <c r="C228" s="238"/>
      <c r="D228" s="239"/>
      <c r="E228" s="245"/>
      <c r="F228" s="156"/>
      <c r="G228" s="156"/>
      <c r="H228" s="332"/>
      <c r="I228" s="316"/>
      <c r="J228" s="159"/>
      <c r="K228" s="411"/>
      <c r="L228" s="412">
        <f t="shared" si="203"/>
        <v>0</v>
      </c>
      <c r="M228" s="412">
        <f t="shared" si="204"/>
        <v>0</v>
      </c>
      <c r="N228" s="413">
        <f t="shared" si="205"/>
        <v>0</v>
      </c>
      <c r="O228" s="412" t="str">
        <f t="shared" si="206"/>
        <v/>
      </c>
      <c r="P228" s="414">
        <f t="shared" si="207"/>
        <v>0</v>
      </c>
      <c r="Q228" s="281"/>
      <c r="R228" s="412">
        <f t="shared" si="208"/>
        <v>0</v>
      </c>
      <c r="S228" s="398"/>
      <c r="T228" s="399"/>
      <c r="U228" s="11"/>
      <c r="V228" s="11"/>
      <c r="W228" s="11"/>
      <c r="X228" s="11"/>
      <c r="Y228" s="11"/>
      <c r="Z228" s="402"/>
      <c r="AA228" s="402"/>
    </row>
    <row r="229" ht="13.5" customHeight="1">
      <c r="A229" s="11"/>
      <c r="B229" s="11"/>
      <c r="C229" s="238"/>
      <c r="D229" s="239"/>
      <c r="E229" s="245"/>
      <c r="F229" s="156"/>
      <c r="G229" s="156"/>
      <c r="H229" s="240"/>
      <c r="I229" s="158"/>
      <c r="J229" s="159"/>
      <c r="K229" s="411"/>
      <c r="L229" s="412">
        <f t="shared" si="203"/>
        <v>0</v>
      </c>
      <c r="M229" s="412">
        <f t="shared" si="204"/>
        <v>0</v>
      </c>
      <c r="N229" s="413">
        <f t="shared" si="205"/>
        <v>0</v>
      </c>
      <c r="O229" s="412" t="str">
        <f t="shared" si="206"/>
        <v/>
      </c>
      <c r="P229" s="414">
        <f t="shared" si="207"/>
        <v>0</v>
      </c>
      <c r="Q229" s="281"/>
      <c r="R229" s="412">
        <f t="shared" si="208"/>
        <v>0</v>
      </c>
      <c r="S229" s="398"/>
      <c r="T229" s="399"/>
      <c r="U229" s="11"/>
      <c r="V229" s="11"/>
      <c r="W229" s="11"/>
      <c r="X229" s="11"/>
      <c r="Y229" s="11"/>
      <c r="Z229" s="402"/>
      <c r="AA229" s="402"/>
    </row>
    <row r="230" ht="13.5" customHeight="1">
      <c r="A230" s="11"/>
      <c r="B230" s="11"/>
      <c r="C230" s="86"/>
      <c r="D230" s="87"/>
      <c r="E230" s="88"/>
      <c r="F230" s="156"/>
      <c r="G230" s="156"/>
      <c r="H230" s="240"/>
      <c r="I230" s="158"/>
      <c r="J230" s="159"/>
      <c r="K230" s="411"/>
      <c r="L230" s="412">
        <f t="shared" si="203"/>
        <v>0</v>
      </c>
      <c r="M230" s="412">
        <f t="shared" si="204"/>
        <v>0</v>
      </c>
      <c r="N230" s="413">
        <f t="shared" si="205"/>
        <v>0</v>
      </c>
      <c r="O230" s="412" t="str">
        <f t="shared" si="206"/>
        <v/>
      </c>
      <c r="P230" s="414">
        <f t="shared" si="207"/>
        <v>0</v>
      </c>
      <c r="Q230" s="281"/>
      <c r="R230" s="412">
        <f t="shared" si="208"/>
        <v>0</v>
      </c>
      <c r="S230" s="398"/>
      <c r="T230" s="399"/>
      <c r="U230" s="11"/>
      <c r="V230" s="11"/>
      <c r="W230" s="11"/>
      <c r="X230" s="11"/>
      <c r="Y230" s="11"/>
      <c r="Z230" s="402"/>
      <c r="AA230" s="402"/>
    </row>
    <row r="231" ht="13.5" customHeight="1">
      <c r="A231" s="11"/>
      <c r="B231" s="11"/>
      <c r="C231" s="238"/>
      <c r="D231" s="239"/>
      <c r="E231" s="245"/>
      <c r="F231" s="156"/>
      <c r="G231" s="156"/>
      <c r="H231" s="157"/>
      <c r="I231" s="158"/>
      <c r="J231" s="159"/>
      <c r="K231" s="411"/>
      <c r="L231" s="412">
        <f t="shared" si="203"/>
        <v>0</v>
      </c>
      <c r="M231" s="412">
        <f t="shared" si="204"/>
        <v>0</v>
      </c>
      <c r="N231" s="413">
        <f t="shared" si="205"/>
        <v>0</v>
      </c>
      <c r="O231" s="412" t="str">
        <f t="shared" si="206"/>
        <v/>
      </c>
      <c r="P231" s="414">
        <f t="shared" si="207"/>
        <v>0</v>
      </c>
      <c r="Q231" s="281"/>
      <c r="R231" s="412">
        <f t="shared" si="208"/>
        <v>0</v>
      </c>
      <c r="S231" s="398"/>
      <c r="T231" s="399"/>
      <c r="U231" s="11"/>
      <c r="V231" s="11"/>
      <c r="W231" s="11"/>
      <c r="X231" s="11"/>
      <c r="Y231" s="11"/>
      <c r="Z231" s="402"/>
      <c r="AA231" s="402"/>
    </row>
    <row r="232" ht="13.5" customHeight="1">
      <c r="A232" s="11"/>
      <c r="B232" s="11"/>
      <c r="C232" s="249"/>
      <c r="D232" s="170"/>
      <c r="E232" s="155"/>
      <c r="F232" s="156"/>
      <c r="G232" s="156"/>
      <c r="H232" s="240"/>
      <c r="I232" s="158"/>
      <c r="J232" s="159"/>
      <c r="K232" s="420"/>
      <c r="L232" s="412">
        <f t="shared" si="203"/>
        <v>0</v>
      </c>
      <c r="M232" s="412">
        <f t="shared" si="204"/>
        <v>0</v>
      </c>
      <c r="N232" s="413">
        <f t="shared" si="205"/>
        <v>0</v>
      </c>
      <c r="O232" s="412" t="str">
        <f t="shared" si="206"/>
        <v/>
      </c>
      <c r="P232" s="414">
        <f t="shared" si="207"/>
        <v>0</v>
      </c>
      <c r="Q232" s="281"/>
      <c r="R232" s="412">
        <f t="shared" si="208"/>
        <v>0</v>
      </c>
      <c r="S232" s="398"/>
      <c r="T232" s="399"/>
      <c r="U232" s="11"/>
      <c r="V232" s="11"/>
      <c r="W232" s="11"/>
      <c r="X232" s="11"/>
      <c r="Y232" s="11"/>
      <c r="Z232" s="402"/>
      <c r="AA232" s="402"/>
    </row>
    <row r="233" ht="13.5" customHeight="1">
      <c r="A233" s="11"/>
      <c r="B233" s="11"/>
      <c r="C233" s="249"/>
      <c r="D233" s="170"/>
      <c r="E233" s="155"/>
      <c r="F233" s="156"/>
      <c r="G233" s="156"/>
      <c r="H233" s="240"/>
      <c r="I233" s="158"/>
      <c r="J233" s="159"/>
      <c r="K233" s="420"/>
      <c r="L233" s="412">
        <f t="shared" si="203"/>
        <v>0</v>
      </c>
      <c r="M233" s="412">
        <f t="shared" si="204"/>
        <v>0</v>
      </c>
      <c r="N233" s="413">
        <f t="shared" si="205"/>
        <v>0</v>
      </c>
      <c r="O233" s="412" t="str">
        <f t="shared" si="206"/>
        <v/>
      </c>
      <c r="P233" s="414">
        <f t="shared" si="207"/>
        <v>0</v>
      </c>
      <c r="Q233" s="281"/>
      <c r="R233" s="412">
        <f t="shared" si="208"/>
        <v>0</v>
      </c>
      <c r="S233" s="398"/>
      <c r="T233" s="399"/>
      <c r="U233" s="11"/>
      <c r="V233" s="11"/>
      <c r="W233" s="11"/>
      <c r="X233" s="11"/>
      <c r="Y233" s="11"/>
      <c r="Z233" s="402"/>
      <c r="AA233" s="402"/>
    </row>
    <row r="234" ht="13.5" customHeight="1">
      <c r="A234" s="11"/>
      <c r="B234" s="11"/>
      <c r="C234" s="421" t="s">
        <v>13</v>
      </c>
      <c r="D234" s="280"/>
      <c r="E234" s="280"/>
      <c r="F234" s="280"/>
      <c r="G234" s="280"/>
      <c r="H234" s="280"/>
      <c r="I234" s="280"/>
      <c r="J234" s="280"/>
      <c r="K234" s="281"/>
      <c r="L234" s="422">
        <f t="shared" ref="L234:M234" si="209">SUM(L225:L233)</f>
        <v>0</v>
      </c>
      <c r="M234" s="422">
        <f t="shared" si="209"/>
        <v>0</v>
      </c>
      <c r="N234" s="423">
        <f t="shared" ref="N234:O234" si="210">MAX(N225:N233)</f>
        <v>0</v>
      </c>
      <c r="O234" s="422">
        <f t="shared" si="210"/>
        <v>0</v>
      </c>
      <c r="P234" s="424">
        <f>SUM(P225:P233)</f>
        <v>0</v>
      </c>
      <c r="Q234" s="281"/>
      <c r="R234" s="422">
        <f>SUM(R225:R233)</f>
        <v>0</v>
      </c>
      <c r="S234" s="398"/>
      <c r="T234" s="399"/>
      <c r="U234" s="11"/>
      <c r="V234" s="11"/>
      <c r="W234" s="11"/>
      <c r="X234" s="11"/>
      <c r="Y234" s="11"/>
      <c r="Z234" s="402"/>
      <c r="AA234" s="402"/>
    </row>
    <row r="235" ht="13.5" customHeight="1">
      <c r="A235" s="11"/>
      <c r="B235" s="11"/>
      <c r="C235" s="11"/>
      <c r="D235" s="11"/>
      <c r="E235" s="11"/>
      <c r="F235" s="253"/>
      <c r="G235" s="253"/>
      <c r="H235" s="11"/>
      <c r="I235" s="429"/>
      <c r="J235" s="427"/>
      <c r="K235" s="430" t="s">
        <v>113</v>
      </c>
      <c r="L235" s="426"/>
      <c r="M235" s="11"/>
      <c r="N235" s="11"/>
      <c r="O235" s="71"/>
      <c r="P235" s="427"/>
      <c r="Q235" s="397"/>
      <c r="R235" s="395"/>
      <c r="S235" s="398"/>
      <c r="T235" s="399"/>
      <c r="U235" s="11"/>
      <c r="V235" s="11"/>
      <c r="W235" s="11"/>
      <c r="X235" s="11"/>
      <c r="Y235" s="11"/>
      <c r="Z235" s="402"/>
      <c r="AA235" s="402"/>
    </row>
    <row r="236" ht="13.5" customHeight="1">
      <c r="A236" s="11"/>
      <c r="B236" s="11"/>
      <c r="C236" s="11"/>
      <c r="D236" s="11"/>
      <c r="E236" s="11"/>
      <c r="F236" s="253"/>
      <c r="G236" s="253"/>
      <c r="H236" s="11"/>
      <c r="I236" s="429"/>
      <c r="J236" s="427"/>
      <c r="K236" s="430" t="s">
        <v>115</v>
      </c>
      <c r="L236" s="431">
        <f>L234+L235</f>
        <v>0</v>
      </c>
      <c r="M236" s="11"/>
      <c r="N236" s="11"/>
      <c r="O236" s="71"/>
      <c r="P236" s="427"/>
      <c r="Q236" s="397"/>
      <c r="R236" s="395"/>
      <c r="S236" s="398"/>
      <c r="T236" s="399"/>
      <c r="U236" s="11"/>
      <c r="V236" s="11"/>
      <c r="W236" s="11"/>
      <c r="X236" s="11"/>
      <c r="Y236" s="11"/>
      <c r="Z236" s="402"/>
      <c r="AA236" s="402"/>
    </row>
    <row r="237" ht="13.5" customHeight="1">
      <c r="A237" s="11"/>
      <c r="B237" s="11"/>
      <c r="C237" s="11"/>
      <c r="D237" s="11"/>
      <c r="E237" s="11"/>
      <c r="F237" s="253"/>
      <c r="G237" s="253"/>
      <c r="H237" s="11"/>
      <c r="I237" s="429"/>
      <c r="J237" s="427"/>
      <c r="K237" s="395"/>
      <c r="L237" s="431"/>
      <c r="M237" s="11"/>
      <c r="N237" s="11"/>
      <c r="O237" s="71"/>
      <c r="P237" s="427"/>
      <c r="Q237" s="397"/>
      <c r="R237" s="395"/>
      <c r="S237" s="398"/>
      <c r="T237" s="399"/>
      <c r="U237" s="11"/>
      <c r="V237" s="11"/>
      <c r="W237" s="11"/>
      <c r="X237" s="11"/>
      <c r="Y237" s="11"/>
      <c r="Z237" s="402"/>
      <c r="AA237" s="402"/>
    </row>
    <row r="238" ht="13.5" customHeight="1">
      <c r="A238" s="11"/>
      <c r="B238" s="11"/>
      <c r="C238" s="403" t="s">
        <v>107</v>
      </c>
      <c r="D238" s="280"/>
      <c r="E238" s="280"/>
      <c r="F238" s="280"/>
      <c r="G238" s="280"/>
      <c r="H238" s="280"/>
      <c r="I238" s="280"/>
      <c r="J238" s="280"/>
      <c r="K238" s="280"/>
      <c r="L238" s="281"/>
      <c r="M238" s="403" t="s">
        <v>108</v>
      </c>
      <c r="N238" s="280"/>
      <c r="O238" s="280"/>
      <c r="P238" s="280"/>
      <c r="Q238" s="280"/>
      <c r="R238" s="281"/>
      <c r="S238" s="398"/>
      <c r="T238" s="399"/>
      <c r="U238" s="11"/>
      <c r="V238" s="11"/>
      <c r="W238" s="11"/>
      <c r="X238" s="11"/>
      <c r="Y238" s="11"/>
      <c r="Z238" s="402"/>
      <c r="AA238" s="402"/>
    </row>
    <row r="239" ht="13.5" customHeight="1">
      <c r="A239" s="11"/>
      <c r="B239" s="11"/>
      <c r="C239" s="404" t="s">
        <v>35</v>
      </c>
      <c r="D239" s="405" t="s">
        <v>24</v>
      </c>
      <c r="E239" s="405" t="s">
        <v>25</v>
      </c>
      <c r="F239" s="405" t="s">
        <v>36</v>
      </c>
      <c r="G239" s="406" t="s">
        <v>37</v>
      </c>
      <c r="H239" s="405"/>
      <c r="I239" s="407" t="s">
        <v>26</v>
      </c>
      <c r="J239" s="408" t="s">
        <v>27</v>
      </c>
      <c r="K239" s="409" t="s">
        <v>109</v>
      </c>
      <c r="L239" s="409" t="s">
        <v>110</v>
      </c>
      <c r="M239" s="404" t="s">
        <v>35</v>
      </c>
      <c r="N239" s="405" t="s">
        <v>24</v>
      </c>
      <c r="O239" s="405" t="s">
        <v>25</v>
      </c>
      <c r="P239" s="410" t="s">
        <v>111</v>
      </c>
      <c r="Q239" s="281"/>
      <c r="R239" s="409" t="s">
        <v>112</v>
      </c>
      <c r="S239" s="398"/>
      <c r="T239" s="399"/>
      <c r="U239" s="11"/>
      <c r="V239" s="11"/>
      <c r="W239" s="11"/>
      <c r="X239" s="11"/>
      <c r="Y239" s="11"/>
      <c r="Z239" s="402"/>
      <c r="AA239" s="402"/>
    </row>
    <row r="240" ht="13.5" customHeight="1">
      <c r="A240" s="11"/>
      <c r="B240" s="11"/>
      <c r="C240" s="238">
        <v>0.1</v>
      </c>
      <c r="D240" s="239">
        <v>0.1</v>
      </c>
      <c r="E240" s="245">
        <v>6.0</v>
      </c>
      <c r="F240" s="156">
        <f>C240*D240*E240</f>
        <v>0.06</v>
      </c>
      <c r="G240" s="156">
        <f>D240*E240</f>
        <v>0.6</v>
      </c>
      <c r="H240" s="332">
        <v>240.0</v>
      </c>
      <c r="I240" s="158">
        <f>ROUND(H240*1.1667,0)</f>
        <v>280</v>
      </c>
      <c r="J240" s="159">
        <f>ROUND((I240*0.992)*1.21,0)*(C240*D240*E240)</f>
        <v>20.16</v>
      </c>
      <c r="K240" s="411">
        <v>35.0</v>
      </c>
      <c r="L240" s="412">
        <f t="shared" ref="L240:L248" si="211">IF($P$249&gt;=1,I240*((C240*D240*E240)*K240),J240*K240)</f>
        <v>588</v>
      </c>
      <c r="M240" s="412">
        <f t="shared" ref="M240:M248" si="212">IF(C240=0,0,C240*MAX(1,ROUNDUP(K240/INT(1.1/D240),0)))</f>
        <v>0.4</v>
      </c>
      <c r="N240" s="413">
        <f t="shared" ref="N240:N248" si="213">IF(D240=0,0,IF(D240*K240&lt;=1.1,D240*K240,INT(1.1/D240)*D240))</f>
        <v>1.1</v>
      </c>
      <c r="O240" s="412">
        <f t="shared" ref="O240:O248" si="214">E240</f>
        <v>6</v>
      </c>
      <c r="P240" s="414">
        <f t="shared" ref="P240:P248" si="215">ROUND((C240*D240*E240)*K240,2)</f>
        <v>2.1</v>
      </c>
      <c r="Q240" s="281"/>
      <c r="R240" s="412">
        <f t="shared" ref="R240:R248" si="216">P240*480</f>
        <v>1008</v>
      </c>
      <c r="S240" s="398">
        <f>L240*1.21</f>
        <v>711.48</v>
      </c>
      <c r="T240" s="399">
        <f>2690/300</f>
        <v>8.966666667</v>
      </c>
      <c r="U240" s="11"/>
      <c r="V240" s="11"/>
      <c r="W240" s="11"/>
      <c r="X240" s="11"/>
      <c r="Y240" s="11"/>
      <c r="Z240" s="402"/>
      <c r="AA240" s="402"/>
    </row>
    <row r="241" ht="13.5" customHeight="1">
      <c r="A241" s="11"/>
      <c r="B241" s="11"/>
      <c r="C241" s="238"/>
      <c r="D241" s="239"/>
      <c r="E241" s="245"/>
      <c r="F241" s="156"/>
      <c r="G241" s="156"/>
      <c r="H241" s="332"/>
      <c r="I241" s="158"/>
      <c r="J241" s="159"/>
      <c r="K241" s="411"/>
      <c r="L241" s="412">
        <f t="shared" si="211"/>
        <v>0</v>
      </c>
      <c r="M241" s="412">
        <f t="shared" si="212"/>
        <v>0</v>
      </c>
      <c r="N241" s="413">
        <f t="shared" si="213"/>
        <v>0</v>
      </c>
      <c r="O241" s="412" t="str">
        <f t="shared" si="214"/>
        <v/>
      </c>
      <c r="P241" s="414">
        <f t="shared" si="215"/>
        <v>0</v>
      </c>
      <c r="Q241" s="281"/>
      <c r="R241" s="412">
        <f t="shared" si="216"/>
        <v>0</v>
      </c>
      <c r="S241" s="11">
        <f>53/15</f>
        <v>3.533333333</v>
      </c>
      <c r="T241" s="399"/>
      <c r="U241" s="11"/>
      <c r="V241" s="11"/>
      <c r="W241" s="11"/>
      <c r="X241" s="11"/>
      <c r="Y241" s="11"/>
      <c r="Z241" s="402"/>
      <c r="AA241" s="402"/>
    </row>
    <row r="242" ht="13.5" customHeight="1">
      <c r="A242" s="11"/>
      <c r="B242" s="11"/>
      <c r="C242" s="238"/>
      <c r="D242" s="239"/>
      <c r="E242" s="245"/>
      <c r="F242" s="156"/>
      <c r="G242" s="156"/>
      <c r="H242" s="240"/>
      <c r="I242" s="158"/>
      <c r="J242" s="159"/>
      <c r="K242" s="411"/>
      <c r="L242" s="412">
        <f t="shared" si="211"/>
        <v>0</v>
      </c>
      <c r="M242" s="412">
        <f t="shared" si="212"/>
        <v>0</v>
      </c>
      <c r="N242" s="413">
        <f t="shared" si="213"/>
        <v>0</v>
      </c>
      <c r="O242" s="412" t="str">
        <f t="shared" si="214"/>
        <v/>
      </c>
      <c r="P242" s="414">
        <f t="shared" si="215"/>
        <v>0</v>
      </c>
      <c r="Q242" s="281"/>
      <c r="R242" s="412">
        <f t="shared" si="216"/>
        <v>0</v>
      </c>
      <c r="S242" s="398">
        <f>15*3.5</f>
        <v>52.5</v>
      </c>
      <c r="T242" s="399"/>
      <c r="U242" s="11"/>
      <c r="V242" s="11"/>
      <c r="W242" s="11"/>
      <c r="X242" s="11"/>
      <c r="Y242" s="11"/>
      <c r="Z242" s="402"/>
      <c r="AA242" s="402"/>
    </row>
    <row r="243" ht="13.5" customHeight="1">
      <c r="A243" s="11"/>
      <c r="B243" s="11"/>
      <c r="C243" s="238"/>
      <c r="D243" s="239"/>
      <c r="E243" s="245"/>
      <c r="F243" s="156"/>
      <c r="G243" s="156"/>
      <c r="H243" s="240"/>
      <c r="I243" s="316"/>
      <c r="J243" s="159"/>
      <c r="K243" s="411"/>
      <c r="L243" s="412">
        <f t="shared" si="211"/>
        <v>0</v>
      </c>
      <c r="M243" s="412">
        <f t="shared" si="212"/>
        <v>0</v>
      </c>
      <c r="N243" s="413">
        <f t="shared" si="213"/>
        <v>0</v>
      </c>
      <c r="O243" s="412" t="str">
        <f t="shared" si="214"/>
        <v/>
      </c>
      <c r="P243" s="414">
        <f t="shared" si="215"/>
        <v>0</v>
      </c>
      <c r="Q243" s="281"/>
      <c r="R243" s="412">
        <f t="shared" si="216"/>
        <v>0</v>
      </c>
      <c r="S243" s="398"/>
      <c r="T243" s="399"/>
      <c r="U243" s="11"/>
      <c r="V243" s="11"/>
      <c r="W243" s="11"/>
      <c r="X243" s="11"/>
      <c r="Y243" s="11"/>
      <c r="Z243" s="402"/>
      <c r="AA243" s="402"/>
    </row>
    <row r="244" ht="13.5" customHeight="1">
      <c r="A244" s="11"/>
      <c r="B244" s="11"/>
      <c r="C244" s="238"/>
      <c r="D244" s="239"/>
      <c r="E244" s="245"/>
      <c r="F244" s="156"/>
      <c r="G244" s="156"/>
      <c r="H244" s="240"/>
      <c r="I244" s="316"/>
      <c r="J244" s="159"/>
      <c r="K244" s="411"/>
      <c r="L244" s="412">
        <f t="shared" si="211"/>
        <v>0</v>
      </c>
      <c r="M244" s="412">
        <f t="shared" si="212"/>
        <v>0</v>
      </c>
      <c r="N244" s="413">
        <f t="shared" si="213"/>
        <v>0</v>
      </c>
      <c r="O244" s="412" t="str">
        <f t="shared" si="214"/>
        <v/>
      </c>
      <c r="P244" s="414">
        <f t="shared" si="215"/>
        <v>0</v>
      </c>
      <c r="Q244" s="281"/>
      <c r="R244" s="412">
        <f t="shared" si="216"/>
        <v>0</v>
      </c>
      <c r="S244" s="11">
        <f>770/250</f>
        <v>3.08</v>
      </c>
      <c r="T244" s="399"/>
      <c r="U244" s="11"/>
      <c r="V244" s="11"/>
      <c r="W244" s="11"/>
      <c r="X244" s="11"/>
      <c r="Y244" s="11"/>
      <c r="Z244" s="402"/>
      <c r="AA244" s="402"/>
    </row>
    <row r="245" ht="13.5" customHeight="1">
      <c r="A245" s="11"/>
      <c r="B245" s="11"/>
      <c r="C245" s="238"/>
      <c r="D245" s="239"/>
      <c r="E245" s="245"/>
      <c r="F245" s="156"/>
      <c r="G245" s="156"/>
      <c r="H245" s="240"/>
      <c r="I245" s="158"/>
      <c r="J245" s="159"/>
      <c r="K245" s="411"/>
      <c r="L245" s="412">
        <f t="shared" si="211"/>
        <v>0</v>
      </c>
      <c r="M245" s="412">
        <f t="shared" si="212"/>
        <v>0</v>
      </c>
      <c r="N245" s="413">
        <f t="shared" si="213"/>
        <v>0</v>
      </c>
      <c r="O245" s="412" t="str">
        <f t="shared" si="214"/>
        <v/>
      </c>
      <c r="P245" s="414">
        <f t="shared" si="215"/>
        <v>0</v>
      </c>
      <c r="Q245" s="281"/>
      <c r="R245" s="412">
        <f t="shared" si="216"/>
        <v>0</v>
      </c>
      <c r="S245" s="38">
        <f>1235/400</f>
        <v>3.0875</v>
      </c>
      <c r="T245" s="399"/>
      <c r="U245" s="11"/>
      <c r="V245" s="11"/>
      <c r="W245" s="11"/>
      <c r="X245" s="11"/>
      <c r="Y245" s="11"/>
      <c r="Z245" s="402"/>
      <c r="AA245" s="402"/>
    </row>
    <row r="246" ht="13.5" customHeight="1">
      <c r="A246" s="11"/>
      <c r="B246" s="11"/>
      <c r="C246" s="238"/>
      <c r="D246" s="239"/>
      <c r="E246" s="245"/>
      <c r="F246" s="156"/>
      <c r="G246" s="156"/>
      <c r="H246" s="240"/>
      <c r="I246" s="158"/>
      <c r="J246" s="159"/>
      <c r="K246" s="411"/>
      <c r="L246" s="412">
        <f t="shared" si="211"/>
        <v>0</v>
      </c>
      <c r="M246" s="412">
        <f t="shared" si="212"/>
        <v>0</v>
      </c>
      <c r="N246" s="413">
        <f t="shared" si="213"/>
        <v>0</v>
      </c>
      <c r="O246" s="412" t="str">
        <f t="shared" si="214"/>
        <v/>
      </c>
      <c r="P246" s="414">
        <f t="shared" si="215"/>
        <v>0</v>
      </c>
      <c r="Q246" s="281"/>
      <c r="R246" s="412">
        <f t="shared" si="216"/>
        <v>0</v>
      </c>
      <c r="S246" s="11">
        <f>100/120</f>
        <v>0.8333333333</v>
      </c>
      <c r="T246" s="399"/>
      <c r="U246" s="11"/>
      <c r="V246" s="11"/>
      <c r="W246" s="11"/>
      <c r="X246" s="11"/>
      <c r="Y246" s="11"/>
      <c r="Z246" s="402"/>
      <c r="AA246" s="402"/>
    </row>
    <row r="247" ht="13.5" customHeight="1">
      <c r="A247" s="11"/>
      <c r="B247" s="11"/>
      <c r="C247" s="238"/>
      <c r="D247" s="239"/>
      <c r="E247" s="245"/>
      <c r="F247" s="156"/>
      <c r="G247" s="156"/>
      <c r="H247" s="240"/>
      <c r="I247" s="158"/>
      <c r="J247" s="159"/>
      <c r="K247" s="411"/>
      <c r="L247" s="412">
        <f t="shared" si="211"/>
        <v>0</v>
      </c>
      <c r="M247" s="412">
        <f t="shared" si="212"/>
        <v>0</v>
      </c>
      <c r="N247" s="413">
        <f t="shared" si="213"/>
        <v>0</v>
      </c>
      <c r="O247" s="412" t="str">
        <f t="shared" si="214"/>
        <v/>
      </c>
      <c r="P247" s="414">
        <f t="shared" si="215"/>
        <v>0</v>
      </c>
      <c r="Q247" s="281"/>
      <c r="R247" s="412">
        <f t="shared" si="216"/>
        <v>0</v>
      </c>
      <c r="S247" s="398"/>
      <c r="T247" s="399"/>
      <c r="U247" s="11"/>
      <c r="V247" s="11"/>
      <c r="W247" s="11"/>
      <c r="X247" s="11"/>
      <c r="Y247" s="11"/>
      <c r="Z247" s="402"/>
      <c r="AA247" s="402"/>
    </row>
    <row r="248" ht="13.5" customHeight="1">
      <c r="A248" s="11"/>
      <c r="B248" s="11"/>
      <c r="C248" s="238"/>
      <c r="D248" s="239"/>
      <c r="E248" s="245"/>
      <c r="F248" s="156"/>
      <c r="G248" s="156"/>
      <c r="H248" s="240"/>
      <c r="I248" s="158"/>
      <c r="J248" s="159"/>
      <c r="K248" s="411"/>
      <c r="L248" s="412">
        <f t="shared" si="211"/>
        <v>0</v>
      </c>
      <c r="M248" s="412">
        <f t="shared" si="212"/>
        <v>0</v>
      </c>
      <c r="N248" s="413">
        <f t="shared" si="213"/>
        <v>0</v>
      </c>
      <c r="O248" s="412" t="str">
        <f t="shared" si="214"/>
        <v/>
      </c>
      <c r="P248" s="414">
        <f t="shared" si="215"/>
        <v>0</v>
      </c>
      <c r="Q248" s="281"/>
      <c r="R248" s="412">
        <f t="shared" si="216"/>
        <v>0</v>
      </c>
      <c r="S248" s="398"/>
      <c r="T248" s="399"/>
      <c r="U248" s="11"/>
      <c r="V248" s="11"/>
      <c r="W248" s="11"/>
      <c r="X248" s="11"/>
      <c r="Y248" s="11"/>
      <c r="Z248" s="402"/>
      <c r="AA248" s="402"/>
    </row>
    <row r="249" ht="13.5" customHeight="1">
      <c r="A249" s="11"/>
      <c r="B249" s="11"/>
      <c r="C249" s="421" t="s">
        <v>13</v>
      </c>
      <c r="D249" s="280"/>
      <c r="E249" s="280"/>
      <c r="F249" s="280"/>
      <c r="G249" s="280"/>
      <c r="H249" s="280"/>
      <c r="I249" s="280"/>
      <c r="J249" s="280"/>
      <c r="K249" s="281"/>
      <c r="L249" s="422">
        <f t="shared" ref="L249:M249" si="217">SUM(L240:L248)</f>
        <v>588</v>
      </c>
      <c r="M249" s="422">
        <f t="shared" si="217"/>
        <v>0.4</v>
      </c>
      <c r="N249" s="423">
        <f t="shared" ref="N249:O249" si="218">MAX(N240:N248)</f>
        <v>1.1</v>
      </c>
      <c r="O249" s="422">
        <f t="shared" si="218"/>
        <v>6</v>
      </c>
      <c r="P249" s="424">
        <f>SUM(P240:P248)</f>
        <v>2.1</v>
      </c>
      <c r="Q249" s="281"/>
      <c r="R249" s="422">
        <f>SUM(R240:R248)</f>
        <v>1008</v>
      </c>
      <c r="S249" s="398"/>
      <c r="T249" s="399"/>
      <c r="U249" s="11"/>
      <c r="V249" s="11"/>
      <c r="W249" s="11"/>
      <c r="X249" s="11"/>
      <c r="Y249" s="11"/>
      <c r="Z249" s="402"/>
      <c r="AA249" s="402"/>
    </row>
    <row r="250" ht="13.5" customHeight="1">
      <c r="A250" s="11"/>
      <c r="B250" s="11"/>
      <c r="C250" s="11"/>
      <c r="D250" s="11"/>
      <c r="E250" s="11"/>
      <c r="F250" s="253"/>
      <c r="G250" s="253"/>
      <c r="H250" s="11"/>
      <c r="I250" s="429"/>
      <c r="J250" s="427"/>
      <c r="K250" s="430" t="s">
        <v>113</v>
      </c>
      <c r="L250" s="426">
        <v>120.0</v>
      </c>
      <c r="M250" s="11"/>
      <c r="N250" s="11"/>
      <c r="O250" s="71"/>
      <c r="P250" s="427"/>
      <c r="Q250" s="397"/>
      <c r="R250" s="395"/>
      <c r="S250" s="398"/>
      <c r="T250" s="399"/>
      <c r="U250" s="11"/>
      <c r="V250" s="11"/>
      <c r="W250" s="11"/>
      <c r="X250" s="11"/>
      <c r="Y250" s="11"/>
      <c r="Z250" s="402"/>
      <c r="AA250" s="402"/>
    </row>
    <row r="251" ht="13.5" customHeight="1">
      <c r="A251" s="11"/>
      <c r="B251" s="11"/>
      <c r="C251" s="11"/>
      <c r="D251" s="11"/>
      <c r="E251" s="11"/>
      <c r="F251" s="253"/>
      <c r="G251" s="253"/>
      <c r="H251" s="38"/>
      <c r="I251" s="432"/>
      <c r="J251" s="433"/>
      <c r="K251" s="430" t="s">
        <v>115</v>
      </c>
      <c r="L251" s="431">
        <f>L249+L250</f>
        <v>708</v>
      </c>
      <c r="M251" s="38"/>
      <c r="N251" s="11"/>
      <c r="O251" s="71"/>
      <c r="P251" s="427"/>
      <c r="Q251" s="397"/>
      <c r="R251" s="395"/>
      <c r="S251" s="398"/>
      <c r="T251" s="399"/>
      <c r="U251" s="11"/>
      <c r="V251" s="11"/>
      <c r="W251" s="11"/>
      <c r="X251" s="11"/>
      <c r="Y251" s="11"/>
      <c r="Z251" s="402"/>
      <c r="AA251" s="402"/>
    </row>
    <row r="252" ht="13.5" customHeight="1">
      <c r="A252" s="11"/>
      <c r="B252" s="11"/>
      <c r="C252" s="434"/>
      <c r="D252" s="434"/>
      <c r="E252" s="435"/>
      <c r="F252" s="436"/>
      <c r="G252" s="436"/>
      <c r="H252" s="437"/>
      <c r="I252" s="438"/>
      <c r="J252" s="439"/>
      <c r="K252" s="440"/>
      <c r="L252" s="426"/>
      <c r="M252" s="11"/>
      <c r="N252" s="11"/>
      <c r="O252" s="71"/>
      <c r="P252" s="427"/>
      <c r="Q252" s="397"/>
      <c r="R252" s="395"/>
      <c r="S252" s="398"/>
      <c r="T252" s="399"/>
      <c r="U252" s="11"/>
      <c r="V252" s="11"/>
      <c r="W252" s="11"/>
      <c r="X252" s="11"/>
      <c r="Y252" s="11"/>
      <c r="Z252" s="402"/>
      <c r="AA252" s="402"/>
    </row>
    <row r="253" ht="13.5" customHeight="1">
      <c r="A253" s="11"/>
      <c r="B253" s="11"/>
      <c r="C253" s="434"/>
      <c r="D253" s="434"/>
      <c r="E253" s="435"/>
      <c r="F253" s="436"/>
      <c r="G253" s="436"/>
      <c r="H253" s="437"/>
      <c r="I253" s="438"/>
      <c r="J253" s="439"/>
      <c r="K253" s="440"/>
      <c r="L253" s="426"/>
      <c r="M253" s="11"/>
      <c r="N253" s="11"/>
      <c r="O253" s="71"/>
      <c r="P253" s="427"/>
      <c r="Q253" s="397"/>
      <c r="R253" s="395"/>
      <c r="S253" s="398"/>
      <c r="T253" s="399"/>
      <c r="U253" s="11"/>
      <c r="V253" s="11"/>
      <c r="W253" s="11"/>
      <c r="X253" s="11"/>
      <c r="Y253" s="11"/>
      <c r="Z253" s="402"/>
      <c r="AA253" s="402"/>
    </row>
    <row r="254" ht="13.5" customHeight="1">
      <c r="A254" s="11"/>
      <c r="B254" s="11"/>
      <c r="C254" s="434"/>
      <c r="D254" s="434"/>
      <c r="E254" s="435"/>
      <c r="F254" s="436"/>
      <c r="G254" s="436"/>
      <c r="H254" s="437"/>
      <c r="I254" s="438"/>
      <c r="J254" s="439"/>
      <c r="K254" s="440"/>
      <c r="L254" s="426"/>
      <c r="M254" s="11"/>
      <c r="N254" s="11"/>
      <c r="O254" s="71"/>
      <c r="P254" s="427"/>
      <c r="Q254" s="397"/>
      <c r="R254" s="395"/>
      <c r="S254" s="398"/>
      <c r="T254" s="399"/>
      <c r="U254" s="11"/>
      <c r="V254" s="11"/>
      <c r="W254" s="11"/>
      <c r="X254" s="11"/>
      <c r="Y254" s="11"/>
      <c r="Z254" s="402"/>
      <c r="AA254" s="402"/>
    </row>
    <row r="255" ht="13.5" customHeight="1">
      <c r="A255" s="11"/>
      <c r="B255" s="11"/>
      <c r="C255" s="434"/>
      <c r="D255" s="434"/>
      <c r="E255" s="435"/>
      <c r="F255" s="436"/>
      <c r="G255" s="436"/>
      <c r="H255" s="437"/>
      <c r="I255" s="438" t="s">
        <v>116</v>
      </c>
      <c r="J255" s="439" t="s">
        <v>117</v>
      </c>
      <c r="K255" s="440"/>
      <c r="L255" s="426"/>
      <c r="M255" s="11"/>
      <c r="N255" s="11"/>
      <c r="O255" s="71"/>
      <c r="P255" s="427"/>
      <c r="Q255" s="397"/>
      <c r="R255" s="395"/>
      <c r="S255" s="398"/>
      <c r="T255" s="399"/>
      <c r="U255" s="11"/>
      <c r="V255" s="11"/>
      <c r="W255" s="11"/>
      <c r="X255" s="11"/>
      <c r="Y255" s="11"/>
      <c r="Z255" s="402"/>
      <c r="AA255" s="402"/>
    </row>
    <row r="256" ht="13.5" customHeight="1">
      <c r="A256" s="11"/>
      <c r="B256" s="11"/>
      <c r="C256" s="195">
        <f t="shared" ref="C256:D256" si="219">C258+0.004</f>
        <v>0.025</v>
      </c>
      <c r="D256" s="195">
        <f t="shared" si="219"/>
        <v>0.174</v>
      </c>
      <c r="E256" s="155">
        <f>E258</f>
        <v>6</v>
      </c>
      <c r="F256" s="156"/>
      <c r="G256" s="156"/>
      <c r="H256" s="157"/>
      <c r="I256" s="441">
        <v>300.0</v>
      </c>
      <c r="J256" s="442">
        <f>J258</f>
        <v>46.6853408</v>
      </c>
      <c r="K256" s="160">
        <f>J256*(C256*D256*E256)</f>
        <v>1.218487395</v>
      </c>
      <c r="L256" s="426">
        <f>I256*K256</f>
        <v>365.5462185</v>
      </c>
      <c r="M256" s="11"/>
      <c r="N256" s="11"/>
      <c r="O256" s="71"/>
      <c r="P256" s="427"/>
      <c r="Q256" s="397"/>
      <c r="R256" s="395"/>
      <c r="S256" s="398"/>
      <c r="T256" s="399"/>
      <c r="U256" s="11"/>
      <c r="V256" s="11"/>
      <c r="W256" s="11"/>
      <c r="X256" s="11"/>
      <c r="Y256" s="11"/>
      <c r="Z256" s="402"/>
      <c r="AA256" s="402"/>
    </row>
    <row r="257" ht="13.5" customHeight="1">
      <c r="A257" s="11"/>
      <c r="B257" s="11"/>
      <c r="C257" s="443"/>
      <c r="D257" s="444"/>
      <c r="E257" s="435"/>
      <c r="F257" s="436"/>
      <c r="G257" s="436"/>
      <c r="H257" s="437"/>
      <c r="I257" s="445"/>
      <c r="J257" s="446"/>
      <c r="K257" s="440"/>
      <c r="L257" s="431"/>
      <c r="M257" s="11"/>
      <c r="N257" s="11"/>
      <c r="O257" s="71"/>
      <c r="P257" s="427"/>
      <c r="Q257" s="397"/>
      <c r="R257" s="395"/>
      <c r="S257" s="398"/>
      <c r="T257" s="399"/>
      <c r="U257" s="11"/>
      <c r="V257" s="11"/>
      <c r="W257" s="11"/>
      <c r="X257" s="11"/>
      <c r="Y257" s="11"/>
      <c r="Z257" s="402"/>
      <c r="AA257" s="402"/>
    </row>
    <row r="258" ht="13.5" customHeight="1">
      <c r="A258" s="11"/>
      <c r="B258" s="11"/>
      <c r="C258" s="238">
        <v>0.021</v>
      </c>
      <c r="D258" s="239">
        <v>0.17</v>
      </c>
      <c r="E258" s="245">
        <v>6.0</v>
      </c>
      <c r="F258" s="156"/>
      <c r="G258" s="156"/>
      <c r="H258" s="157"/>
      <c r="I258" s="447">
        <f>L256+L258</f>
        <v>465.5462185</v>
      </c>
      <c r="J258" s="442">
        <f>1/(C258*D258*E258)</f>
        <v>46.6853408</v>
      </c>
      <c r="K258" s="160"/>
      <c r="L258" s="426">
        <v>100.0</v>
      </c>
      <c r="M258" s="11"/>
      <c r="N258" s="11"/>
      <c r="O258" s="71"/>
      <c r="P258" s="427"/>
      <c r="Q258" s="397"/>
      <c r="R258" s="395"/>
      <c r="S258" s="398"/>
      <c r="T258" s="399"/>
      <c r="U258" s="11"/>
      <c r="V258" s="11"/>
      <c r="W258" s="11"/>
      <c r="X258" s="11"/>
      <c r="Y258" s="11"/>
      <c r="Z258" s="402"/>
      <c r="AA258" s="402"/>
    </row>
    <row r="259" ht="13.5" customHeight="1">
      <c r="A259" s="11"/>
      <c r="B259" s="11"/>
      <c r="C259" s="11"/>
      <c r="D259" s="11"/>
      <c r="E259" s="11"/>
      <c r="F259" s="253"/>
      <c r="G259" s="253"/>
      <c r="H259" s="11"/>
      <c r="I259" s="429"/>
      <c r="J259" s="427"/>
      <c r="K259" s="395"/>
      <c r="L259" s="431"/>
      <c r="M259" s="11"/>
      <c r="N259" s="11"/>
      <c r="O259" s="71"/>
      <c r="P259" s="427"/>
      <c r="Q259" s="397"/>
      <c r="R259" s="395"/>
      <c r="S259" s="398"/>
      <c r="T259" s="399"/>
      <c r="U259" s="11"/>
      <c r="V259" s="11"/>
      <c r="W259" s="11"/>
      <c r="X259" s="11"/>
      <c r="Y259" s="11"/>
      <c r="Z259" s="402"/>
      <c r="AA259" s="402"/>
    </row>
    <row r="260" ht="13.5" customHeight="1">
      <c r="A260" s="11"/>
      <c r="B260" s="11"/>
      <c r="C260" s="11"/>
      <c r="D260" s="11"/>
      <c r="E260" s="11"/>
      <c r="F260" s="253"/>
      <c r="G260" s="253"/>
      <c r="H260" s="11"/>
      <c r="I260" s="429"/>
      <c r="J260" s="427"/>
      <c r="K260" s="395"/>
      <c r="L260" s="431"/>
      <c r="M260" s="11"/>
      <c r="N260" s="11"/>
      <c r="O260" s="71"/>
      <c r="P260" s="427"/>
      <c r="Q260" s="397"/>
      <c r="R260" s="395"/>
      <c r="S260" s="398"/>
      <c r="T260" s="399"/>
      <c r="U260" s="11"/>
      <c r="V260" s="11"/>
      <c r="W260" s="11"/>
      <c r="X260" s="11"/>
      <c r="Y260" s="11"/>
      <c r="Z260" s="402"/>
      <c r="AA260" s="402"/>
    </row>
    <row r="261" ht="13.5" customHeight="1">
      <c r="A261" s="11"/>
      <c r="B261" s="334">
        <v>0.025</v>
      </c>
      <c r="C261" s="335">
        <v>0.1</v>
      </c>
      <c r="D261" s="273">
        <v>6.0</v>
      </c>
      <c r="E261" s="455">
        <v>385.0</v>
      </c>
      <c r="F261" s="253"/>
      <c r="G261" s="253"/>
      <c r="H261" s="11"/>
      <c r="I261" s="429"/>
      <c r="J261" s="427"/>
      <c r="K261" s="395"/>
      <c r="L261" s="431"/>
      <c r="M261" s="11"/>
      <c r="N261" s="11"/>
      <c r="O261" s="71"/>
      <c r="P261" s="427"/>
      <c r="Q261" s="397"/>
      <c r="R261" s="395"/>
      <c r="S261" s="398"/>
      <c r="T261" s="399"/>
      <c r="U261" s="11"/>
      <c r="V261" s="11"/>
      <c r="W261" s="11"/>
      <c r="X261" s="11"/>
      <c r="Y261" s="11"/>
      <c r="Z261" s="402"/>
      <c r="AA261" s="402"/>
    </row>
    <row r="262" ht="13.5" customHeight="1">
      <c r="A262" s="11"/>
      <c r="B262" s="334">
        <v>0.05</v>
      </c>
      <c r="C262" s="335">
        <v>0.1</v>
      </c>
      <c r="D262" s="273">
        <v>6.0</v>
      </c>
      <c r="E262" s="455">
        <v>828.0</v>
      </c>
      <c r="F262" s="253"/>
      <c r="G262" s="253"/>
      <c r="H262" s="11"/>
      <c r="I262" s="429"/>
      <c r="J262" s="427"/>
      <c r="K262" s="395"/>
      <c r="L262" s="431"/>
      <c r="M262" s="11"/>
      <c r="N262" s="11"/>
      <c r="O262" s="71"/>
      <c r="P262" s="427"/>
      <c r="Q262" s="397"/>
      <c r="R262" s="395"/>
      <c r="S262" s="398"/>
      <c r="T262" s="399"/>
      <c r="U262" s="11"/>
      <c r="V262" s="11"/>
      <c r="W262" s="11"/>
      <c r="X262" s="11"/>
      <c r="Y262" s="11"/>
      <c r="Z262" s="402"/>
      <c r="AA262" s="402"/>
    </row>
    <row r="263" ht="13.5" customHeight="1">
      <c r="A263" s="11"/>
      <c r="B263" s="334">
        <v>0.05</v>
      </c>
      <c r="C263" s="335">
        <v>0.05</v>
      </c>
      <c r="D263" s="273">
        <v>6.0</v>
      </c>
      <c r="E263" s="455">
        <v>481.0</v>
      </c>
      <c r="F263" s="253"/>
      <c r="G263" s="253"/>
      <c r="H263" s="11"/>
      <c r="I263" s="429"/>
      <c r="J263" s="427"/>
      <c r="K263" s="395"/>
      <c r="L263" s="431"/>
      <c r="M263" s="11"/>
      <c r="N263" s="11"/>
      <c r="O263" s="71"/>
      <c r="P263" s="427"/>
      <c r="Q263" s="397"/>
      <c r="R263" s="395"/>
      <c r="S263" s="398"/>
      <c r="T263" s="399"/>
      <c r="U263" s="11"/>
      <c r="V263" s="11"/>
      <c r="W263" s="11"/>
      <c r="X263" s="11"/>
      <c r="Y263" s="11"/>
      <c r="Z263" s="402"/>
      <c r="AA263" s="402"/>
    </row>
    <row r="264" ht="13.5" customHeight="1">
      <c r="A264" s="11"/>
      <c r="B264" s="334">
        <v>0.05</v>
      </c>
      <c r="C264" s="335">
        <v>0.05</v>
      </c>
      <c r="D264" s="273">
        <v>2.5</v>
      </c>
      <c r="E264" s="455">
        <v>340.0</v>
      </c>
      <c r="F264" s="253"/>
      <c r="G264" s="253"/>
      <c r="H264" s="11"/>
      <c r="I264" s="429"/>
      <c r="J264" s="427"/>
      <c r="K264" s="395"/>
      <c r="L264" s="431"/>
      <c r="M264" s="11"/>
      <c r="N264" s="11"/>
      <c r="O264" s="71"/>
      <c r="P264" s="427"/>
      <c r="Q264" s="397"/>
      <c r="R264" s="395"/>
      <c r="S264" s="398"/>
      <c r="T264" s="399"/>
      <c r="U264" s="11"/>
      <c r="V264" s="11"/>
      <c r="W264" s="11"/>
      <c r="X264" s="11"/>
      <c r="Y264" s="11"/>
      <c r="Z264" s="402"/>
      <c r="AA264" s="402"/>
    </row>
    <row r="265" ht="13.5" customHeight="1">
      <c r="A265" s="11"/>
      <c r="B265" s="334">
        <v>0.05</v>
      </c>
      <c r="C265" s="335">
        <v>0.05</v>
      </c>
      <c r="D265" s="273">
        <v>3.7</v>
      </c>
      <c r="E265" s="455">
        <v>130.0</v>
      </c>
      <c r="F265" s="253"/>
      <c r="G265" s="253"/>
      <c r="H265" s="11"/>
      <c r="I265" s="429"/>
      <c r="J265" s="427"/>
      <c r="K265" s="395"/>
      <c r="L265" s="431"/>
      <c r="M265" s="11"/>
      <c r="N265" s="11"/>
      <c r="O265" s="71"/>
      <c r="P265" s="427"/>
      <c r="Q265" s="397"/>
      <c r="R265" s="395"/>
      <c r="S265" s="398"/>
      <c r="T265" s="399"/>
      <c r="U265" s="11"/>
      <c r="V265" s="11"/>
      <c r="W265" s="11"/>
      <c r="X265" s="11"/>
      <c r="Y265" s="11"/>
      <c r="Z265" s="402"/>
      <c r="AA265" s="402"/>
    </row>
    <row r="266" ht="13.5" customHeight="1">
      <c r="A266" s="11"/>
      <c r="B266" s="334">
        <v>0.05</v>
      </c>
      <c r="C266" s="335">
        <v>0.05</v>
      </c>
      <c r="D266" s="273">
        <v>6.0</v>
      </c>
      <c r="E266" s="455">
        <v>481.0</v>
      </c>
      <c r="F266" s="253"/>
      <c r="G266" s="253"/>
      <c r="H266" s="11"/>
      <c r="I266" s="429"/>
      <c r="J266" s="427"/>
      <c r="K266" s="395"/>
      <c r="L266" s="431"/>
      <c r="M266" s="11"/>
      <c r="N266" s="11"/>
      <c r="O266" s="71"/>
      <c r="P266" s="427"/>
      <c r="Q266" s="397"/>
      <c r="R266" s="395"/>
      <c r="S266" s="398"/>
      <c r="T266" s="399"/>
      <c r="U266" s="11"/>
      <c r="V266" s="11"/>
      <c r="W266" s="11"/>
      <c r="X266" s="11"/>
      <c r="Y266" s="11"/>
      <c r="Z266" s="402"/>
      <c r="AA266" s="402"/>
    </row>
    <row r="267" ht="13.5" customHeight="1">
      <c r="A267" s="11"/>
      <c r="B267" s="11"/>
      <c r="C267" s="11"/>
      <c r="D267" s="11"/>
      <c r="E267" s="11"/>
      <c r="F267" s="253"/>
      <c r="G267" s="253"/>
      <c r="H267" s="11"/>
      <c r="I267" s="429"/>
      <c r="J267" s="427"/>
      <c r="K267" s="395"/>
      <c r="L267" s="431"/>
      <c r="M267" s="11"/>
      <c r="N267" s="11"/>
      <c r="O267" s="71"/>
      <c r="P267" s="427"/>
      <c r="Q267" s="397"/>
      <c r="R267" s="395"/>
      <c r="S267" s="398"/>
      <c r="T267" s="399"/>
      <c r="U267" s="11"/>
      <c r="V267" s="11"/>
      <c r="W267" s="11"/>
      <c r="X267" s="11"/>
      <c r="Y267" s="11"/>
      <c r="Z267" s="402"/>
      <c r="AA267" s="402"/>
    </row>
    <row r="268" ht="13.5" customHeight="1">
      <c r="A268" s="11"/>
      <c r="B268" s="11"/>
      <c r="C268" s="11"/>
      <c r="D268" s="11"/>
      <c r="E268" s="11"/>
      <c r="F268" s="253"/>
      <c r="G268" s="253"/>
      <c r="H268" s="11"/>
      <c r="I268" s="429"/>
      <c r="J268" s="427"/>
      <c r="K268" s="395"/>
      <c r="L268" s="431"/>
      <c r="M268" s="11"/>
      <c r="N268" s="11"/>
      <c r="O268" s="71"/>
      <c r="P268" s="427"/>
      <c r="Q268" s="397"/>
      <c r="R268" s="395"/>
      <c r="S268" s="398"/>
      <c r="T268" s="399"/>
      <c r="U268" s="11"/>
      <c r="V268" s="11"/>
      <c r="W268" s="11"/>
      <c r="X268" s="11"/>
      <c r="Y268" s="11"/>
      <c r="Z268" s="402"/>
      <c r="AA268" s="402"/>
    </row>
    <row r="269" ht="13.5" customHeight="1">
      <c r="A269" s="11"/>
      <c r="B269" s="11"/>
      <c r="C269" s="11"/>
      <c r="D269" s="11"/>
      <c r="E269" s="11"/>
      <c r="F269" s="253"/>
      <c r="G269" s="253"/>
      <c r="H269" s="11"/>
      <c r="I269" s="429"/>
      <c r="J269" s="427"/>
      <c r="K269" s="395"/>
      <c r="L269" s="431"/>
      <c r="M269" s="11"/>
      <c r="N269" s="11"/>
      <c r="O269" s="71"/>
      <c r="P269" s="427"/>
      <c r="Q269" s="397"/>
      <c r="R269" s="395"/>
      <c r="S269" s="398"/>
      <c r="T269" s="399"/>
      <c r="U269" s="11"/>
      <c r="V269" s="11"/>
      <c r="W269" s="11"/>
      <c r="X269" s="11"/>
      <c r="Y269" s="11"/>
      <c r="Z269" s="402"/>
      <c r="AA269" s="402"/>
    </row>
    <row r="270" ht="13.5" customHeight="1">
      <c r="A270" s="11"/>
      <c r="B270" s="11"/>
      <c r="C270" s="11"/>
      <c r="D270" s="11"/>
      <c r="E270" s="11"/>
      <c r="F270" s="253"/>
      <c r="G270" s="253"/>
      <c r="H270" s="11"/>
      <c r="I270" s="429"/>
      <c r="J270" s="427"/>
      <c r="K270" s="395"/>
      <c r="L270" s="431"/>
      <c r="M270" s="11"/>
      <c r="N270" s="11"/>
      <c r="O270" s="71"/>
      <c r="P270" s="427"/>
      <c r="Q270" s="397"/>
      <c r="R270" s="395"/>
      <c r="S270" s="398"/>
      <c r="T270" s="399"/>
      <c r="U270" s="11"/>
      <c r="V270" s="11"/>
      <c r="W270" s="11"/>
      <c r="X270" s="11"/>
      <c r="Y270" s="11"/>
      <c r="Z270" s="402"/>
      <c r="AA270" s="402"/>
    </row>
    <row r="271" ht="13.5" customHeight="1">
      <c r="A271" s="11"/>
      <c r="B271" s="11"/>
      <c r="C271" s="11"/>
      <c r="D271" s="11"/>
      <c r="E271" s="11"/>
      <c r="F271" s="253"/>
      <c r="G271" s="253"/>
      <c r="H271" s="11"/>
      <c r="I271" s="429"/>
      <c r="J271" s="427"/>
      <c r="K271" s="395"/>
      <c r="L271" s="431"/>
      <c r="M271" s="11"/>
      <c r="N271" s="11"/>
      <c r="O271" s="71"/>
      <c r="P271" s="427"/>
      <c r="Q271" s="397"/>
      <c r="R271" s="395"/>
      <c r="S271" s="398"/>
      <c r="T271" s="399"/>
      <c r="U271" s="11"/>
      <c r="V271" s="11"/>
      <c r="W271" s="11"/>
      <c r="X271" s="11"/>
      <c r="Y271" s="11"/>
      <c r="Z271" s="402"/>
      <c r="AA271" s="402"/>
    </row>
    <row r="272" ht="13.5" customHeight="1">
      <c r="A272" s="11"/>
      <c r="B272" s="11"/>
      <c r="C272" s="11"/>
      <c r="D272" s="11"/>
      <c r="E272" s="11"/>
      <c r="F272" s="253"/>
      <c r="G272" s="253"/>
      <c r="H272" s="11"/>
      <c r="I272" s="429"/>
      <c r="J272" s="427"/>
      <c r="K272" s="395"/>
      <c r="L272" s="431"/>
      <c r="M272" s="11"/>
      <c r="N272" s="11"/>
      <c r="O272" s="71"/>
      <c r="P272" s="427"/>
      <c r="Q272" s="397"/>
      <c r="R272" s="395"/>
      <c r="S272" s="398"/>
      <c r="T272" s="399"/>
      <c r="U272" s="11"/>
      <c r="V272" s="11"/>
      <c r="W272" s="11"/>
      <c r="X272" s="11"/>
      <c r="Y272" s="11"/>
      <c r="Z272" s="402"/>
      <c r="AA272" s="402"/>
    </row>
    <row r="273" ht="13.5" customHeight="1">
      <c r="A273" s="11"/>
      <c r="B273" s="11"/>
      <c r="C273" s="11"/>
      <c r="D273" s="11"/>
      <c r="E273" s="11"/>
      <c r="F273" s="253"/>
      <c r="G273" s="253"/>
      <c r="H273" s="11"/>
      <c r="I273" s="429"/>
      <c r="J273" s="427"/>
      <c r="K273" s="395"/>
      <c r="L273" s="431"/>
      <c r="M273" s="11"/>
      <c r="N273" s="11"/>
      <c r="O273" s="71"/>
      <c r="P273" s="427"/>
      <c r="Q273" s="397"/>
      <c r="R273" s="395"/>
      <c r="S273" s="398"/>
      <c r="T273" s="399"/>
      <c r="U273" s="11"/>
      <c r="V273" s="11"/>
      <c r="W273" s="11"/>
      <c r="X273" s="11"/>
      <c r="Y273" s="11"/>
      <c r="Z273" s="402"/>
      <c r="AA273" s="402"/>
    </row>
    <row r="274" ht="13.5" customHeight="1">
      <c r="A274" s="11"/>
      <c r="B274" s="11"/>
      <c r="C274" s="11"/>
      <c r="D274" s="11"/>
      <c r="E274" s="11"/>
      <c r="F274" s="253"/>
      <c r="G274" s="253"/>
      <c r="H274" s="11"/>
      <c r="I274" s="429"/>
      <c r="J274" s="427"/>
      <c r="K274" s="395"/>
      <c r="L274" s="431"/>
      <c r="M274" s="11"/>
      <c r="N274" s="11"/>
      <c r="O274" s="71"/>
      <c r="P274" s="427"/>
      <c r="Q274" s="397"/>
      <c r="R274" s="395"/>
      <c r="S274" s="398"/>
      <c r="T274" s="399"/>
      <c r="U274" s="11"/>
      <c r="V274" s="11"/>
      <c r="W274" s="11"/>
      <c r="X274" s="11"/>
      <c r="Y274" s="11"/>
      <c r="Z274" s="402"/>
      <c r="AA274" s="402"/>
    </row>
    <row r="275" ht="13.5" customHeight="1">
      <c r="A275" s="11"/>
      <c r="B275" s="11"/>
      <c r="C275" s="11"/>
      <c r="D275" s="11"/>
      <c r="E275" s="11"/>
      <c r="F275" s="253"/>
      <c r="G275" s="253"/>
      <c r="H275" s="11"/>
      <c r="I275" s="429"/>
      <c r="J275" s="427"/>
      <c r="K275" s="395"/>
      <c r="L275" s="431"/>
      <c r="M275" s="11"/>
      <c r="N275" s="11"/>
      <c r="O275" s="71"/>
      <c r="P275" s="427"/>
      <c r="Q275" s="397"/>
      <c r="R275" s="395"/>
      <c r="S275" s="398"/>
      <c r="T275" s="399"/>
      <c r="U275" s="11"/>
      <c r="V275" s="11"/>
      <c r="W275" s="11"/>
      <c r="X275" s="11"/>
      <c r="Y275" s="11"/>
      <c r="Z275" s="402"/>
      <c r="AA275" s="402"/>
    </row>
    <row r="276" ht="13.5" customHeight="1">
      <c r="A276" s="11"/>
      <c r="B276" s="11"/>
      <c r="C276" s="11"/>
      <c r="D276" s="11"/>
      <c r="E276" s="11"/>
      <c r="F276" s="253"/>
      <c r="G276" s="253"/>
      <c r="H276" s="11"/>
      <c r="I276" s="429"/>
      <c r="J276" s="427"/>
      <c r="K276" s="395"/>
      <c r="L276" s="431"/>
      <c r="M276" s="11"/>
      <c r="N276" s="11"/>
      <c r="O276" s="71"/>
      <c r="P276" s="427"/>
      <c r="Q276" s="397"/>
      <c r="R276" s="395"/>
      <c r="S276" s="398"/>
      <c r="T276" s="399"/>
      <c r="U276" s="11"/>
      <c r="V276" s="11"/>
      <c r="W276" s="11"/>
      <c r="X276" s="11"/>
      <c r="Y276" s="11"/>
      <c r="Z276" s="402"/>
      <c r="AA276" s="402"/>
    </row>
    <row r="277" ht="13.5" customHeight="1">
      <c r="A277" s="11"/>
      <c r="B277" s="11"/>
      <c r="C277" s="11"/>
      <c r="D277" s="11"/>
      <c r="E277" s="11"/>
      <c r="F277" s="253"/>
      <c r="G277" s="253"/>
      <c r="H277" s="11"/>
      <c r="I277" s="429"/>
      <c r="J277" s="427"/>
      <c r="K277" s="395"/>
      <c r="L277" s="431"/>
      <c r="M277" s="11"/>
      <c r="N277" s="11"/>
      <c r="O277" s="71"/>
      <c r="P277" s="427"/>
      <c r="Q277" s="397"/>
      <c r="R277" s="395"/>
      <c r="S277" s="398"/>
      <c r="T277" s="399"/>
      <c r="U277" s="11"/>
      <c r="V277" s="11"/>
      <c r="W277" s="11"/>
      <c r="X277" s="11"/>
      <c r="Y277" s="11"/>
      <c r="Z277" s="402"/>
      <c r="AA277" s="402"/>
    </row>
    <row r="278" ht="13.5" customHeight="1">
      <c r="A278" s="11"/>
      <c r="B278" s="11"/>
      <c r="C278" s="11"/>
      <c r="D278" s="11"/>
      <c r="E278" s="11"/>
      <c r="F278" s="253"/>
      <c r="G278" s="253"/>
      <c r="H278" s="11"/>
      <c r="I278" s="429"/>
      <c r="J278" s="427"/>
      <c r="K278" s="395"/>
      <c r="L278" s="431"/>
      <c r="M278" s="11"/>
      <c r="N278" s="11"/>
      <c r="O278" s="71"/>
      <c r="P278" s="427"/>
      <c r="Q278" s="397"/>
      <c r="R278" s="395"/>
      <c r="S278" s="398"/>
      <c r="T278" s="399"/>
      <c r="U278" s="11"/>
      <c r="V278" s="11"/>
      <c r="W278" s="11"/>
      <c r="X278" s="11"/>
      <c r="Y278" s="11"/>
      <c r="Z278" s="402"/>
      <c r="AA278" s="402"/>
    </row>
    <row r="279" ht="13.5" customHeight="1">
      <c r="A279" s="11"/>
      <c r="B279" s="11"/>
      <c r="C279" s="11"/>
      <c r="D279" s="11"/>
      <c r="E279" s="11"/>
      <c r="F279" s="253"/>
      <c r="G279" s="253"/>
      <c r="H279" s="11"/>
      <c r="I279" s="429"/>
      <c r="J279" s="427"/>
      <c r="K279" s="395"/>
      <c r="L279" s="431"/>
      <c r="M279" s="11"/>
      <c r="N279" s="11"/>
      <c r="O279" s="71"/>
      <c r="P279" s="427"/>
      <c r="Q279" s="397"/>
      <c r="R279" s="395"/>
      <c r="S279" s="398"/>
      <c r="T279" s="399"/>
      <c r="U279" s="11"/>
      <c r="V279" s="11"/>
      <c r="W279" s="11"/>
      <c r="X279" s="11"/>
      <c r="Y279" s="11"/>
      <c r="Z279" s="402"/>
      <c r="AA279" s="402"/>
    </row>
    <row r="280" ht="13.5" customHeight="1">
      <c r="A280" s="11"/>
      <c r="B280" s="11"/>
      <c r="C280" s="11"/>
      <c r="D280" s="11"/>
      <c r="E280" s="11"/>
      <c r="F280" s="253"/>
      <c r="G280" s="253"/>
      <c r="H280" s="11"/>
      <c r="I280" s="429"/>
      <c r="J280" s="427"/>
      <c r="K280" s="395"/>
      <c r="L280" s="431"/>
      <c r="M280" s="11"/>
      <c r="N280" s="11"/>
      <c r="O280" s="71"/>
      <c r="P280" s="427"/>
      <c r="Q280" s="397"/>
      <c r="R280" s="395"/>
      <c r="S280" s="398"/>
      <c r="T280" s="399"/>
      <c r="U280" s="11"/>
      <c r="V280" s="11"/>
      <c r="W280" s="11"/>
      <c r="X280" s="11"/>
      <c r="Y280" s="11"/>
      <c r="Z280" s="402"/>
      <c r="AA280" s="402"/>
    </row>
    <row r="281" ht="13.5" customHeight="1">
      <c r="A281" s="11"/>
      <c r="B281" s="11"/>
      <c r="C281" s="11"/>
      <c r="D281" s="11"/>
      <c r="E281" s="11"/>
      <c r="F281" s="253"/>
      <c r="G281" s="253"/>
      <c r="H281" s="11"/>
      <c r="I281" s="429"/>
      <c r="J281" s="427"/>
      <c r="K281" s="395"/>
      <c r="L281" s="431"/>
      <c r="M281" s="11"/>
      <c r="N281" s="11"/>
      <c r="O281" s="71"/>
      <c r="P281" s="427"/>
      <c r="Q281" s="397"/>
      <c r="R281" s="395"/>
      <c r="S281" s="398"/>
      <c r="T281" s="399"/>
      <c r="U281" s="11"/>
      <c r="V281" s="11"/>
      <c r="W281" s="11"/>
      <c r="X281" s="11"/>
      <c r="Y281" s="11"/>
      <c r="Z281" s="402"/>
      <c r="AA281" s="402"/>
    </row>
    <row r="282" ht="13.5" customHeight="1">
      <c r="A282" s="11"/>
      <c r="B282" s="11"/>
      <c r="C282" s="11"/>
      <c r="D282" s="11"/>
      <c r="E282" s="11"/>
      <c r="F282" s="253"/>
      <c r="G282" s="253"/>
      <c r="H282" s="11"/>
      <c r="I282" s="429"/>
      <c r="J282" s="427"/>
      <c r="K282" s="395"/>
      <c r="L282" s="431"/>
      <c r="M282" s="11"/>
      <c r="N282" s="11"/>
      <c r="O282" s="71"/>
      <c r="P282" s="427"/>
      <c r="Q282" s="397"/>
      <c r="R282" s="395"/>
      <c r="S282" s="398"/>
      <c r="T282" s="399"/>
      <c r="U282" s="11"/>
      <c r="V282" s="11"/>
      <c r="W282" s="11"/>
      <c r="X282" s="11"/>
      <c r="Y282" s="11"/>
      <c r="Z282" s="402"/>
      <c r="AA282" s="402"/>
    </row>
    <row r="283" ht="13.5" customHeight="1">
      <c r="A283" s="11"/>
      <c r="B283" s="11"/>
      <c r="C283" s="11"/>
      <c r="D283" s="11"/>
      <c r="E283" s="11"/>
      <c r="F283" s="253"/>
      <c r="G283" s="253"/>
      <c r="H283" s="11"/>
      <c r="I283" s="429"/>
      <c r="J283" s="427"/>
      <c r="K283" s="395"/>
      <c r="L283" s="431"/>
      <c r="M283" s="11"/>
      <c r="N283" s="11"/>
      <c r="O283" s="71"/>
      <c r="P283" s="427"/>
      <c r="Q283" s="397"/>
      <c r="R283" s="395"/>
      <c r="S283" s="398"/>
      <c r="T283" s="399"/>
      <c r="U283" s="11"/>
      <c r="V283" s="11"/>
      <c r="W283" s="11"/>
      <c r="X283" s="11"/>
      <c r="Y283" s="11"/>
      <c r="Z283" s="402"/>
      <c r="AA283" s="402"/>
    </row>
    <row r="284" ht="13.5" customHeight="1">
      <c r="A284" s="11"/>
      <c r="B284" s="11"/>
      <c r="C284" s="11"/>
      <c r="D284" s="11"/>
      <c r="E284" s="11"/>
      <c r="F284" s="253"/>
      <c r="G284" s="253"/>
      <c r="H284" s="11"/>
      <c r="I284" s="429"/>
      <c r="J284" s="427"/>
      <c r="K284" s="395"/>
      <c r="L284" s="431"/>
      <c r="M284" s="11"/>
      <c r="N284" s="11"/>
      <c r="O284" s="71"/>
      <c r="P284" s="427"/>
      <c r="Q284" s="397"/>
      <c r="R284" s="395"/>
      <c r="S284" s="398"/>
      <c r="T284" s="399"/>
      <c r="U284" s="11"/>
      <c r="V284" s="11"/>
      <c r="W284" s="11"/>
      <c r="X284" s="11"/>
      <c r="Y284" s="11"/>
      <c r="Z284" s="402"/>
      <c r="AA284" s="402"/>
    </row>
    <row r="285" ht="13.5" customHeight="1">
      <c r="A285" s="11"/>
      <c r="B285" s="11"/>
      <c r="C285" s="11"/>
      <c r="D285" s="11"/>
      <c r="E285" s="11"/>
      <c r="F285" s="253"/>
      <c r="G285" s="253"/>
      <c r="H285" s="11"/>
      <c r="I285" s="429"/>
      <c r="J285" s="427"/>
      <c r="K285" s="395"/>
      <c r="L285" s="431"/>
      <c r="M285" s="11"/>
      <c r="N285" s="11"/>
      <c r="O285" s="71"/>
      <c r="P285" s="427"/>
      <c r="Q285" s="397"/>
      <c r="R285" s="395"/>
      <c r="S285" s="398"/>
      <c r="T285" s="399"/>
      <c r="U285" s="11"/>
      <c r="V285" s="11"/>
      <c r="W285" s="11"/>
      <c r="X285" s="11"/>
      <c r="Y285" s="11"/>
      <c r="Z285" s="402"/>
      <c r="AA285" s="402"/>
    </row>
    <row r="286" ht="13.5" customHeight="1">
      <c r="A286" s="11"/>
      <c r="B286" s="11"/>
      <c r="C286" s="11"/>
      <c r="D286" s="11"/>
      <c r="E286" s="11"/>
      <c r="F286" s="253"/>
      <c r="G286" s="253"/>
      <c r="H286" s="11"/>
      <c r="I286" s="429"/>
      <c r="J286" s="427"/>
      <c r="K286" s="395"/>
      <c r="L286" s="431"/>
      <c r="M286" s="11"/>
      <c r="N286" s="11"/>
      <c r="O286" s="71"/>
      <c r="P286" s="427"/>
      <c r="Q286" s="397"/>
      <c r="R286" s="395"/>
      <c r="S286" s="398"/>
      <c r="T286" s="399"/>
      <c r="U286" s="11"/>
      <c r="V286" s="11"/>
      <c r="W286" s="11"/>
      <c r="X286" s="11"/>
      <c r="Y286" s="11"/>
      <c r="Z286" s="402"/>
      <c r="AA286" s="402"/>
    </row>
    <row r="287" ht="13.5" customHeight="1">
      <c r="A287" s="11"/>
      <c r="B287" s="11"/>
      <c r="C287" s="11"/>
      <c r="D287" s="11"/>
      <c r="E287" s="11"/>
      <c r="F287" s="253"/>
      <c r="G287" s="253"/>
      <c r="H287" s="11"/>
      <c r="I287" s="429"/>
      <c r="J287" s="427"/>
      <c r="K287" s="395"/>
      <c r="L287" s="431"/>
      <c r="M287" s="11"/>
      <c r="N287" s="11"/>
      <c r="O287" s="71"/>
      <c r="P287" s="427"/>
      <c r="Q287" s="397"/>
      <c r="R287" s="395"/>
      <c r="S287" s="398"/>
      <c r="T287" s="399"/>
      <c r="U287" s="11"/>
      <c r="V287" s="11"/>
      <c r="W287" s="11"/>
      <c r="X287" s="11"/>
      <c r="Y287" s="11"/>
      <c r="Z287" s="402"/>
      <c r="AA287" s="402"/>
    </row>
    <row r="288" ht="13.5" customHeight="1">
      <c r="A288" s="11"/>
      <c r="B288" s="11"/>
      <c r="C288" s="11"/>
      <c r="D288" s="11"/>
      <c r="E288" s="11"/>
      <c r="F288" s="253"/>
      <c r="G288" s="253"/>
      <c r="H288" s="11"/>
      <c r="I288" s="429"/>
      <c r="J288" s="427"/>
      <c r="K288" s="395"/>
      <c r="L288" s="431"/>
      <c r="M288" s="11"/>
      <c r="N288" s="11"/>
      <c r="O288" s="71"/>
      <c r="P288" s="427"/>
      <c r="Q288" s="397"/>
      <c r="R288" s="395"/>
      <c r="S288" s="398"/>
      <c r="T288" s="399"/>
      <c r="U288" s="11"/>
      <c r="V288" s="11"/>
      <c r="W288" s="11"/>
      <c r="X288" s="11"/>
      <c r="Y288" s="11"/>
      <c r="Z288" s="402"/>
      <c r="AA288" s="402"/>
    </row>
    <row r="289" ht="13.5" customHeight="1">
      <c r="A289" s="11"/>
      <c r="B289" s="11"/>
      <c r="C289" s="11"/>
      <c r="D289" s="11"/>
      <c r="E289" s="11"/>
      <c r="F289" s="253"/>
      <c r="G289" s="253"/>
      <c r="H289" s="11"/>
      <c r="I289" s="429"/>
      <c r="J289" s="427"/>
      <c r="K289" s="395"/>
      <c r="L289" s="431"/>
      <c r="M289" s="11"/>
      <c r="N289" s="11"/>
      <c r="O289" s="71"/>
      <c r="P289" s="427"/>
      <c r="Q289" s="397"/>
      <c r="R289" s="395"/>
      <c r="S289" s="398"/>
      <c r="T289" s="399"/>
      <c r="U289" s="11"/>
      <c r="V289" s="11"/>
      <c r="W289" s="11"/>
      <c r="X289" s="11"/>
      <c r="Y289" s="11"/>
      <c r="Z289" s="402"/>
      <c r="AA289" s="402"/>
    </row>
    <row r="290" ht="13.5" customHeight="1">
      <c r="A290" s="11"/>
      <c r="B290" s="11"/>
      <c r="C290" s="11"/>
      <c r="D290" s="11"/>
      <c r="E290" s="11"/>
      <c r="F290" s="253"/>
      <c r="G290" s="253"/>
      <c r="H290" s="11"/>
      <c r="I290" s="429"/>
      <c r="J290" s="427"/>
      <c r="K290" s="395"/>
      <c r="L290" s="431"/>
      <c r="M290" s="11"/>
      <c r="N290" s="11"/>
      <c r="O290" s="71"/>
      <c r="P290" s="427"/>
      <c r="Q290" s="397"/>
      <c r="R290" s="395"/>
      <c r="S290" s="398"/>
      <c r="T290" s="399"/>
      <c r="U290" s="11"/>
      <c r="V290" s="11"/>
      <c r="W290" s="11"/>
      <c r="X290" s="11"/>
      <c r="Y290" s="11"/>
      <c r="Z290" s="402"/>
      <c r="AA290" s="402"/>
    </row>
    <row r="291" ht="13.5" customHeight="1">
      <c r="A291" s="11"/>
      <c r="B291" s="11"/>
      <c r="C291" s="11"/>
      <c r="D291" s="11"/>
      <c r="E291" s="11"/>
      <c r="F291" s="253"/>
      <c r="G291" s="253"/>
      <c r="H291" s="11"/>
      <c r="I291" s="429"/>
      <c r="J291" s="427"/>
      <c r="K291" s="395"/>
      <c r="L291" s="431"/>
      <c r="M291" s="11"/>
      <c r="N291" s="11"/>
      <c r="O291" s="71"/>
      <c r="P291" s="427"/>
      <c r="Q291" s="397"/>
      <c r="R291" s="395"/>
      <c r="S291" s="398"/>
      <c r="T291" s="399"/>
      <c r="U291" s="11"/>
      <c r="V291" s="11"/>
      <c r="W291" s="11"/>
      <c r="X291" s="11"/>
      <c r="Y291" s="11"/>
      <c r="Z291" s="402"/>
      <c r="AA291" s="402"/>
    </row>
    <row r="292" ht="13.5" customHeight="1">
      <c r="A292" s="11"/>
      <c r="B292" s="11"/>
      <c r="C292" s="11"/>
      <c r="D292" s="11"/>
      <c r="E292" s="11"/>
      <c r="F292" s="253"/>
      <c r="G292" s="253"/>
      <c r="H292" s="11"/>
      <c r="I292" s="429"/>
      <c r="J292" s="427"/>
      <c r="K292" s="395"/>
      <c r="L292" s="431"/>
      <c r="M292" s="11"/>
      <c r="N292" s="11"/>
      <c r="O292" s="71"/>
      <c r="P292" s="427"/>
      <c r="Q292" s="397"/>
      <c r="R292" s="395"/>
      <c r="S292" s="398"/>
      <c r="T292" s="399"/>
      <c r="U292" s="11"/>
      <c r="V292" s="11"/>
      <c r="W292" s="11"/>
      <c r="X292" s="11"/>
      <c r="Y292" s="11"/>
      <c r="Z292" s="402"/>
      <c r="AA292" s="402"/>
    </row>
    <row r="293" ht="13.5" customHeight="1">
      <c r="A293" s="11"/>
      <c r="B293" s="11"/>
      <c r="C293" s="11"/>
      <c r="D293" s="11"/>
      <c r="E293" s="11"/>
      <c r="F293" s="253"/>
      <c r="G293" s="253"/>
      <c r="H293" s="11"/>
      <c r="I293" s="429"/>
      <c r="J293" s="427"/>
      <c r="K293" s="395"/>
      <c r="L293" s="431"/>
      <c r="M293" s="11"/>
      <c r="N293" s="11"/>
      <c r="O293" s="71"/>
      <c r="P293" s="427"/>
      <c r="Q293" s="397"/>
      <c r="R293" s="395"/>
      <c r="S293" s="398"/>
      <c r="T293" s="399"/>
      <c r="U293" s="11"/>
      <c r="V293" s="11"/>
      <c r="W293" s="11"/>
      <c r="X293" s="11"/>
      <c r="Y293" s="11"/>
      <c r="Z293" s="402"/>
      <c r="AA293" s="402"/>
    </row>
    <row r="294" ht="13.5" customHeight="1">
      <c r="A294" s="11"/>
      <c r="B294" s="11"/>
      <c r="C294" s="11"/>
      <c r="D294" s="11"/>
      <c r="E294" s="11"/>
      <c r="F294" s="253"/>
      <c r="G294" s="253"/>
      <c r="H294" s="11"/>
      <c r="I294" s="429"/>
      <c r="J294" s="427"/>
      <c r="K294" s="395"/>
      <c r="L294" s="431"/>
      <c r="M294" s="11"/>
      <c r="N294" s="11"/>
      <c r="O294" s="71"/>
      <c r="P294" s="427"/>
      <c r="Q294" s="397"/>
      <c r="R294" s="395"/>
      <c r="S294" s="398"/>
      <c r="T294" s="399"/>
      <c r="U294" s="11"/>
      <c r="V294" s="11"/>
      <c r="W294" s="11"/>
      <c r="X294" s="11"/>
      <c r="Y294" s="11"/>
      <c r="Z294" s="402"/>
      <c r="AA294" s="402"/>
    </row>
    <row r="295" ht="13.5" customHeight="1">
      <c r="A295" s="11"/>
      <c r="B295" s="11"/>
      <c r="C295" s="11"/>
      <c r="D295" s="11"/>
      <c r="E295" s="11"/>
      <c r="F295" s="253"/>
      <c r="G295" s="253"/>
      <c r="H295" s="11"/>
      <c r="I295" s="429"/>
      <c r="J295" s="427"/>
      <c r="K295" s="395"/>
      <c r="L295" s="431"/>
      <c r="M295" s="11"/>
      <c r="N295" s="11"/>
      <c r="O295" s="71"/>
      <c r="P295" s="427"/>
      <c r="Q295" s="397"/>
      <c r="R295" s="395"/>
      <c r="S295" s="398"/>
      <c r="T295" s="399"/>
      <c r="U295" s="11"/>
      <c r="V295" s="11"/>
      <c r="W295" s="11"/>
      <c r="X295" s="11"/>
      <c r="Y295" s="11"/>
      <c r="Z295" s="402"/>
      <c r="AA295" s="402"/>
    </row>
    <row r="296" ht="13.5" customHeight="1">
      <c r="A296" s="11"/>
      <c r="B296" s="11"/>
      <c r="C296" s="11"/>
      <c r="D296" s="11"/>
      <c r="E296" s="11"/>
      <c r="F296" s="253"/>
      <c r="G296" s="253"/>
      <c r="H296" s="11"/>
      <c r="I296" s="429"/>
      <c r="J296" s="427"/>
      <c r="K296" s="395"/>
      <c r="L296" s="431"/>
      <c r="M296" s="11"/>
      <c r="N296" s="11"/>
      <c r="O296" s="71"/>
      <c r="P296" s="427"/>
      <c r="Q296" s="397"/>
      <c r="R296" s="395"/>
      <c r="S296" s="398"/>
      <c r="T296" s="399"/>
      <c r="U296" s="11"/>
      <c r="V296" s="11"/>
      <c r="W296" s="11"/>
      <c r="X296" s="11"/>
      <c r="Y296" s="11"/>
      <c r="Z296" s="402"/>
      <c r="AA296" s="402"/>
    </row>
    <row r="297" ht="13.5" customHeight="1">
      <c r="A297" s="11"/>
      <c r="B297" s="11"/>
      <c r="C297" s="11"/>
      <c r="D297" s="11"/>
      <c r="E297" s="11"/>
      <c r="F297" s="253"/>
      <c r="G297" s="253"/>
      <c r="H297" s="11"/>
      <c r="I297" s="429"/>
      <c r="J297" s="427"/>
      <c r="K297" s="395"/>
      <c r="L297" s="431"/>
      <c r="M297" s="11"/>
      <c r="N297" s="11"/>
      <c r="O297" s="71"/>
      <c r="P297" s="427"/>
      <c r="Q297" s="397"/>
      <c r="R297" s="395"/>
      <c r="S297" s="398"/>
      <c r="T297" s="399"/>
      <c r="U297" s="11"/>
      <c r="V297" s="11"/>
      <c r="W297" s="11"/>
      <c r="X297" s="11"/>
      <c r="Y297" s="11"/>
      <c r="Z297" s="402"/>
      <c r="AA297" s="402"/>
    </row>
    <row r="298" ht="13.5" customHeight="1">
      <c r="A298" s="11"/>
      <c r="B298" s="11"/>
      <c r="C298" s="11"/>
      <c r="D298" s="11"/>
      <c r="E298" s="11"/>
      <c r="F298" s="253"/>
      <c r="G298" s="253"/>
      <c r="H298" s="11"/>
      <c r="I298" s="429"/>
      <c r="J298" s="427"/>
      <c r="K298" s="395"/>
      <c r="L298" s="431"/>
      <c r="M298" s="11"/>
      <c r="N298" s="11"/>
      <c r="O298" s="71"/>
      <c r="P298" s="427"/>
      <c r="Q298" s="397"/>
      <c r="R298" s="395"/>
      <c r="S298" s="398"/>
      <c r="T298" s="399"/>
      <c r="U298" s="11"/>
      <c r="V298" s="11"/>
      <c r="W298" s="11"/>
      <c r="X298" s="11"/>
      <c r="Y298" s="11"/>
      <c r="Z298" s="402"/>
      <c r="AA298" s="402"/>
    </row>
    <row r="299" ht="13.5" customHeight="1">
      <c r="A299" s="11"/>
      <c r="B299" s="11"/>
      <c r="C299" s="11"/>
      <c r="D299" s="11"/>
      <c r="E299" s="11"/>
      <c r="F299" s="253"/>
      <c r="G299" s="253"/>
      <c r="H299" s="11"/>
      <c r="I299" s="429"/>
      <c r="J299" s="427"/>
      <c r="K299" s="395"/>
      <c r="L299" s="431"/>
      <c r="M299" s="11"/>
      <c r="N299" s="11"/>
      <c r="O299" s="71"/>
      <c r="P299" s="427"/>
      <c r="Q299" s="397"/>
      <c r="R299" s="395"/>
      <c r="S299" s="398"/>
      <c r="T299" s="399"/>
      <c r="U299" s="11"/>
      <c r="V299" s="11"/>
      <c r="W299" s="11"/>
      <c r="X299" s="11"/>
      <c r="Y299" s="11"/>
      <c r="Z299" s="402"/>
      <c r="AA299" s="402"/>
    </row>
    <row r="300" ht="13.5" customHeight="1">
      <c r="A300" s="11"/>
      <c r="B300" s="11"/>
      <c r="C300" s="11"/>
      <c r="D300" s="11"/>
      <c r="E300" s="11"/>
      <c r="F300" s="253"/>
      <c r="G300" s="253"/>
      <c r="H300" s="11"/>
      <c r="I300" s="429"/>
      <c r="J300" s="427"/>
      <c r="K300" s="395"/>
      <c r="L300" s="431"/>
      <c r="M300" s="11"/>
      <c r="N300" s="11"/>
      <c r="O300" s="71"/>
      <c r="P300" s="427"/>
      <c r="Q300" s="397"/>
      <c r="R300" s="395"/>
      <c r="S300" s="398"/>
      <c r="T300" s="399"/>
      <c r="U300" s="11"/>
      <c r="V300" s="11"/>
      <c r="W300" s="11"/>
      <c r="X300" s="11"/>
      <c r="Y300" s="11"/>
      <c r="Z300" s="402"/>
      <c r="AA300" s="402"/>
    </row>
    <row r="301" ht="13.5" customHeight="1">
      <c r="A301" s="11"/>
      <c r="B301" s="11"/>
      <c r="C301" s="11"/>
      <c r="D301" s="11"/>
      <c r="E301" s="11"/>
      <c r="F301" s="253"/>
      <c r="G301" s="253"/>
      <c r="H301" s="11"/>
      <c r="I301" s="429"/>
      <c r="J301" s="427"/>
      <c r="K301" s="395"/>
      <c r="L301" s="431"/>
      <c r="M301" s="11"/>
      <c r="N301" s="11"/>
      <c r="O301" s="71"/>
      <c r="P301" s="427"/>
      <c r="Q301" s="397"/>
      <c r="R301" s="395"/>
      <c r="S301" s="398"/>
      <c r="T301" s="399"/>
      <c r="U301" s="11"/>
      <c r="V301" s="11"/>
      <c r="W301" s="11"/>
      <c r="X301" s="11"/>
      <c r="Y301" s="11"/>
      <c r="Z301" s="402"/>
      <c r="AA301" s="402"/>
    </row>
    <row r="302" ht="13.5" customHeight="1">
      <c r="A302" s="11"/>
      <c r="B302" s="11"/>
      <c r="C302" s="11"/>
      <c r="D302" s="11"/>
      <c r="E302" s="11"/>
      <c r="F302" s="253"/>
      <c r="G302" s="253"/>
      <c r="H302" s="11"/>
      <c r="I302" s="429"/>
      <c r="J302" s="427"/>
      <c r="K302" s="395"/>
      <c r="L302" s="431"/>
      <c r="M302" s="11"/>
      <c r="N302" s="11"/>
      <c r="O302" s="71"/>
      <c r="P302" s="427"/>
      <c r="Q302" s="397"/>
      <c r="R302" s="395"/>
      <c r="S302" s="398"/>
      <c r="T302" s="399"/>
      <c r="U302" s="11"/>
      <c r="V302" s="11"/>
      <c r="W302" s="11"/>
      <c r="X302" s="11"/>
      <c r="Y302" s="11"/>
      <c r="Z302" s="402"/>
      <c r="AA302" s="402"/>
    </row>
    <row r="303" ht="13.5" customHeight="1">
      <c r="A303" s="11"/>
      <c r="B303" s="11"/>
      <c r="C303" s="11"/>
      <c r="D303" s="11"/>
      <c r="E303" s="11"/>
      <c r="F303" s="253"/>
      <c r="G303" s="253"/>
      <c r="H303" s="11"/>
      <c r="I303" s="429"/>
      <c r="J303" s="427"/>
      <c r="K303" s="395"/>
      <c r="L303" s="431"/>
      <c r="M303" s="11"/>
      <c r="N303" s="11"/>
      <c r="O303" s="71"/>
      <c r="P303" s="427"/>
      <c r="Q303" s="397"/>
      <c r="R303" s="395"/>
      <c r="S303" s="398"/>
      <c r="T303" s="399"/>
      <c r="U303" s="11"/>
      <c r="V303" s="11"/>
      <c r="W303" s="11"/>
      <c r="X303" s="11"/>
      <c r="Y303" s="11"/>
      <c r="Z303" s="402"/>
      <c r="AA303" s="402"/>
    </row>
    <row r="304" ht="13.5" customHeight="1">
      <c r="A304" s="11"/>
      <c r="B304" s="11"/>
      <c r="C304" s="11"/>
      <c r="D304" s="11"/>
      <c r="E304" s="11"/>
      <c r="F304" s="253"/>
      <c r="G304" s="253"/>
      <c r="H304" s="11"/>
      <c r="I304" s="429"/>
      <c r="J304" s="427"/>
      <c r="K304" s="395"/>
      <c r="L304" s="431"/>
      <c r="M304" s="11"/>
      <c r="N304" s="11"/>
      <c r="O304" s="71"/>
      <c r="P304" s="427"/>
      <c r="Q304" s="397"/>
      <c r="R304" s="395"/>
      <c r="S304" s="398"/>
      <c r="T304" s="399"/>
      <c r="U304" s="11"/>
      <c r="V304" s="11"/>
      <c r="W304" s="11"/>
      <c r="X304" s="11"/>
      <c r="Y304" s="11"/>
      <c r="Z304" s="402"/>
      <c r="AA304" s="402"/>
    </row>
    <row r="305" ht="13.5" customHeight="1">
      <c r="A305" s="11"/>
      <c r="B305" s="11"/>
      <c r="C305" s="11"/>
      <c r="D305" s="11"/>
      <c r="E305" s="11"/>
      <c r="F305" s="253"/>
      <c r="G305" s="253"/>
      <c r="H305" s="11"/>
      <c r="I305" s="429"/>
      <c r="J305" s="427"/>
      <c r="K305" s="395"/>
      <c r="L305" s="431"/>
      <c r="M305" s="11"/>
      <c r="N305" s="11"/>
      <c r="O305" s="71"/>
      <c r="P305" s="427"/>
      <c r="Q305" s="397"/>
      <c r="R305" s="395"/>
      <c r="S305" s="398"/>
      <c r="T305" s="399"/>
      <c r="U305" s="11"/>
      <c r="V305" s="11"/>
      <c r="W305" s="11"/>
      <c r="X305" s="11"/>
      <c r="Y305" s="11"/>
      <c r="Z305" s="402"/>
      <c r="AA305" s="402"/>
    </row>
    <row r="306" ht="13.5" customHeight="1">
      <c r="A306" s="11"/>
      <c r="B306" s="11"/>
      <c r="C306" s="11"/>
      <c r="D306" s="11"/>
      <c r="E306" s="11"/>
      <c r="F306" s="253"/>
      <c r="G306" s="253"/>
      <c r="H306" s="11"/>
      <c r="I306" s="429"/>
      <c r="J306" s="427"/>
      <c r="K306" s="395"/>
      <c r="L306" s="431"/>
      <c r="M306" s="11"/>
      <c r="N306" s="11"/>
      <c r="O306" s="71"/>
      <c r="P306" s="427"/>
      <c r="Q306" s="397"/>
      <c r="R306" s="395"/>
      <c r="S306" s="398"/>
      <c r="T306" s="399"/>
      <c r="U306" s="11"/>
      <c r="V306" s="11"/>
      <c r="W306" s="11"/>
      <c r="X306" s="11"/>
      <c r="Y306" s="11"/>
      <c r="Z306" s="402"/>
      <c r="AA306" s="402"/>
    </row>
    <row r="307" ht="13.5" customHeight="1">
      <c r="A307" s="11"/>
      <c r="B307" s="11"/>
      <c r="C307" s="11"/>
      <c r="D307" s="11"/>
      <c r="E307" s="11"/>
      <c r="F307" s="253"/>
      <c r="G307" s="253"/>
      <c r="H307" s="11"/>
      <c r="I307" s="429"/>
      <c r="J307" s="427"/>
      <c r="K307" s="395"/>
      <c r="L307" s="431"/>
      <c r="M307" s="11"/>
      <c r="N307" s="11"/>
      <c r="O307" s="71"/>
      <c r="P307" s="427"/>
      <c r="Q307" s="397"/>
      <c r="R307" s="395"/>
      <c r="S307" s="398"/>
      <c r="T307" s="399"/>
      <c r="U307" s="11"/>
      <c r="V307" s="11"/>
      <c r="W307" s="11"/>
      <c r="X307" s="11"/>
      <c r="Y307" s="11"/>
      <c r="Z307" s="402"/>
      <c r="AA307" s="402"/>
    </row>
    <row r="308" ht="13.5" customHeight="1">
      <c r="A308" s="11"/>
      <c r="B308" s="11"/>
      <c r="C308" s="11"/>
      <c r="D308" s="11"/>
      <c r="E308" s="11"/>
      <c r="F308" s="253"/>
      <c r="G308" s="253"/>
      <c r="H308" s="11"/>
      <c r="I308" s="429"/>
      <c r="J308" s="427"/>
      <c r="K308" s="395"/>
      <c r="L308" s="431"/>
      <c r="M308" s="11"/>
      <c r="N308" s="11"/>
      <c r="O308" s="71"/>
      <c r="P308" s="427"/>
      <c r="Q308" s="397"/>
      <c r="R308" s="395"/>
      <c r="S308" s="398"/>
      <c r="T308" s="399"/>
      <c r="U308" s="11"/>
      <c r="V308" s="11"/>
      <c r="W308" s="11"/>
      <c r="X308" s="11"/>
      <c r="Y308" s="11"/>
      <c r="Z308" s="402"/>
      <c r="AA308" s="402"/>
    </row>
    <row r="309" ht="13.5" customHeight="1">
      <c r="A309" s="11"/>
      <c r="B309" s="11"/>
      <c r="C309" s="11"/>
      <c r="D309" s="11"/>
      <c r="E309" s="11"/>
      <c r="F309" s="253"/>
      <c r="G309" s="253"/>
      <c r="H309" s="11"/>
      <c r="I309" s="429"/>
      <c r="J309" s="427"/>
      <c r="K309" s="395"/>
      <c r="L309" s="431"/>
      <c r="M309" s="11"/>
      <c r="N309" s="11"/>
      <c r="O309" s="71"/>
      <c r="P309" s="427"/>
      <c r="Q309" s="397"/>
      <c r="R309" s="395"/>
      <c r="S309" s="398"/>
      <c r="T309" s="399"/>
      <c r="U309" s="11"/>
      <c r="V309" s="11"/>
      <c r="W309" s="11"/>
      <c r="X309" s="11"/>
      <c r="Y309" s="11"/>
      <c r="Z309" s="402"/>
      <c r="AA309" s="402"/>
    </row>
    <row r="310" ht="13.5" customHeight="1">
      <c r="A310" s="11"/>
      <c r="B310" s="11"/>
      <c r="C310" s="11"/>
      <c r="D310" s="11"/>
      <c r="E310" s="11"/>
      <c r="F310" s="253"/>
      <c r="G310" s="253"/>
      <c r="H310" s="11"/>
      <c r="I310" s="429"/>
      <c r="J310" s="427"/>
      <c r="K310" s="395"/>
      <c r="L310" s="431"/>
      <c r="M310" s="11"/>
      <c r="N310" s="11"/>
      <c r="O310" s="71"/>
      <c r="P310" s="427"/>
      <c r="Q310" s="397"/>
      <c r="R310" s="395"/>
      <c r="S310" s="398"/>
      <c r="T310" s="399"/>
      <c r="U310" s="11"/>
      <c r="V310" s="11"/>
      <c r="W310" s="11"/>
      <c r="X310" s="11"/>
      <c r="Y310" s="11"/>
      <c r="Z310" s="402"/>
      <c r="AA310" s="402"/>
    </row>
    <row r="311" ht="13.5" customHeight="1">
      <c r="A311" s="11"/>
      <c r="B311" s="11"/>
      <c r="C311" s="11"/>
      <c r="D311" s="11"/>
      <c r="E311" s="11"/>
      <c r="F311" s="253"/>
      <c r="G311" s="253"/>
      <c r="H311" s="11"/>
      <c r="I311" s="429"/>
      <c r="J311" s="427"/>
      <c r="K311" s="395"/>
      <c r="L311" s="431"/>
      <c r="M311" s="11"/>
      <c r="N311" s="11"/>
      <c r="O311" s="71"/>
      <c r="P311" s="427"/>
      <c r="Q311" s="397"/>
      <c r="R311" s="395"/>
      <c r="S311" s="398"/>
      <c r="T311" s="399"/>
      <c r="U311" s="11"/>
      <c r="V311" s="11"/>
      <c r="W311" s="11"/>
      <c r="X311" s="11"/>
      <c r="Y311" s="11"/>
      <c r="Z311" s="402"/>
      <c r="AA311" s="402"/>
    </row>
    <row r="312" ht="13.5" customHeight="1">
      <c r="A312" s="11"/>
      <c r="B312" s="11"/>
      <c r="C312" s="11"/>
      <c r="D312" s="11"/>
      <c r="E312" s="11"/>
      <c r="F312" s="253"/>
      <c r="G312" s="253"/>
      <c r="H312" s="11"/>
      <c r="I312" s="429"/>
      <c r="J312" s="427"/>
      <c r="K312" s="395"/>
      <c r="L312" s="431"/>
      <c r="M312" s="11"/>
      <c r="N312" s="11"/>
      <c r="O312" s="71"/>
      <c r="P312" s="427"/>
      <c r="Q312" s="397"/>
      <c r="R312" s="395"/>
      <c r="S312" s="398"/>
      <c r="T312" s="399"/>
      <c r="U312" s="11"/>
      <c r="V312" s="11"/>
      <c r="W312" s="11"/>
      <c r="X312" s="11"/>
      <c r="Y312" s="11"/>
      <c r="Z312" s="402"/>
      <c r="AA312" s="402"/>
    </row>
    <row r="313" ht="13.5" customHeight="1">
      <c r="A313" s="11"/>
      <c r="B313" s="11"/>
      <c r="C313" s="11"/>
      <c r="D313" s="11"/>
      <c r="E313" s="11"/>
      <c r="F313" s="253"/>
      <c r="G313" s="253"/>
      <c r="H313" s="11"/>
      <c r="I313" s="429"/>
      <c r="J313" s="427"/>
      <c r="K313" s="395"/>
      <c r="L313" s="431"/>
      <c r="M313" s="11"/>
      <c r="N313" s="11"/>
      <c r="O313" s="71"/>
      <c r="P313" s="427"/>
      <c r="Q313" s="397"/>
      <c r="R313" s="395"/>
      <c r="S313" s="398"/>
      <c r="T313" s="399"/>
      <c r="U313" s="11"/>
      <c r="V313" s="11"/>
      <c r="W313" s="11"/>
      <c r="X313" s="11"/>
      <c r="Y313" s="11"/>
      <c r="Z313" s="402"/>
      <c r="AA313" s="402"/>
    </row>
    <row r="314" ht="13.5" customHeight="1">
      <c r="A314" s="11"/>
      <c r="B314" s="11"/>
      <c r="C314" s="11"/>
      <c r="D314" s="11"/>
      <c r="E314" s="11"/>
      <c r="F314" s="253"/>
      <c r="G314" s="253"/>
      <c r="H314" s="11"/>
      <c r="I314" s="429"/>
      <c r="J314" s="427"/>
      <c r="K314" s="395"/>
      <c r="L314" s="431"/>
      <c r="M314" s="11"/>
      <c r="N314" s="11"/>
      <c r="O314" s="71"/>
      <c r="P314" s="427"/>
      <c r="Q314" s="397"/>
      <c r="R314" s="395"/>
      <c r="S314" s="398"/>
      <c r="T314" s="399"/>
      <c r="U314" s="11"/>
      <c r="V314" s="11"/>
      <c r="W314" s="11"/>
      <c r="X314" s="11"/>
      <c r="Y314" s="11"/>
      <c r="Z314" s="402"/>
      <c r="AA314" s="402"/>
    </row>
    <row r="315" ht="13.5" customHeight="1">
      <c r="A315" s="11"/>
      <c r="B315" s="11"/>
      <c r="C315" s="11"/>
      <c r="D315" s="11"/>
      <c r="E315" s="11"/>
      <c r="F315" s="253"/>
      <c r="G315" s="253"/>
      <c r="H315" s="11"/>
      <c r="I315" s="429"/>
      <c r="J315" s="427"/>
      <c r="K315" s="395"/>
      <c r="L315" s="431"/>
      <c r="M315" s="11"/>
      <c r="N315" s="11"/>
      <c r="O315" s="71"/>
      <c r="P315" s="427"/>
      <c r="Q315" s="397"/>
      <c r="R315" s="395"/>
      <c r="S315" s="398"/>
      <c r="T315" s="399"/>
      <c r="U315" s="11"/>
      <c r="V315" s="11"/>
      <c r="W315" s="11"/>
      <c r="X315" s="11"/>
      <c r="Y315" s="11"/>
      <c r="Z315" s="402"/>
      <c r="AA315" s="402"/>
    </row>
    <row r="316" ht="13.5" customHeight="1">
      <c r="A316" s="11"/>
      <c r="B316" s="11"/>
      <c r="C316" s="11"/>
      <c r="D316" s="11"/>
      <c r="E316" s="11"/>
      <c r="F316" s="253"/>
      <c r="G316" s="253"/>
      <c r="H316" s="11"/>
      <c r="I316" s="429"/>
      <c r="J316" s="427"/>
      <c r="K316" s="395"/>
      <c r="L316" s="431"/>
      <c r="M316" s="11"/>
      <c r="N316" s="11"/>
      <c r="O316" s="71"/>
      <c r="P316" s="427"/>
      <c r="Q316" s="397"/>
      <c r="R316" s="395"/>
      <c r="S316" s="398"/>
      <c r="T316" s="399"/>
      <c r="U316" s="11"/>
      <c r="V316" s="11"/>
      <c r="W316" s="11"/>
      <c r="X316" s="11"/>
      <c r="Y316" s="11"/>
      <c r="Z316" s="402"/>
      <c r="AA316" s="402"/>
    </row>
    <row r="317" ht="13.5" customHeight="1">
      <c r="A317" s="11"/>
      <c r="B317" s="11"/>
      <c r="C317" s="11"/>
      <c r="D317" s="11"/>
      <c r="E317" s="11"/>
      <c r="F317" s="253"/>
      <c r="G317" s="253"/>
      <c r="H317" s="11"/>
      <c r="I317" s="429"/>
      <c r="J317" s="427"/>
      <c r="K317" s="395"/>
      <c r="L317" s="431"/>
      <c r="M317" s="11"/>
      <c r="N317" s="11"/>
      <c r="O317" s="71"/>
      <c r="P317" s="427"/>
      <c r="Q317" s="397"/>
      <c r="R317" s="395"/>
      <c r="S317" s="398"/>
      <c r="T317" s="399"/>
      <c r="U317" s="11"/>
      <c r="V317" s="11"/>
      <c r="W317" s="11"/>
      <c r="X317" s="11"/>
      <c r="Y317" s="11"/>
      <c r="Z317" s="402"/>
      <c r="AA317" s="402"/>
    </row>
    <row r="318" ht="13.5" customHeight="1">
      <c r="A318" s="11"/>
      <c r="B318" s="11"/>
      <c r="C318" s="11"/>
      <c r="D318" s="11"/>
      <c r="E318" s="11"/>
      <c r="F318" s="253"/>
      <c r="G318" s="253"/>
      <c r="H318" s="11"/>
      <c r="I318" s="429"/>
      <c r="J318" s="427"/>
      <c r="K318" s="395"/>
      <c r="L318" s="431"/>
      <c r="M318" s="11"/>
      <c r="N318" s="11"/>
      <c r="O318" s="71"/>
      <c r="P318" s="427"/>
      <c r="Q318" s="397"/>
      <c r="R318" s="395"/>
      <c r="S318" s="398"/>
      <c r="T318" s="399"/>
      <c r="U318" s="11"/>
      <c r="V318" s="11"/>
      <c r="W318" s="11"/>
      <c r="X318" s="11"/>
      <c r="Y318" s="11"/>
      <c r="Z318" s="402"/>
      <c r="AA318" s="402"/>
    </row>
    <row r="319" ht="13.5" customHeight="1">
      <c r="A319" s="11"/>
      <c r="B319" s="11"/>
      <c r="C319" s="11"/>
      <c r="D319" s="11"/>
      <c r="E319" s="11"/>
      <c r="F319" s="253"/>
      <c r="G319" s="253"/>
      <c r="H319" s="11"/>
      <c r="I319" s="429"/>
      <c r="J319" s="427"/>
      <c r="K319" s="395"/>
      <c r="L319" s="431"/>
      <c r="M319" s="11"/>
      <c r="N319" s="11"/>
      <c r="O319" s="71"/>
      <c r="P319" s="427"/>
      <c r="Q319" s="397"/>
      <c r="R319" s="395"/>
      <c r="S319" s="398"/>
      <c r="T319" s="399"/>
      <c r="U319" s="11"/>
      <c r="V319" s="11"/>
      <c r="W319" s="11"/>
      <c r="X319" s="11"/>
      <c r="Y319" s="11"/>
      <c r="Z319" s="402"/>
      <c r="AA319" s="402"/>
    </row>
    <row r="320" ht="13.5" customHeight="1">
      <c r="A320" s="11"/>
      <c r="B320" s="11"/>
      <c r="C320" s="11"/>
      <c r="D320" s="11"/>
      <c r="E320" s="11"/>
      <c r="F320" s="253"/>
      <c r="G320" s="253"/>
      <c r="H320" s="11"/>
      <c r="I320" s="429"/>
      <c r="J320" s="427"/>
      <c r="K320" s="395"/>
      <c r="L320" s="431"/>
      <c r="M320" s="11"/>
      <c r="N320" s="11"/>
      <c r="O320" s="71"/>
      <c r="P320" s="427"/>
      <c r="Q320" s="397"/>
      <c r="R320" s="395"/>
      <c r="S320" s="398"/>
      <c r="T320" s="399"/>
      <c r="U320" s="11"/>
      <c r="V320" s="11"/>
      <c r="W320" s="11"/>
      <c r="X320" s="11"/>
      <c r="Y320" s="11"/>
      <c r="Z320" s="402"/>
      <c r="AA320" s="402"/>
    </row>
    <row r="321" ht="13.5" customHeight="1">
      <c r="A321" s="11"/>
      <c r="B321" s="11"/>
      <c r="C321" s="11"/>
      <c r="D321" s="11"/>
      <c r="E321" s="11"/>
      <c r="F321" s="253"/>
      <c r="G321" s="253"/>
      <c r="H321" s="11"/>
      <c r="I321" s="429"/>
      <c r="J321" s="427"/>
      <c r="K321" s="395"/>
      <c r="L321" s="431"/>
      <c r="M321" s="11"/>
      <c r="N321" s="11"/>
      <c r="O321" s="71"/>
      <c r="P321" s="427"/>
      <c r="Q321" s="397"/>
      <c r="R321" s="395"/>
      <c r="S321" s="398"/>
      <c r="T321" s="399"/>
      <c r="U321" s="11"/>
      <c r="V321" s="11"/>
      <c r="W321" s="11"/>
      <c r="X321" s="11"/>
      <c r="Y321" s="11"/>
      <c r="Z321" s="402"/>
      <c r="AA321" s="402"/>
    </row>
    <row r="322" ht="13.5" customHeight="1">
      <c r="A322" s="11"/>
      <c r="B322" s="11"/>
      <c r="C322" s="11"/>
      <c r="D322" s="11"/>
      <c r="E322" s="11"/>
      <c r="F322" s="253"/>
      <c r="G322" s="253"/>
      <c r="H322" s="11"/>
      <c r="I322" s="429"/>
      <c r="J322" s="427"/>
      <c r="K322" s="395"/>
      <c r="L322" s="431"/>
      <c r="M322" s="11"/>
      <c r="N322" s="11"/>
      <c r="O322" s="71"/>
      <c r="P322" s="427"/>
      <c r="Q322" s="397"/>
      <c r="R322" s="395"/>
      <c r="S322" s="398"/>
      <c r="T322" s="399"/>
      <c r="U322" s="11"/>
      <c r="V322" s="11"/>
      <c r="W322" s="11"/>
      <c r="X322" s="11"/>
      <c r="Y322" s="11"/>
      <c r="Z322" s="402"/>
      <c r="AA322" s="402"/>
    </row>
    <row r="323" ht="13.5" customHeight="1">
      <c r="A323" s="11"/>
      <c r="B323" s="11"/>
      <c r="C323" s="11"/>
      <c r="D323" s="11"/>
      <c r="E323" s="11"/>
      <c r="F323" s="253"/>
      <c r="G323" s="253"/>
      <c r="H323" s="11"/>
      <c r="I323" s="429"/>
      <c r="J323" s="427"/>
      <c r="K323" s="395"/>
      <c r="L323" s="431"/>
      <c r="M323" s="11"/>
      <c r="N323" s="11"/>
      <c r="O323" s="71"/>
      <c r="P323" s="427"/>
      <c r="Q323" s="397"/>
      <c r="R323" s="395"/>
      <c r="S323" s="398"/>
      <c r="T323" s="399"/>
      <c r="U323" s="11"/>
      <c r="V323" s="11"/>
      <c r="W323" s="11"/>
      <c r="X323" s="11"/>
      <c r="Y323" s="11"/>
      <c r="Z323" s="402"/>
      <c r="AA323" s="402"/>
    </row>
    <row r="324" ht="13.5" customHeight="1">
      <c r="A324" s="11"/>
      <c r="B324" s="11"/>
      <c r="C324" s="11"/>
      <c r="D324" s="11"/>
      <c r="E324" s="11"/>
      <c r="F324" s="253"/>
      <c r="G324" s="253"/>
      <c r="H324" s="11"/>
      <c r="I324" s="429"/>
      <c r="J324" s="427"/>
      <c r="K324" s="395"/>
      <c r="L324" s="431"/>
      <c r="M324" s="11"/>
      <c r="N324" s="11"/>
      <c r="O324" s="71"/>
      <c r="P324" s="427"/>
      <c r="Q324" s="397"/>
      <c r="R324" s="395"/>
      <c r="S324" s="398"/>
      <c r="T324" s="399"/>
      <c r="U324" s="11"/>
      <c r="V324" s="11"/>
      <c r="W324" s="11"/>
      <c r="X324" s="11"/>
      <c r="Y324" s="11"/>
      <c r="Z324" s="402"/>
      <c r="AA324" s="402"/>
    </row>
    <row r="325" ht="13.5" customHeight="1">
      <c r="A325" s="11"/>
      <c r="B325" s="11"/>
      <c r="C325" s="11"/>
      <c r="D325" s="11"/>
      <c r="E325" s="11"/>
      <c r="F325" s="253"/>
      <c r="G325" s="253"/>
      <c r="H325" s="11"/>
      <c r="I325" s="429"/>
      <c r="J325" s="427"/>
      <c r="K325" s="395"/>
      <c r="L325" s="431"/>
      <c r="M325" s="11"/>
      <c r="N325" s="11"/>
      <c r="O325" s="71"/>
      <c r="P325" s="427"/>
      <c r="Q325" s="397"/>
      <c r="R325" s="395"/>
      <c r="S325" s="398"/>
      <c r="T325" s="399"/>
      <c r="U325" s="11"/>
      <c r="V325" s="11"/>
      <c r="W325" s="11"/>
      <c r="X325" s="11"/>
      <c r="Y325" s="11"/>
      <c r="Z325" s="402"/>
      <c r="AA325" s="402"/>
    </row>
    <row r="326" ht="13.5" customHeight="1">
      <c r="A326" s="11"/>
      <c r="B326" s="11"/>
      <c r="C326" s="11"/>
      <c r="D326" s="11"/>
      <c r="E326" s="11"/>
      <c r="F326" s="253"/>
      <c r="G326" s="253"/>
      <c r="H326" s="11"/>
      <c r="I326" s="429"/>
      <c r="J326" s="427"/>
      <c r="K326" s="395"/>
      <c r="L326" s="431"/>
      <c r="M326" s="11"/>
      <c r="N326" s="11"/>
      <c r="O326" s="71"/>
      <c r="P326" s="427"/>
      <c r="Q326" s="397"/>
      <c r="R326" s="395"/>
      <c r="S326" s="398"/>
      <c r="T326" s="399"/>
      <c r="U326" s="11"/>
      <c r="V326" s="11"/>
      <c r="W326" s="11"/>
      <c r="X326" s="11"/>
      <c r="Y326" s="11"/>
      <c r="Z326" s="402"/>
      <c r="AA326" s="402"/>
    </row>
    <row r="327" ht="13.5" customHeight="1">
      <c r="A327" s="11"/>
      <c r="B327" s="11"/>
      <c r="C327" s="11"/>
      <c r="D327" s="11"/>
      <c r="E327" s="11"/>
      <c r="F327" s="253"/>
      <c r="G327" s="253"/>
      <c r="H327" s="11"/>
      <c r="I327" s="429"/>
      <c r="J327" s="427"/>
      <c r="K327" s="395"/>
      <c r="L327" s="431"/>
      <c r="M327" s="11"/>
      <c r="N327" s="11"/>
      <c r="O327" s="71"/>
      <c r="P327" s="427"/>
      <c r="Q327" s="397"/>
      <c r="R327" s="395"/>
      <c r="S327" s="398"/>
      <c r="T327" s="399"/>
      <c r="U327" s="11"/>
      <c r="V327" s="11"/>
      <c r="W327" s="11"/>
      <c r="X327" s="11"/>
      <c r="Y327" s="11"/>
      <c r="Z327" s="402"/>
      <c r="AA327" s="402"/>
    </row>
    <row r="328" ht="13.5" customHeight="1">
      <c r="A328" s="11"/>
      <c r="B328" s="11"/>
      <c r="C328" s="11"/>
      <c r="D328" s="11"/>
      <c r="E328" s="11"/>
      <c r="F328" s="253"/>
      <c r="G328" s="253"/>
      <c r="H328" s="11"/>
      <c r="I328" s="429"/>
      <c r="J328" s="427"/>
      <c r="K328" s="395"/>
      <c r="L328" s="431"/>
      <c r="M328" s="11"/>
      <c r="N328" s="11"/>
      <c r="O328" s="71"/>
      <c r="P328" s="427"/>
      <c r="Q328" s="397"/>
      <c r="R328" s="395"/>
      <c r="S328" s="398"/>
      <c r="T328" s="399"/>
      <c r="U328" s="11"/>
      <c r="V328" s="11"/>
      <c r="W328" s="11"/>
      <c r="X328" s="11"/>
      <c r="Y328" s="11"/>
      <c r="Z328" s="402"/>
      <c r="AA328" s="402"/>
    </row>
    <row r="329" ht="13.5" customHeight="1">
      <c r="A329" s="11"/>
      <c r="B329" s="11"/>
      <c r="C329" s="11"/>
      <c r="D329" s="11"/>
      <c r="E329" s="11"/>
      <c r="F329" s="253"/>
      <c r="G329" s="253"/>
      <c r="H329" s="11"/>
      <c r="I329" s="429"/>
      <c r="J329" s="427"/>
      <c r="K329" s="395"/>
      <c r="L329" s="431"/>
      <c r="M329" s="11"/>
      <c r="N329" s="11"/>
      <c r="O329" s="71"/>
      <c r="P329" s="427"/>
      <c r="Q329" s="397"/>
      <c r="R329" s="395"/>
      <c r="S329" s="398"/>
      <c r="T329" s="399"/>
      <c r="U329" s="11"/>
      <c r="V329" s="11"/>
      <c r="W329" s="11"/>
      <c r="X329" s="11"/>
      <c r="Y329" s="11"/>
      <c r="Z329" s="402"/>
      <c r="AA329" s="402"/>
    </row>
    <row r="330" ht="13.5" customHeight="1">
      <c r="A330" s="11"/>
      <c r="B330" s="11"/>
      <c r="C330" s="11"/>
      <c r="D330" s="11"/>
      <c r="E330" s="11"/>
      <c r="F330" s="253"/>
      <c r="G330" s="253"/>
      <c r="H330" s="11"/>
      <c r="I330" s="429"/>
      <c r="J330" s="427"/>
      <c r="K330" s="395"/>
      <c r="L330" s="431"/>
      <c r="M330" s="11"/>
      <c r="N330" s="11"/>
      <c r="O330" s="71"/>
      <c r="P330" s="427"/>
      <c r="Q330" s="397"/>
      <c r="R330" s="395"/>
      <c r="S330" s="398"/>
      <c r="T330" s="399"/>
      <c r="U330" s="11"/>
      <c r="V330" s="11"/>
      <c r="W330" s="11"/>
      <c r="X330" s="11"/>
      <c r="Y330" s="11"/>
      <c r="Z330" s="402"/>
      <c r="AA330" s="402"/>
    </row>
    <row r="331" ht="13.5" customHeight="1">
      <c r="A331" s="11"/>
      <c r="B331" s="11"/>
      <c r="C331" s="11"/>
      <c r="D331" s="11"/>
      <c r="E331" s="11"/>
      <c r="F331" s="253"/>
      <c r="G331" s="253"/>
      <c r="H331" s="11"/>
      <c r="I331" s="429"/>
      <c r="J331" s="427"/>
      <c r="K331" s="395"/>
      <c r="L331" s="431"/>
      <c r="M331" s="11"/>
      <c r="N331" s="11"/>
      <c r="O331" s="71"/>
      <c r="P331" s="427"/>
      <c r="Q331" s="397"/>
      <c r="R331" s="395"/>
      <c r="S331" s="398"/>
      <c r="T331" s="399"/>
      <c r="U331" s="11"/>
      <c r="V331" s="11"/>
      <c r="W331" s="11"/>
      <c r="X331" s="11"/>
      <c r="Y331" s="11"/>
      <c r="Z331" s="402"/>
      <c r="AA331" s="402"/>
    </row>
    <row r="332" ht="13.5" customHeight="1">
      <c r="A332" s="11"/>
      <c r="B332" s="11"/>
      <c r="C332" s="11"/>
      <c r="D332" s="11"/>
      <c r="E332" s="11"/>
      <c r="F332" s="253"/>
      <c r="G332" s="253"/>
      <c r="H332" s="11"/>
      <c r="I332" s="429"/>
      <c r="J332" s="427"/>
      <c r="K332" s="395"/>
      <c r="L332" s="431"/>
      <c r="M332" s="11"/>
      <c r="N332" s="11"/>
      <c r="O332" s="71"/>
      <c r="P332" s="427"/>
      <c r="Q332" s="397"/>
      <c r="R332" s="395"/>
      <c r="S332" s="398"/>
      <c r="T332" s="399"/>
      <c r="U332" s="11"/>
      <c r="V332" s="11"/>
      <c r="W332" s="11"/>
      <c r="X332" s="11"/>
      <c r="Y332" s="11"/>
      <c r="Z332" s="402"/>
      <c r="AA332" s="402"/>
    </row>
    <row r="333" ht="13.5" customHeight="1">
      <c r="A333" s="11"/>
      <c r="B333" s="11"/>
      <c r="C333" s="11"/>
      <c r="D333" s="11"/>
      <c r="E333" s="11"/>
      <c r="F333" s="253"/>
      <c r="G333" s="253"/>
      <c r="H333" s="11"/>
      <c r="I333" s="429"/>
      <c r="J333" s="427"/>
      <c r="K333" s="395"/>
      <c r="L333" s="431"/>
      <c r="M333" s="11"/>
      <c r="N333" s="11"/>
      <c r="O333" s="71"/>
      <c r="P333" s="427"/>
      <c r="Q333" s="397"/>
      <c r="R333" s="395"/>
      <c r="S333" s="398"/>
      <c r="T333" s="399"/>
      <c r="U333" s="11"/>
      <c r="V333" s="11"/>
      <c r="W333" s="11"/>
      <c r="X333" s="11"/>
      <c r="Y333" s="11"/>
      <c r="Z333" s="402"/>
      <c r="AA333" s="402"/>
    </row>
    <row r="334" ht="13.5" customHeight="1">
      <c r="A334" s="11"/>
      <c r="B334" s="11"/>
      <c r="C334" s="11"/>
      <c r="D334" s="11"/>
      <c r="E334" s="11"/>
      <c r="F334" s="253"/>
      <c r="G334" s="253"/>
      <c r="H334" s="11"/>
      <c r="I334" s="429"/>
      <c r="J334" s="427"/>
      <c r="K334" s="395"/>
      <c r="L334" s="431"/>
      <c r="M334" s="11"/>
      <c r="N334" s="11"/>
      <c r="O334" s="71"/>
      <c r="P334" s="427"/>
      <c r="Q334" s="397"/>
      <c r="R334" s="395"/>
      <c r="S334" s="398"/>
      <c r="T334" s="399"/>
      <c r="U334" s="11"/>
      <c r="V334" s="11"/>
      <c r="W334" s="11"/>
      <c r="X334" s="11"/>
      <c r="Y334" s="11"/>
      <c r="Z334" s="402"/>
      <c r="AA334" s="402"/>
    </row>
    <row r="335" ht="13.5" customHeight="1">
      <c r="A335" s="11"/>
      <c r="B335" s="11"/>
      <c r="C335" s="11"/>
      <c r="D335" s="11"/>
      <c r="E335" s="11"/>
      <c r="F335" s="253"/>
      <c r="G335" s="253"/>
      <c r="H335" s="11"/>
      <c r="I335" s="429"/>
      <c r="J335" s="427"/>
      <c r="K335" s="395"/>
      <c r="L335" s="431"/>
      <c r="M335" s="11"/>
      <c r="N335" s="11"/>
      <c r="O335" s="71"/>
      <c r="P335" s="427"/>
      <c r="Q335" s="397"/>
      <c r="R335" s="395"/>
      <c r="S335" s="398"/>
      <c r="T335" s="399"/>
      <c r="U335" s="11"/>
      <c r="V335" s="11"/>
      <c r="W335" s="11"/>
      <c r="X335" s="11"/>
      <c r="Y335" s="11"/>
      <c r="Z335" s="402"/>
      <c r="AA335" s="402"/>
    </row>
    <row r="336" ht="13.5" customHeight="1">
      <c r="A336" s="11"/>
      <c r="B336" s="11"/>
      <c r="C336" s="11"/>
      <c r="D336" s="11"/>
      <c r="E336" s="11"/>
      <c r="F336" s="253"/>
      <c r="G336" s="253"/>
      <c r="H336" s="11"/>
      <c r="I336" s="429"/>
      <c r="J336" s="427"/>
      <c r="K336" s="395"/>
      <c r="L336" s="431"/>
      <c r="M336" s="11"/>
      <c r="N336" s="11"/>
      <c r="O336" s="71"/>
      <c r="P336" s="427"/>
      <c r="Q336" s="397"/>
      <c r="R336" s="395"/>
      <c r="S336" s="398"/>
      <c r="T336" s="399"/>
      <c r="U336" s="11"/>
      <c r="V336" s="11"/>
      <c r="W336" s="11"/>
      <c r="X336" s="11"/>
      <c r="Y336" s="11"/>
      <c r="Z336" s="402"/>
      <c r="AA336" s="402"/>
    </row>
    <row r="337" ht="13.5" customHeight="1">
      <c r="A337" s="11"/>
      <c r="B337" s="11"/>
      <c r="C337" s="11"/>
      <c r="D337" s="11"/>
      <c r="E337" s="11"/>
      <c r="F337" s="253"/>
      <c r="G337" s="253"/>
      <c r="H337" s="11"/>
      <c r="I337" s="429"/>
      <c r="J337" s="427"/>
      <c r="K337" s="395"/>
      <c r="L337" s="431"/>
      <c r="M337" s="11"/>
      <c r="N337" s="11"/>
      <c r="O337" s="71"/>
      <c r="P337" s="427"/>
      <c r="Q337" s="397"/>
      <c r="R337" s="395"/>
      <c r="S337" s="398"/>
      <c r="T337" s="399"/>
      <c r="U337" s="11"/>
      <c r="V337" s="11"/>
      <c r="W337" s="11"/>
      <c r="X337" s="11"/>
      <c r="Y337" s="11"/>
      <c r="Z337" s="402"/>
      <c r="AA337" s="402"/>
    </row>
    <row r="338" ht="13.5" customHeight="1">
      <c r="A338" s="11"/>
      <c r="B338" s="11"/>
      <c r="C338" s="11"/>
      <c r="D338" s="11"/>
      <c r="E338" s="11"/>
      <c r="F338" s="253"/>
      <c r="G338" s="253"/>
      <c r="H338" s="11"/>
      <c r="I338" s="429"/>
      <c r="J338" s="427"/>
      <c r="K338" s="395"/>
      <c r="L338" s="431"/>
      <c r="M338" s="11"/>
      <c r="N338" s="11"/>
      <c r="O338" s="71"/>
      <c r="P338" s="427"/>
      <c r="Q338" s="397"/>
      <c r="R338" s="395"/>
      <c r="S338" s="398"/>
      <c r="T338" s="399"/>
      <c r="U338" s="11"/>
      <c r="V338" s="11"/>
      <c r="W338" s="11"/>
      <c r="X338" s="11"/>
      <c r="Y338" s="11"/>
      <c r="Z338" s="402"/>
      <c r="AA338" s="402"/>
    </row>
    <row r="339" ht="13.5" customHeight="1">
      <c r="A339" s="11"/>
      <c r="B339" s="11"/>
      <c r="C339" s="11"/>
      <c r="D339" s="11"/>
      <c r="E339" s="11"/>
      <c r="F339" s="253"/>
      <c r="G339" s="253"/>
      <c r="H339" s="11"/>
      <c r="I339" s="429"/>
      <c r="J339" s="427"/>
      <c r="K339" s="395"/>
      <c r="L339" s="431"/>
      <c r="M339" s="11"/>
      <c r="N339" s="11"/>
      <c r="O339" s="71"/>
      <c r="P339" s="427"/>
      <c r="Q339" s="397"/>
      <c r="R339" s="395"/>
      <c r="S339" s="398"/>
      <c r="T339" s="399"/>
      <c r="U339" s="11"/>
      <c r="V339" s="11"/>
      <c r="W339" s="11"/>
      <c r="X339" s="11"/>
      <c r="Y339" s="11"/>
      <c r="Z339" s="402"/>
      <c r="AA339" s="402"/>
    </row>
    <row r="340" ht="13.5" customHeight="1">
      <c r="A340" s="11"/>
      <c r="B340" s="11"/>
      <c r="C340" s="11"/>
      <c r="D340" s="11"/>
      <c r="E340" s="11"/>
      <c r="F340" s="253"/>
      <c r="G340" s="253"/>
      <c r="H340" s="11"/>
      <c r="I340" s="429"/>
      <c r="J340" s="427"/>
      <c r="K340" s="395"/>
      <c r="L340" s="431"/>
      <c r="M340" s="11"/>
      <c r="N340" s="11"/>
      <c r="O340" s="71"/>
      <c r="P340" s="427"/>
      <c r="Q340" s="397"/>
      <c r="R340" s="395"/>
      <c r="S340" s="398"/>
      <c r="T340" s="399"/>
      <c r="U340" s="11"/>
      <c r="V340" s="11"/>
      <c r="W340" s="11"/>
      <c r="X340" s="11"/>
      <c r="Y340" s="11"/>
      <c r="Z340" s="402"/>
      <c r="AA340" s="402"/>
    </row>
    <row r="341" ht="13.5" customHeight="1">
      <c r="A341" s="11"/>
      <c r="B341" s="11"/>
      <c r="C341" s="11"/>
      <c r="D341" s="11"/>
      <c r="E341" s="11"/>
      <c r="F341" s="253"/>
      <c r="G341" s="253"/>
      <c r="H341" s="11"/>
      <c r="I341" s="429"/>
      <c r="J341" s="427"/>
      <c r="K341" s="395"/>
      <c r="L341" s="431"/>
      <c r="M341" s="11"/>
      <c r="N341" s="11"/>
      <c r="O341" s="71"/>
      <c r="P341" s="427"/>
      <c r="Q341" s="397"/>
      <c r="R341" s="395"/>
      <c r="S341" s="398"/>
      <c r="T341" s="399"/>
      <c r="U341" s="11"/>
      <c r="V341" s="11"/>
      <c r="W341" s="11"/>
      <c r="X341" s="11"/>
      <c r="Y341" s="11"/>
      <c r="Z341" s="402"/>
      <c r="AA341" s="402"/>
    </row>
    <row r="342" ht="13.5" customHeight="1">
      <c r="A342" s="11"/>
      <c r="B342" s="11"/>
      <c r="C342" s="11"/>
      <c r="D342" s="11"/>
      <c r="E342" s="11"/>
      <c r="F342" s="253"/>
      <c r="G342" s="253"/>
      <c r="H342" s="11"/>
      <c r="I342" s="429"/>
      <c r="J342" s="427"/>
      <c r="K342" s="395"/>
      <c r="L342" s="431"/>
      <c r="M342" s="11"/>
      <c r="N342" s="11"/>
      <c r="O342" s="71"/>
      <c r="P342" s="427"/>
      <c r="Q342" s="397"/>
      <c r="R342" s="395"/>
      <c r="S342" s="398"/>
      <c r="T342" s="399"/>
      <c r="U342" s="11"/>
      <c r="V342" s="11"/>
      <c r="W342" s="11"/>
      <c r="X342" s="11"/>
      <c r="Y342" s="11"/>
      <c r="Z342" s="402"/>
      <c r="AA342" s="402"/>
    </row>
    <row r="343" ht="13.5" customHeight="1">
      <c r="A343" s="11"/>
      <c r="B343" s="11"/>
      <c r="C343" s="11"/>
      <c r="D343" s="11"/>
      <c r="E343" s="11"/>
      <c r="F343" s="253"/>
      <c r="G343" s="253"/>
      <c r="H343" s="11"/>
      <c r="I343" s="429"/>
      <c r="J343" s="427"/>
      <c r="K343" s="395"/>
      <c r="L343" s="431"/>
      <c r="M343" s="11"/>
      <c r="N343" s="11"/>
      <c r="O343" s="71"/>
      <c r="P343" s="427"/>
      <c r="Q343" s="397"/>
      <c r="R343" s="395"/>
      <c r="S343" s="398"/>
      <c r="T343" s="399"/>
      <c r="U343" s="11"/>
      <c r="V343" s="11"/>
      <c r="W343" s="11"/>
      <c r="X343" s="11"/>
      <c r="Y343" s="11"/>
      <c r="Z343" s="402"/>
      <c r="AA343" s="402"/>
    </row>
    <row r="344" ht="13.5" customHeight="1">
      <c r="A344" s="11"/>
      <c r="B344" s="11"/>
      <c r="C344" s="11"/>
      <c r="D344" s="11"/>
      <c r="E344" s="11"/>
      <c r="F344" s="253"/>
      <c r="G344" s="253"/>
      <c r="H344" s="11"/>
      <c r="I344" s="429"/>
      <c r="J344" s="427"/>
      <c r="K344" s="395"/>
      <c r="L344" s="431"/>
      <c r="M344" s="11"/>
      <c r="N344" s="11"/>
      <c r="O344" s="71"/>
      <c r="P344" s="427"/>
      <c r="Q344" s="397"/>
      <c r="R344" s="395"/>
      <c r="S344" s="398"/>
      <c r="T344" s="399"/>
      <c r="U344" s="11"/>
      <c r="V344" s="11"/>
      <c r="W344" s="11"/>
      <c r="X344" s="11"/>
      <c r="Y344" s="11"/>
      <c r="Z344" s="402"/>
      <c r="AA344" s="402"/>
    </row>
    <row r="345" ht="13.5" customHeight="1">
      <c r="A345" s="11"/>
      <c r="B345" s="11"/>
      <c r="C345" s="11"/>
      <c r="D345" s="11"/>
      <c r="E345" s="11"/>
      <c r="F345" s="253"/>
      <c r="G345" s="253"/>
      <c r="H345" s="11"/>
      <c r="I345" s="429"/>
      <c r="J345" s="427"/>
      <c r="K345" s="395"/>
      <c r="L345" s="431"/>
      <c r="M345" s="11"/>
      <c r="N345" s="11"/>
      <c r="O345" s="71"/>
      <c r="P345" s="427"/>
      <c r="Q345" s="397"/>
      <c r="R345" s="395"/>
      <c r="S345" s="398"/>
      <c r="T345" s="399"/>
      <c r="U345" s="11"/>
      <c r="V345" s="11"/>
      <c r="W345" s="11"/>
      <c r="X345" s="11"/>
      <c r="Y345" s="11"/>
      <c r="Z345" s="402"/>
      <c r="AA345" s="402"/>
    </row>
    <row r="346" ht="13.5" customHeight="1">
      <c r="A346" s="11"/>
      <c r="B346" s="11"/>
      <c r="C346" s="11"/>
      <c r="D346" s="11"/>
      <c r="E346" s="11"/>
      <c r="F346" s="253"/>
      <c r="G346" s="253"/>
      <c r="H346" s="11"/>
      <c r="I346" s="429"/>
      <c r="J346" s="427"/>
      <c r="K346" s="395"/>
      <c r="L346" s="431"/>
      <c r="M346" s="11"/>
      <c r="N346" s="11"/>
      <c r="O346" s="71"/>
      <c r="P346" s="427"/>
      <c r="Q346" s="397"/>
      <c r="R346" s="395"/>
      <c r="S346" s="398"/>
      <c r="T346" s="399"/>
      <c r="U346" s="11"/>
      <c r="V346" s="11"/>
      <c r="W346" s="11"/>
      <c r="X346" s="11"/>
      <c r="Y346" s="11"/>
      <c r="Z346" s="402"/>
      <c r="AA346" s="402"/>
    </row>
    <row r="347" ht="13.5" customHeight="1">
      <c r="A347" s="11"/>
      <c r="B347" s="11"/>
      <c r="C347" s="11"/>
      <c r="D347" s="11"/>
      <c r="E347" s="11"/>
      <c r="F347" s="253"/>
      <c r="G347" s="253"/>
      <c r="H347" s="11"/>
      <c r="I347" s="429"/>
      <c r="J347" s="427"/>
      <c r="K347" s="395"/>
      <c r="L347" s="431"/>
      <c r="M347" s="11"/>
      <c r="N347" s="11"/>
      <c r="O347" s="71"/>
      <c r="P347" s="427"/>
      <c r="Q347" s="397"/>
      <c r="R347" s="395"/>
      <c r="S347" s="398"/>
      <c r="T347" s="399"/>
      <c r="U347" s="11"/>
      <c r="V347" s="11"/>
      <c r="W347" s="11"/>
      <c r="X347" s="11"/>
      <c r="Y347" s="11"/>
      <c r="Z347" s="402"/>
      <c r="AA347" s="402"/>
    </row>
    <row r="348" ht="13.5" customHeight="1">
      <c r="A348" s="11"/>
      <c r="B348" s="11"/>
      <c r="C348" s="11"/>
      <c r="D348" s="11"/>
      <c r="E348" s="11"/>
      <c r="F348" s="253"/>
      <c r="G348" s="253"/>
      <c r="H348" s="11"/>
      <c r="I348" s="429"/>
      <c r="J348" s="427"/>
      <c r="K348" s="395"/>
      <c r="L348" s="431"/>
      <c r="M348" s="11"/>
      <c r="N348" s="11"/>
      <c r="O348" s="71"/>
      <c r="P348" s="427"/>
      <c r="Q348" s="397"/>
      <c r="R348" s="395"/>
      <c r="S348" s="398"/>
      <c r="T348" s="399"/>
      <c r="U348" s="11"/>
      <c r="V348" s="11"/>
      <c r="W348" s="11"/>
      <c r="X348" s="11"/>
      <c r="Y348" s="11"/>
      <c r="Z348" s="402"/>
      <c r="AA348" s="402"/>
    </row>
    <row r="349" ht="13.5" customHeight="1">
      <c r="A349" s="11"/>
      <c r="B349" s="11"/>
      <c r="C349" s="11"/>
      <c r="D349" s="11"/>
      <c r="E349" s="11"/>
      <c r="F349" s="253"/>
      <c r="G349" s="253"/>
      <c r="H349" s="11"/>
      <c r="I349" s="429"/>
      <c r="J349" s="427"/>
      <c r="K349" s="395"/>
      <c r="L349" s="431"/>
      <c r="M349" s="11"/>
      <c r="N349" s="11"/>
      <c r="O349" s="71"/>
      <c r="P349" s="427"/>
      <c r="Q349" s="397"/>
      <c r="R349" s="395"/>
      <c r="S349" s="398"/>
      <c r="T349" s="399"/>
      <c r="U349" s="11"/>
      <c r="V349" s="11"/>
      <c r="W349" s="11"/>
      <c r="X349" s="11"/>
      <c r="Y349" s="11"/>
      <c r="Z349" s="402"/>
      <c r="AA349" s="402"/>
    </row>
    <row r="350" ht="13.5" customHeight="1">
      <c r="A350" s="11"/>
      <c r="B350" s="11"/>
      <c r="C350" s="11"/>
      <c r="D350" s="11"/>
      <c r="E350" s="11"/>
      <c r="F350" s="253"/>
      <c r="G350" s="253"/>
      <c r="H350" s="11"/>
      <c r="I350" s="429"/>
      <c r="J350" s="427"/>
      <c r="K350" s="395"/>
      <c r="L350" s="431"/>
      <c r="M350" s="11"/>
      <c r="N350" s="11"/>
      <c r="O350" s="71"/>
      <c r="P350" s="427"/>
      <c r="Q350" s="397"/>
      <c r="R350" s="395"/>
      <c r="S350" s="398"/>
      <c r="T350" s="399"/>
      <c r="U350" s="11"/>
      <c r="V350" s="11"/>
      <c r="W350" s="11"/>
      <c r="X350" s="11"/>
      <c r="Y350" s="11"/>
      <c r="Z350" s="402"/>
      <c r="AA350" s="402"/>
    </row>
    <row r="351" ht="13.5" customHeight="1">
      <c r="A351" s="11"/>
      <c r="B351" s="11"/>
      <c r="C351" s="11"/>
      <c r="D351" s="11"/>
      <c r="E351" s="11"/>
      <c r="F351" s="253"/>
      <c r="G351" s="253"/>
      <c r="H351" s="11"/>
      <c r="I351" s="429"/>
      <c r="J351" s="427"/>
      <c r="K351" s="395"/>
      <c r="L351" s="431"/>
      <c r="M351" s="11"/>
      <c r="N351" s="11"/>
      <c r="O351" s="71"/>
      <c r="P351" s="427"/>
      <c r="Q351" s="397"/>
      <c r="R351" s="395"/>
      <c r="S351" s="398"/>
      <c r="T351" s="399"/>
      <c r="U351" s="11"/>
      <c r="V351" s="11"/>
      <c r="W351" s="11"/>
      <c r="X351" s="11"/>
      <c r="Y351" s="11"/>
      <c r="Z351" s="402"/>
      <c r="AA351" s="402"/>
    </row>
    <row r="352" ht="13.5" customHeight="1">
      <c r="A352" s="11"/>
      <c r="B352" s="11"/>
      <c r="C352" s="11"/>
      <c r="D352" s="11"/>
      <c r="E352" s="11"/>
      <c r="F352" s="253"/>
      <c r="G352" s="253"/>
      <c r="H352" s="11"/>
      <c r="I352" s="429"/>
      <c r="J352" s="427"/>
      <c r="K352" s="395"/>
      <c r="L352" s="431"/>
      <c r="M352" s="11"/>
      <c r="N352" s="11"/>
      <c r="O352" s="71"/>
      <c r="P352" s="427"/>
      <c r="Q352" s="397"/>
      <c r="R352" s="395"/>
      <c r="S352" s="398"/>
      <c r="T352" s="399"/>
      <c r="U352" s="11"/>
      <c r="V352" s="11"/>
      <c r="W352" s="11"/>
      <c r="X352" s="11"/>
      <c r="Y352" s="11"/>
      <c r="Z352" s="402"/>
      <c r="AA352" s="402"/>
    </row>
    <row r="353" ht="13.5" customHeight="1">
      <c r="A353" s="11"/>
      <c r="B353" s="11"/>
      <c r="C353" s="11"/>
      <c r="D353" s="11"/>
      <c r="E353" s="11"/>
      <c r="F353" s="253"/>
      <c r="G353" s="253"/>
      <c r="H353" s="11"/>
      <c r="I353" s="429"/>
      <c r="J353" s="427"/>
      <c r="K353" s="395"/>
      <c r="L353" s="431"/>
      <c r="M353" s="11"/>
      <c r="N353" s="11"/>
      <c r="O353" s="71"/>
      <c r="P353" s="427"/>
      <c r="Q353" s="397"/>
      <c r="R353" s="395"/>
      <c r="S353" s="398"/>
      <c r="T353" s="399"/>
      <c r="U353" s="11"/>
      <c r="V353" s="11"/>
      <c r="W353" s="11"/>
      <c r="X353" s="11"/>
      <c r="Y353" s="11"/>
      <c r="Z353" s="402"/>
      <c r="AA353" s="402"/>
    </row>
    <row r="354" ht="13.5" customHeight="1">
      <c r="A354" s="11"/>
      <c r="B354" s="11"/>
      <c r="C354" s="11"/>
      <c r="D354" s="11"/>
      <c r="E354" s="11"/>
      <c r="F354" s="253"/>
      <c r="G354" s="253"/>
      <c r="H354" s="11"/>
      <c r="I354" s="429"/>
      <c r="J354" s="427"/>
      <c r="K354" s="395"/>
      <c r="L354" s="431"/>
      <c r="M354" s="11"/>
      <c r="N354" s="11"/>
      <c r="O354" s="71"/>
      <c r="P354" s="427"/>
      <c r="Q354" s="397"/>
      <c r="R354" s="395"/>
      <c r="S354" s="398"/>
      <c r="T354" s="399"/>
      <c r="U354" s="11"/>
      <c r="V354" s="11"/>
      <c r="W354" s="11"/>
      <c r="X354" s="11"/>
      <c r="Y354" s="11"/>
      <c r="Z354" s="402"/>
      <c r="AA354" s="402"/>
    </row>
    <row r="355" ht="13.5" customHeight="1">
      <c r="A355" s="11"/>
      <c r="B355" s="11"/>
      <c r="C355" s="11"/>
      <c r="D355" s="11"/>
      <c r="E355" s="11"/>
      <c r="F355" s="253"/>
      <c r="G355" s="253"/>
      <c r="H355" s="11"/>
      <c r="I355" s="429"/>
      <c r="J355" s="427"/>
      <c r="K355" s="395"/>
      <c r="L355" s="431"/>
      <c r="M355" s="11"/>
      <c r="N355" s="11"/>
      <c r="O355" s="71"/>
      <c r="P355" s="427"/>
      <c r="Q355" s="397"/>
      <c r="R355" s="395"/>
      <c r="S355" s="398"/>
      <c r="T355" s="399"/>
      <c r="U355" s="11"/>
      <c r="V355" s="11"/>
      <c r="W355" s="11"/>
      <c r="X355" s="11"/>
      <c r="Y355" s="11"/>
      <c r="Z355" s="402"/>
      <c r="AA355" s="402"/>
    </row>
    <row r="356" ht="13.5" customHeight="1">
      <c r="A356" s="11"/>
      <c r="B356" s="11"/>
      <c r="C356" s="11"/>
      <c r="D356" s="11"/>
      <c r="E356" s="11"/>
      <c r="F356" s="253"/>
      <c r="G356" s="253"/>
      <c r="H356" s="11"/>
      <c r="I356" s="429"/>
      <c r="J356" s="427"/>
      <c r="K356" s="395"/>
      <c r="L356" s="431"/>
      <c r="M356" s="11"/>
      <c r="N356" s="11"/>
      <c r="O356" s="71"/>
      <c r="P356" s="427"/>
      <c r="Q356" s="397"/>
      <c r="R356" s="395"/>
      <c r="S356" s="398"/>
      <c r="T356" s="399"/>
      <c r="U356" s="11"/>
      <c r="V356" s="11"/>
      <c r="W356" s="11"/>
      <c r="X356" s="11"/>
      <c r="Y356" s="11"/>
      <c r="Z356" s="402"/>
      <c r="AA356" s="402"/>
    </row>
    <row r="357" ht="13.5" customHeight="1">
      <c r="A357" s="11"/>
      <c r="B357" s="11"/>
      <c r="C357" s="11"/>
      <c r="D357" s="11"/>
      <c r="E357" s="11"/>
      <c r="F357" s="253"/>
      <c r="G357" s="253"/>
      <c r="H357" s="11"/>
      <c r="I357" s="429"/>
      <c r="J357" s="427"/>
      <c r="K357" s="395"/>
      <c r="L357" s="431"/>
      <c r="M357" s="11"/>
      <c r="N357" s="11"/>
      <c r="O357" s="71"/>
      <c r="P357" s="427"/>
      <c r="Q357" s="397"/>
      <c r="R357" s="395"/>
      <c r="S357" s="398"/>
      <c r="T357" s="399"/>
      <c r="U357" s="11"/>
      <c r="V357" s="11"/>
      <c r="W357" s="11"/>
      <c r="X357" s="11"/>
      <c r="Y357" s="11"/>
      <c r="Z357" s="402"/>
      <c r="AA357" s="402"/>
    </row>
    <row r="358" ht="13.5" customHeight="1">
      <c r="A358" s="11"/>
      <c r="B358" s="11"/>
      <c r="C358" s="11"/>
      <c r="D358" s="11"/>
      <c r="E358" s="11"/>
      <c r="F358" s="253"/>
      <c r="G358" s="253"/>
      <c r="H358" s="11"/>
      <c r="I358" s="429"/>
      <c r="J358" s="427"/>
      <c r="K358" s="395"/>
      <c r="L358" s="431"/>
      <c r="M358" s="11"/>
      <c r="N358" s="11"/>
      <c r="O358" s="71"/>
      <c r="P358" s="427"/>
      <c r="Q358" s="397"/>
      <c r="R358" s="395"/>
      <c r="S358" s="398"/>
      <c r="T358" s="399"/>
      <c r="U358" s="11"/>
      <c r="V358" s="11"/>
      <c r="W358" s="11"/>
      <c r="X358" s="11"/>
      <c r="Y358" s="11"/>
      <c r="Z358" s="402"/>
      <c r="AA358" s="402"/>
    </row>
    <row r="359" ht="13.5" customHeight="1">
      <c r="A359" s="11"/>
      <c r="B359" s="11"/>
      <c r="C359" s="11"/>
      <c r="D359" s="11"/>
      <c r="E359" s="11"/>
      <c r="F359" s="253"/>
      <c r="G359" s="253"/>
      <c r="H359" s="11"/>
      <c r="I359" s="429"/>
      <c r="J359" s="427"/>
      <c r="K359" s="395"/>
      <c r="L359" s="431"/>
      <c r="M359" s="11"/>
      <c r="N359" s="11"/>
      <c r="O359" s="71"/>
      <c r="P359" s="427"/>
      <c r="Q359" s="397"/>
      <c r="R359" s="395"/>
      <c r="S359" s="398"/>
      <c r="T359" s="399"/>
      <c r="U359" s="11"/>
      <c r="V359" s="11"/>
      <c r="W359" s="11"/>
      <c r="X359" s="11"/>
      <c r="Y359" s="11"/>
      <c r="Z359" s="402"/>
      <c r="AA359" s="402"/>
    </row>
    <row r="360" ht="13.5" customHeight="1">
      <c r="A360" s="11"/>
      <c r="B360" s="11"/>
      <c r="C360" s="11"/>
      <c r="D360" s="11"/>
      <c r="E360" s="11"/>
      <c r="F360" s="253"/>
      <c r="G360" s="253"/>
      <c r="H360" s="11"/>
      <c r="I360" s="429"/>
      <c r="J360" s="427"/>
      <c r="K360" s="395"/>
      <c r="L360" s="431"/>
      <c r="M360" s="11"/>
      <c r="N360" s="11"/>
      <c r="O360" s="71"/>
      <c r="P360" s="427"/>
      <c r="Q360" s="397"/>
      <c r="R360" s="395"/>
      <c r="S360" s="398"/>
      <c r="T360" s="399"/>
      <c r="U360" s="11"/>
      <c r="V360" s="11"/>
      <c r="W360" s="11"/>
      <c r="X360" s="11"/>
      <c r="Y360" s="11"/>
      <c r="Z360" s="402"/>
      <c r="AA360" s="402"/>
    </row>
    <row r="361" ht="13.5" customHeight="1">
      <c r="A361" s="11"/>
      <c r="B361" s="11"/>
      <c r="C361" s="11"/>
      <c r="D361" s="11"/>
      <c r="E361" s="11"/>
      <c r="F361" s="253"/>
      <c r="G361" s="253"/>
      <c r="H361" s="11"/>
      <c r="I361" s="429"/>
      <c r="J361" s="427"/>
      <c r="K361" s="395"/>
      <c r="L361" s="431"/>
      <c r="M361" s="11"/>
      <c r="N361" s="11"/>
      <c r="O361" s="71"/>
      <c r="P361" s="427"/>
      <c r="Q361" s="397"/>
      <c r="R361" s="395"/>
      <c r="S361" s="398"/>
      <c r="T361" s="399"/>
      <c r="U361" s="11"/>
      <c r="V361" s="11"/>
      <c r="W361" s="11"/>
      <c r="X361" s="11"/>
      <c r="Y361" s="11"/>
      <c r="Z361" s="402"/>
      <c r="AA361" s="402"/>
    </row>
    <row r="362" ht="13.5" customHeight="1">
      <c r="A362" s="11"/>
      <c r="B362" s="11"/>
      <c r="C362" s="11"/>
      <c r="D362" s="11"/>
      <c r="E362" s="11"/>
      <c r="F362" s="253"/>
      <c r="G362" s="253"/>
      <c r="H362" s="11"/>
      <c r="I362" s="429"/>
      <c r="J362" s="427"/>
      <c r="K362" s="395"/>
      <c r="L362" s="431"/>
      <c r="M362" s="11"/>
      <c r="N362" s="11"/>
      <c r="O362" s="71"/>
      <c r="P362" s="427"/>
      <c r="Q362" s="397"/>
      <c r="R362" s="395"/>
      <c r="S362" s="398"/>
      <c r="T362" s="399"/>
      <c r="U362" s="11"/>
      <c r="V362" s="11"/>
      <c r="W362" s="11"/>
      <c r="X362" s="11"/>
      <c r="Y362" s="11"/>
      <c r="Z362" s="402"/>
      <c r="AA362" s="402"/>
    </row>
    <row r="363" ht="13.5" customHeight="1">
      <c r="A363" s="11"/>
      <c r="B363" s="11"/>
      <c r="C363" s="11"/>
      <c r="D363" s="11"/>
      <c r="E363" s="11"/>
      <c r="F363" s="253"/>
      <c r="G363" s="253"/>
      <c r="H363" s="11"/>
      <c r="I363" s="429"/>
      <c r="J363" s="427"/>
      <c r="K363" s="395"/>
      <c r="L363" s="431"/>
      <c r="M363" s="11"/>
      <c r="N363" s="11"/>
      <c r="O363" s="71"/>
      <c r="P363" s="427"/>
      <c r="Q363" s="397"/>
      <c r="R363" s="395"/>
      <c r="S363" s="398"/>
      <c r="T363" s="399"/>
      <c r="U363" s="11"/>
      <c r="V363" s="11"/>
      <c r="W363" s="11"/>
      <c r="X363" s="11"/>
      <c r="Y363" s="11"/>
      <c r="Z363" s="402"/>
      <c r="AA363" s="402"/>
    </row>
    <row r="364" ht="13.5" customHeight="1">
      <c r="A364" s="11"/>
      <c r="B364" s="11"/>
      <c r="C364" s="11"/>
      <c r="D364" s="11"/>
      <c r="E364" s="11"/>
      <c r="F364" s="253"/>
      <c r="G364" s="253"/>
      <c r="H364" s="11"/>
      <c r="I364" s="429"/>
      <c r="J364" s="427"/>
      <c r="K364" s="395"/>
      <c r="L364" s="431"/>
      <c r="M364" s="11"/>
      <c r="N364" s="11"/>
      <c r="O364" s="71"/>
      <c r="P364" s="427"/>
      <c r="Q364" s="397"/>
      <c r="R364" s="395"/>
      <c r="S364" s="398"/>
      <c r="T364" s="399"/>
      <c r="U364" s="11"/>
      <c r="V364" s="11"/>
      <c r="W364" s="11"/>
      <c r="X364" s="11"/>
      <c r="Y364" s="11"/>
      <c r="Z364" s="402"/>
      <c r="AA364" s="402"/>
    </row>
    <row r="365" ht="13.5" customHeight="1">
      <c r="A365" s="11"/>
      <c r="B365" s="11"/>
      <c r="C365" s="11"/>
      <c r="D365" s="11"/>
      <c r="E365" s="11"/>
      <c r="F365" s="253"/>
      <c r="G365" s="253"/>
      <c r="H365" s="11"/>
      <c r="I365" s="429"/>
      <c r="J365" s="427"/>
      <c r="K365" s="395"/>
      <c r="L365" s="431"/>
      <c r="M365" s="11"/>
      <c r="N365" s="11"/>
      <c r="O365" s="71"/>
      <c r="P365" s="427"/>
      <c r="Q365" s="397"/>
      <c r="R365" s="395"/>
      <c r="S365" s="398"/>
      <c r="T365" s="399"/>
      <c r="U365" s="11"/>
      <c r="V365" s="11"/>
      <c r="W365" s="11"/>
      <c r="X365" s="11"/>
      <c r="Y365" s="11"/>
      <c r="Z365" s="402"/>
      <c r="AA365" s="402"/>
    </row>
    <row r="366" ht="13.5" customHeight="1">
      <c r="A366" s="11"/>
      <c r="B366" s="11"/>
      <c r="C366" s="11"/>
      <c r="D366" s="11"/>
      <c r="E366" s="11"/>
      <c r="F366" s="253"/>
      <c r="G366" s="253"/>
      <c r="H366" s="11"/>
      <c r="I366" s="429"/>
      <c r="J366" s="427"/>
      <c r="K366" s="395"/>
      <c r="L366" s="431"/>
      <c r="M366" s="11"/>
      <c r="N366" s="11"/>
      <c r="O366" s="71"/>
      <c r="P366" s="427"/>
      <c r="Q366" s="397"/>
      <c r="R366" s="395"/>
      <c r="S366" s="398"/>
      <c r="T366" s="399"/>
      <c r="U366" s="11"/>
      <c r="V366" s="11"/>
      <c r="W366" s="11"/>
      <c r="X366" s="11"/>
      <c r="Y366" s="11"/>
      <c r="Z366" s="402"/>
      <c r="AA366" s="402"/>
    </row>
    <row r="367" ht="13.5" customHeight="1">
      <c r="A367" s="11"/>
      <c r="B367" s="11"/>
      <c r="C367" s="11"/>
      <c r="D367" s="11"/>
      <c r="E367" s="11"/>
      <c r="F367" s="253"/>
      <c r="G367" s="253"/>
      <c r="H367" s="11"/>
      <c r="I367" s="429"/>
      <c r="J367" s="427"/>
      <c r="K367" s="395"/>
      <c r="L367" s="431"/>
      <c r="M367" s="11"/>
      <c r="N367" s="11"/>
      <c r="O367" s="71"/>
      <c r="P367" s="427"/>
      <c r="Q367" s="397"/>
      <c r="R367" s="395"/>
      <c r="S367" s="398"/>
      <c r="T367" s="399"/>
      <c r="U367" s="11"/>
      <c r="V367" s="11"/>
      <c r="W367" s="11"/>
      <c r="X367" s="11"/>
      <c r="Y367" s="11"/>
      <c r="Z367" s="402"/>
      <c r="AA367" s="402"/>
    </row>
    <row r="368" ht="13.5" customHeight="1">
      <c r="A368" s="11"/>
      <c r="B368" s="11"/>
      <c r="C368" s="11"/>
      <c r="D368" s="11"/>
      <c r="E368" s="11"/>
      <c r="F368" s="253"/>
      <c r="G368" s="253"/>
      <c r="H368" s="11"/>
      <c r="I368" s="429"/>
      <c r="J368" s="427"/>
      <c r="K368" s="395"/>
      <c r="L368" s="431"/>
      <c r="M368" s="11"/>
      <c r="N368" s="11"/>
      <c r="O368" s="71"/>
      <c r="P368" s="427"/>
      <c r="Q368" s="397"/>
      <c r="R368" s="395"/>
      <c r="S368" s="398"/>
      <c r="T368" s="399"/>
      <c r="U368" s="11"/>
      <c r="V368" s="11"/>
      <c r="W368" s="11"/>
      <c r="X368" s="11"/>
      <c r="Y368" s="11"/>
      <c r="Z368" s="402"/>
      <c r="AA368" s="402"/>
    </row>
    <row r="369" ht="13.5" customHeight="1">
      <c r="A369" s="11"/>
      <c r="B369" s="11"/>
      <c r="C369" s="11"/>
      <c r="D369" s="11"/>
      <c r="E369" s="11"/>
      <c r="F369" s="253"/>
      <c r="G369" s="253"/>
      <c r="H369" s="11"/>
      <c r="I369" s="429"/>
      <c r="J369" s="427"/>
      <c r="K369" s="395"/>
      <c r="L369" s="431"/>
      <c r="M369" s="11"/>
      <c r="N369" s="11"/>
      <c r="O369" s="71"/>
      <c r="P369" s="427"/>
      <c r="Q369" s="397"/>
      <c r="R369" s="395"/>
      <c r="S369" s="398"/>
      <c r="T369" s="399"/>
      <c r="U369" s="11"/>
      <c r="V369" s="11"/>
      <c r="W369" s="11"/>
      <c r="X369" s="11"/>
      <c r="Y369" s="11"/>
      <c r="Z369" s="402"/>
      <c r="AA369" s="402"/>
    </row>
    <row r="370" ht="13.5" customHeight="1">
      <c r="A370" s="11"/>
      <c r="B370" s="11"/>
      <c r="C370" s="11"/>
      <c r="D370" s="11"/>
      <c r="E370" s="11"/>
      <c r="F370" s="253"/>
      <c r="G370" s="253"/>
      <c r="H370" s="11"/>
      <c r="I370" s="429"/>
      <c r="J370" s="427"/>
      <c r="K370" s="395"/>
      <c r="L370" s="431"/>
      <c r="M370" s="11"/>
      <c r="N370" s="11"/>
      <c r="O370" s="71"/>
      <c r="P370" s="427"/>
      <c r="Q370" s="397"/>
      <c r="R370" s="395"/>
      <c r="S370" s="398"/>
      <c r="T370" s="399"/>
      <c r="U370" s="11"/>
      <c r="V370" s="11"/>
      <c r="W370" s="11"/>
      <c r="X370" s="11"/>
      <c r="Y370" s="11"/>
      <c r="Z370" s="402"/>
      <c r="AA370" s="402"/>
    </row>
    <row r="371" ht="13.5" customHeight="1">
      <c r="A371" s="11"/>
      <c r="B371" s="11"/>
      <c r="C371" s="11"/>
      <c r="D371" s="11"/>
      <c r="E371" s="11"/>
      <c r="F371" s="253"/>
      <c r="G371" s="253"/>
      <c r="H371" s="11"/>
      <c r="I371" s="429"/>
      <c r="J371" s="427"/>
      <c r="K371" s="395"/>
      <c r="L371" s="431"/>
      <c r="M371" s="11"/>
      <c r="N371" s="11"/>
      <c r="O371" s="71"/>
      <c r="P371" s="427"/>
      <c r="Q371" s="397"/>
      <c r="R371" s="395"/>
      <c r="S371" s="398"/>
      <c r="T371" s="399"/>
      <c r="U371" s="11"/>
      <c r="V371" s="11"/>
      <c r="W371" s="11"/>
      <c r="X371" s="11"/>
      <c r="Y371" s="11"/>
      <c r="Z371" s="402"/>
      <c r="AA371" s="402"/>
    </row>
    <row r="372" ht="13.5" customHeight="1">
      <c r="A372" s="11"/>
      <c r="B372" s="11"/>
      <c r="C372" s="11"/>
      <c r="D372" s="11"/>
      <c r="E372" s="11"/>
      <c r="F372" s="253"/>
      <c r="G372" s="253"/>
      <c r="H372" s="11"/>
      <c r="I372" s="429"/>
      <c r="J372" s="427"/>
      <c r="K372" s="395"/>
      <c r="L372" s="431"/>
      <c r="M372" s="11"/>
      <c r="N372" s="11"/>
      <c r="O372" s="71"/>
      <c r="P372" s="427"/>
      <c r="Q372" s="397"/>
      <c r="R372" s="395"/>
      <c r="S372" s="398"/>
      <c r="T372" s="399"/>
      <c r="U372" s="11"/>
      <c r="V372" s="11"/>
      <c r="W372" s="11"/>
      <c r="X372" s="11"/>
      <c r="Y372" s="11"/>
      <c r="Z372" s="402"/>
      <c r="AA372" s="402"/>
    </row>
    <row r="373" ht="13.5" customHeight="1">
      <c r="A373" s="11"/>
      <c r="B373" s="11"/>
      <c r="C373" s="11"/>
      <c r="D373" s="11"/>
      <c r="E373" s="11"/>
      <c r="F373" s="253"/>
      <c r="G373" s="253"/>
      <c r="H373" s="11"/>
      <c r="I373" s="429"/>
      <c r="J373" s="427"/>
      <c r="K373" s="395"/>
      <c r="L373" s="431"/>
      <c r="M373" s="11"/>
      <c r="N373" s="11"/>
      <c r="O373" s="71"/>
      <c r="P373" s="427"/>
      <c r="Q373" s="397"/>
      <c r="R373" s="395"/>
      <c r="S373" s="398"/>
      <c r="T373" s="399"/>
      <c r="U373" s="11"/>
      <c r="V373" s="11"/>
      <c r="W373" s="11"/>
      <c r="X373" s="11"/>
      <c r="Y373" s="11"/>
      <c r="Z373" s="402"/>
      <c r="AA373" s="402"/>
    </row>
    <row r="374" ht="13.5" customHeight="1">
      <c r="A374" s="11"/>
      <c r="B374" s="11"/>
      <c r="C374" s="11"/>
      <c r="D374" s="11"/>
      <c r="E374" s="11"/>
      <c r="F374" s="253"/>
      <c r="G374" s="253"/>
      <c r="H374" s="11"/>
      <c r="I374" s="429"/>
      <c r="J374" s="427"/>
      <c r="K374" s="395"/>
      <c r="L374" s="431"/>
      <c r="M374" s="11"/>
      <c r="N374" s="11"/>
      <c r="O374" s="71"/>
      <c r="P374" s="427"/>
      <c r="Q374" s="397"/>
      <c r="R374" s="395"/>
      <c r="S374" s="398"/>
      <c r="T374" s="399"/>
      <c r="U374" s="11"/>
      <c r="V374" s="11"/>
      <c r="W374" s="11"/>
      <c r="X374" s="11"/>
      <c r="Y374" s="11"/>
      <c r="Z374" s="402"/>
      <c r="AA374" s="402"/>
    </row>
    <row r="375" ht="13.5" customHeight="1">
      <c r="A375" s="11"/>
      <c r="B375" s="11"/>
      <c r="C375" s="11"/>
      <c r="D375" s="11"/>
      <c r="E375" s="11"/>
      <c r="F375" s="253"/>
      <c r="G375" s="253"/>
      <c r="H375" s="11"/>
      <c r="I375" s="429"/>
      <c r="J375" s="427"/>
      <c r="K375" s="395"/>
      <c r="L375" s="431"/>
      <c r="M375" s="11"/>
      <c r="N375" s="11"/>
      <c r="O375" s="71"/>
      <c r="P375" s="427"/>
      <c r="Q375" s="397"/>
      <c r="R375" s="395"/>
      <c r="S375" s="398"/>
      <c r="T375" s="399"/>
      <c r="U375" s="11"/>
      <c r="V375" s="11"/>
      <c r="W375" s="11"/>
      <c r="X375" s="11"/>
      <c r="Y375" s="11"/>
      <c r="Z375" s="402"/>
      <c r="AA375" s="402"/>
    </row>
    <row r="376" ht="13.5" customHeight="1">
      <c r="A376" s="11"/>
      <c r="B376" s="11"/>
      <c r="C376" s="11"/>
      <c r="D376" s="11"/>
      <c r="E376" s="11"/>
      <c r="F376" s="253"/>
      <c r="G376" s="253"/>
      <c r="H376" s="11"/>
      <c r="I376" s="429"/>
      <c r="J376" s="427"/>
      <c r="K376" s="395"/>
      <c r="L376" s="431"/>
      <c r="M376" s="11"/>
      <c r="N376" s="11"/>
      <c r="O376" s="71"/>
      <c r="P376" s="427"/>
      <c r="Q376" s="397"/>
      <c r="R376" s="395"/>
      <c r="S376" s="398"/>
      <c r="T376" s="399"/>
      <c r="U376" s="11"/>
      <c r="V376" s="11"/>
      <c r="W376" s="11"/>
      <c r="X376" s="11"/>
      <c r="Y376" s="11"/>
      <c r="Z376" s="402"/>
      <c r="AA376" s="402"/>
    </row>
    <row r="377" ht="13.5" customHeight="1">
      <c r="A377" s="11"/>
      <c r="B377" s="11"/>
      <c r="C377" s="11"/>
      <c r="D377" s="11"/>
      <c r="E377" s="11"/>
      <c r="F377" s="253"/>
      <c r="G377" s="253"/>
      <c r="H377" s="11"/>
      <c r="I377" s="429"/>
      <c r="J377" s="427"/>
      <c r="K377" s="395"/>
      <c r="L377" s="431"/>
      <c r="M377" s="11"/>
      <c r="N377" s="11"/>
      <c r="O377" s="71"/>
      <c r="P377" s="427"/>
      <c r="Q377" s="397"/>
      <c r="R377" s="395"/>
      <c r="S377" s="398"/>
      <c r="T377" s="399"/>
      <c r="U377" s="11"/>
      <c r="V377" s="11"/>
      <c r="W377" s="11"/>
      <c r="X377" s="11"/>
      <c r="Y377" s="11"/>
      <c r="Z377" s="402"/>
      <c r="AA377" s="402"/>
    </row>
    <row r="378" ht="13.5" customHeight="1">
      <c r="A378" s="11"/>
      <c r="B378" s="11"/>
      <c r="C378" s="11"/>
      <c r="D378" s="11"/>
      <c r="E378" s="11"/>
      <c r="F378" s="253"/>
      <c r="G378" s="253"/>
      <c r="H378" s="11"/>
      <c r="I378" s="429"/>
      <c r="J378" s="427"/>
      <c r="K378" s="395"/>
      <c r="L378" s="431"/>
      <c r="M378" s="11"/>
      <c r="N378" s="11"/>
      <c r="O378" s="71"/>
      <c r="P378" s="427"/>
      <c r="Q378" s="397"/>
      <c r="R378" s="395"/>
      <c r="S378" s="398"/>
      <c r="T378" s="399"/>
      <c r="U378" s="11"/>
      <c r="V378" s="11"/>
      <c r="W378" s="11"/>
      <c r="X378" s="11"/>
      <c r="Y378" s="11"/>
      <c r="Z378" s="402"/>
      <c r="AA378" s="402"/>
    </row>
    <row r="379" ht="13.5" customHeight="1">
      <c r="A379" s="11"/>
      <c r="B379" s="11"/>
      <c r="C379" s="11"/>
      <c r="D379" s="11"/>
      <c r="E379" s="11"/>
      <c r="F379" s="253"/>
      <c r="G379" s="253"/>
      <c r="H379" s="11"/>
      <c r="I379" s="429"/>
      <c r="J379" s="427"/>
      <c r="K379" s="395"/>
      <c r="L379" s="431"/>
      <c r="M379" s="11"/>
      <c r="N379" s="11"/>
      <c r="O379" s="71"/>
      <c r="P379" s="427"/>
      <c r="Q379" s="397"/>
      <c r="R379" s="395"/>
      <c r="S379" s="398"/>
      <c r="T379" s="399"/>
      <c r="U379" s="11"/>
      <c r="V379" s="11"/>
      <c r="W379" s="11"/>
      <c r="X379" s="11"/>
      <c r="Y379" s="11"/>
      <c r="Z379" s="402"/>
      <c r="AA379" s="402"/>
    </row>
    <row r="380" ht="13.5" customHeight="1">
      <c r="A380" s="11"/>
      <c r="B380" s="11"/>
      <c r="C380" s="11"/>
      <c r="D380" s="11"/>
      <c r="E380" s="11"/>
      <c r="F380" s="253"/>
      <c r="G380" s="253"/>
      <c r="H380" s="11"/>
      <c r="I380" s="429"/>
      <c r="J380" s="427"/>
      <c r="K380" s="395"/>
      <c r="L380" s="431"/>
      <c r="M380" s="11"/>
      <c r="N380" s="11"/>
      <c r="O380" s="71"/>
      <c r="P380" s="427"/>
      <c r="Q380" s="397"/>
      <c r="R380" s="395"/>
      <c r="S380" s="398"/>
      <c r="T380" s="399"/>
      <c r="U380" s="11"/>
      <c r="V380" s="11"/>
      <c r="W380" s="11"/>
      <c r="X380" s="11"/>
      <c r="Y380" s="11"/>
      <c r="Z380" s="402"/>
      <c r="AA380" s="402"/>
    </row>
    <row r="381" ht="13.5" customHeight="1">
      <c r="A381" s="11"/>
      <c r="B381" s="11"/>
      <c r="C381" s="11"/>
      <c r="D381" s="11"/>
      <c r="E381" s="11"/>
      <c r="F381" s="253"/>
      <c r="G381" s="253"/>
      <c r="H381" s="11"/>
      <c r="I381" s="429"/>
      <c r="J381" s="427"/>
      <c r="K381" s="395"/>
      <c r="L381" s="431"/>
      <c r="M381" s="11"/>
      <c r="N381" s="11"/>
      <c r="O381" s="71"/>
      <c r="P381" s="427"/>
      <c r="Q381" s="397"/>
      <c r="R381" s="395"/>
      <c r="S381" s="398"/>
      <c r="T381" s="399"/>
      <c r="U381" s="11"/>
      <c r="V381" s="11"/>
      <c r="W381" s="11"/>
      <c r="X381" s="11"/>
      <c r="Y381" s="11"/>
      <c r="Z381" s="402"/>
      <c r="AA381" s="402"/>
    </row>
    <row r="382" ht="13.5" customHeight="1">
      <c r="A382" s="11"/>
      <c r="B382" s="11"/>
      <c r="C382" s="11"/>
      <c r="D382" s="11"/>
      <c r="E382" s="11"/>
      <c r="F382" s="253"/>
      <c r="G382" s="253"/>
      <c r="H382" s="11"/>
      <c r="I382" s="429"/>
      <c r="J382" s="427"/>
      <c r="K382" s="395"/>
      <c r="L382" s="431"/>
      <c r="M382" s="11"/>
      <c r="N382" s="11"/>
      <c r="O382" s="71"/>
      <c r="P382" s="427"/>
      <c r="Q382" s="397"/>
      <c r="R382" s="395"/>
      <c r="S382" s="398"/>
      <c r="T382" s="399"/>
      <c r="U382" s="11"/>
      <c r="V382" s="11"/>
      <c r="W382" s="11"/>
      <c r="X382" s="11"/>
      <c r="Y382" s="11"/>
      <c r="Z382" s="402"/>
      <c r="AA382" s="402"/>
    </row>
    <row r="383" ht="13.5" customHeight="1">
      <c r="A383" s="11"/>
      <c r="B383" s="11"/>
      <c r="C383" s="11"/>
      <c r="D383" s="11"/>
      <c r="E383" s="11"/>
      <c r="F383" s="253"/>
      <c r="G383" s="253"/>
      <c r="H383" s="11"/>
      <c r="I383" s="429"/>
      <c r="J383" s="427"/>
      <c r="K383" s="395"/>
      <c r="L383" s="431"/>
      <c r="M383" s="11"/>
      <c r="N383" s="11"/>
      <c r="O383" s="71"/>
      <c r="P383" s="427"/>
      <c r="Q383" s="397"/>
      <c r="R383" s="395"/>
      <c r="S383" s="398"/>
      <c r="T383" s="399"/>
      <c r="U383" s="11"/>
      <c r="V383" s="11"/>
      <c r="W383" s="11"/>
      <c r="X383" s="11"/>
      <c r="Y383" s="11"/>
      <c r="Z383" s="402"/>
      <c r="AA383" s="402"/>
    </row>
    <row r="384" ht="13.5" customHeight="1">
      <c r="A384" s="11"/>
      <c r="B384" s="11"/>
      <c r="C384" s="11"/>
      <c r="D384" s="11"/>
      <c r="E384" s="11"/>
      <c r="F384" s="253"/>
      <c r="G384" s="253"/>
      <c r="H384" s="11"/>
      <c r="I384" s="429"/>
      <c r="J384" s="427"/>
      <c r="K384" s="395"/>
      <c r="L384" s="431"/>
      <c r="M384" s="11"/>
      <c r="N384" s="11"/>
      <c r="O384" s="71"/>
      <c r="P384" s="427"/>
      <c r="Q384" s="397"/>
      <c r="R384" s="395"/>
      <c r="S384" s="398"/>
      <c r="T384" s="399"/>
      <c r="U384" s="11"/>
      <c r="V384" s="11"/>
      <c r="W384" s="11"/>
      <c r="X384" s="11"/>
      <c r="Y384" s="11"/>
      <c r="Z384" s="402"/>
      <c r="AA384" s="402"/>
    </row>
    <row r="385" ht="13.5" customHeight="1">
      <c r="A385" s="11"/>
      <c r="B385" s="11"/>
      <c r="C385" s="11"/>
      <c r="D385" s="11"/>
      <c r="E385" s="11"/>
      <c r="F385" s="253"/>
      <c r="G385" s="253"/>
      <c r="H385" s="11"/>
      <c r="I385" s="429"/>
      <c r="J385" s="427"/>
      <c r="K385" s="395"/>
      <c r="L385" s="431"/>
      <c r="M385" s="11"/>
      <c r="N385" s="11"/>
      <c r="O385" s="71"/>
      <c r="P385" s="427"/>
      <c r="Q385" s="397"/>
      <c r="R385" s="395"/>
      <c r="S385" s="398"/>
      <c r="T385" s="399"/>
      <c r="U385" s="11"/>
      <c r="V385" s="11"/>
      <c r="W385" s="11"/>
      <c r="X385" s="11"/>
      <c r="Y385" s="11"/>
      <c r="Z385" s="402"/>
      <c r="AA385" s="402"/>
    </row>
    <row r="386" ht="13.5" customHeight="1">
      <c r="A386" s="11"/>
      <c r="B386" s="11"/>
      <c r="C386" s="11"/>
      <c r="D386" s="11"/>
      <c r="E386" s="11"/>
      <c r="F386" s="253"/>
      <c r="G386" s="253"/>
      <c r="H386" s="11"/>
      <c r="I386" s="429"/>
      <c r="J386" s="427"/>
      <c r="K386" s="395"/>
      <c r="L386" s="431"/>
      <c r="M386" s="11"/>
      <c r="N386" s="11"/>
      <c r="O386" s="71"/>
      <c r="P386" s="427"/>
      <c r="Q386" s="397"/>
      <c r="R386" s="395"/>
      <c r="S386" s="398"/>
      <c r="T386" s="399"/>
      <c r="U386" s="11"/>
      <c r="V386" s="11"/>
      <c r="W386" s="11"/>
      <c r="X386" s="11"/>
      <c r="Y386" s="11"/>
      <c r="Z386" s="402"/>
      <c r="AA386" s="402"/>
    </row>
    <row r="387" ht="13.5" customHeight="1">
      <c r="A387" s="11"/>
      <c r="B387" s="11"/>
      <c r="C387" s="11"/>
      <c r="D387" s="11"/>
      <c r="E387" s="11"/>
      <c r="F387" s="253"/>
      <c r="G387" s="253"/>
      <c r="H387" s="11"/>
      <c r="I387" s="429"/>
      <c r="J387" s="427"/>
      <c r="K387" s="395"/>
      <c r="L387" s="431"/>
      <c r="M387" s="11"/>
      <c r="N387" s="11"/>
      <c r="O387" s="71"/>
      <c r="P387" s="427"/>
      <c r="Q387" s="397"/>
      <c r="R387" s="395"/>
      <c r="S387" s="398"/>
      <c r="T387" s="399"/>
      <c r="U387" s="11"/>
      <c r="V387" s="11"/>
      <c r="W387" s="11"/>
      <c r="X387" s="11"/>
      <c r="Y387" s="11"/>
      <c r="Z387" s="402"/>
      <c r="AA387" s="402"/>
    </row>
    <row r="388" ht="13.5" customHeight="1">
      <c r="A388" s="11"/>
      <c r="B388" s="11"/>
      <c r="C388" s="11"/>
      <c r="D388" s="11"/>
      <c r="E388" s="11"/>
      <c r="F388" s="253"/>
      <c r="G388" s="253"/>
      <c r="H388" s="11"/>
      <c r="I388" s="429"/>
      <c r="J388" s="427"/>
      <c r="K388" s="395"/>
      <c r="L388" s="431"/>
      <c r="M388" s="11"/>
      <c r="N388" s="11"/>
      <c r="O388" s="71"/>
      <c r="P388" s="427"/>
      <c r="Q388" s="397"/>
      <c r="R388" s="395"/>
      <c r="S388" s="398"/>
      <c r="T388" s="399"/>
      <c r="U388" s="11"/>
      <c r="V388" s="11"/>
      <c r="W388" s="11"/>
      <c r="X388" s="11"/>
      <c r="Y388" s="11"/>
      <c r="Z388" s="402"/>
      <c r="AA388" s="402"/>
    </row>
    <row r="389" ht="13.5" customHeight="1">
      <c r="A389" s="11"/>
      <c r="B389" s="11"/>
      <c r="C389" s="11"/>
      <c r="D389" s="11"/>
      <c r="E389" s="11"/>
      <c r="F389" s="253"/>
      <c r="G389" s="253"/>
      <c r="H389" s="11"/>
      <c r="I389" s="429"/>
      <c r="J389" s="427"/>
      <c r="K389" s="395"/>
      <c r="L389" s="431"/>
      <c r="M389" s="11"/>
      <c r="N389" s="11"/>
      <c r="O389" s="71"/>
      <c r="P389" s="427"/>
      <c r="Q389" s="397"/>
      <c r="R389" s="395"/>
      <c r="S389" s="398"/>
      <c r="T389" s="399"/>
      <c r="U389" s="11"/>
      <c r="V389" s="11"/>
      <c r="W389" s="11"/>
      <c r="X389" s="11"/>
      <c r="Y389" s="11"/>
      <c r="Z389" s="402"/>
      <c r="AA389" s="402"/>
    </row>
    <row r="390" ht="13.5" customHeight="1">
      <c r="A390" s="11"/>
      <c r="B390" s="11"/>
      <c r="C390" s="11"/>
      <c r="D390" s="11"/>
      <c r="E390" s="11"/>
      <c r="F390" s="253"/>
      <c r="G390" s="253"/>
      <c r="H390" s="11"/>
      <c r="I390" s="429"/>
      <c r="J390" s="427"/>
      <c r="K390" s="395"/>
      <c r="L390" s="431"/>
      <c r="M390" s="11"/>
      <c r="N390" s="11"/>
      <c r="O390" s="71"/>
      <c r="P390" s="427"/>
      <c r="Q390" s="397"/>
      <c r="R390" s="395"/>
      <c r="S390" s="398"/>
      <c r="T390" s="399"/>
      <c r="U390" s="11"/>
      <c r="V390" s="11"/>
      <c r="W390" s="11"/>
      <c r="X390" s="11"/>
      <c r="Y390" s="11"/>
      <c r="Z390" s="402"/>
      <c r="AA390" s="402"/>
    </row>
    <row r="391" ht="13.5" customHeight="1">
      <c r="A391" s="11"/>
      <c r="B391" s="11"/>
      <c r="C391" s="11"/>
      <c r="D391" s="11"/>
      <c r="E391" s="11"/>
      <c r="F391" s="253"/>
      <c r="G391" s="253"/>
      <c r="H391" s="11"/>
      <c r="I391" s="429"/>
      <c r="J391" s="427"/>
      <c r="K391" s="395"/>
      <c r="L391" s="431"/>
      <c r="M391" s="11"/>
      <c r="N391" s="11"/>
      <c r="O391" s="71"/>
      <c r="P391" s="427"/>
      <c r="Q391" s="397"/>
      <c r="R391" s="395"/>
      <c r="S391" s="398"/>
      <c r="T391" s="399"/>
      <c r="U391" s="11"/>
      <c r="V391" s="11"/>
      <c r="W391" s="11"/>
      <c r="X391" s="11"/>
      <c r="Y391" s="11"/>
      <c r="Z391" s="402"/>
      <c r="AA391" s="402"/>
    </row>
    <row r="392" ht="13.5" customHeight="1">
      <c r="A392" s="11"/>
      <c r="B392" s="11"/>
      <c r="C392" s="11"/>
      <c r="D392" s="11"/>
      <c r="E392" s="11"/>
      <c r="F392" s="253"/>
      <c r="G392" s="253"/>
      <c r="H392" s="11"/>
      <c r="I392" s="429"/>
      <c r="J392" s="427"/>
      <c r="K392" s="395"/>
      <c r="L392" s="431"/>
      <c r="M392" s="11"/>
      <c r="N392" s="11"/>
      <c r="O392" s="71"/>
      <c r="P392" s="427"/>
      <c r="Q392" s="397"/>
      <c r="R392" s="395"/>
      <c r="S392" s="398"/>
      <c r="T392" s="399"/>
      <c r="U392" s="11"/>
      <c r="V392" s="11"/>
      <c r="W392" s="11"/>
      <c r="X392" s="11"/>
      <c r="Y392" s="11"/>
      <c r="Z392" s="402"/>
      <c r="AA392" s="402"/>
    </row>
    <row r="393" ht="13.5" customHeight="1">
      <c r="A393" s="11"/>
      <c r="B393" s="11"/>
      <c r="C393" s="11"/>
      <c r="D393" s="11"/>
      <c r="E393" s="11"/>
      <c r="F393" s="253"/>
      <c r="G393" s="253"/>
      <c r="H393" s="11"/>
      <c r="I393" s="429"/>
      <c r="J393" s="427"/>
      <c r="K393" s="395"/>
      <c r="L393" s="431"/>
      <c r="M393" s="11"/>
      <c r="N393" s="11"/>
      <c r="O393" s="71"/>
      <c r="P393" s="427"/>
      <c r="Q393" s="397"/>
      <c r="R393" s="395"/>
      <c r="S393" s="398"/>
      <c r="T393" s="399"/>
      <c r="U393" s="11"/>
      <c r="V393" s="11"/>
      <c r="W393" s="11"/>
      <c r="X393" s="11"/>
      <c r="Y393" s="11"/>
      <c r="Z393" s="402"/>
      <c r="AA393" s="402"/>
    </row>
    <row r="394" ht="13.5" customHeight="1">
      <c r="A394" s="11"/>
      <c r="B394" s="11"/>
      <c r="C394" s="11"/>
      <c r="D394" s="11"/>
      <c r="E394" s="11"/>
      <c r="F394" s="253"/>
      <c r="G394" s="253"/>
      <c r="H394" s="11"/>
      <c r="I394" s="429"/>
      <c r="J394" s="427"/>
      <c r="K394" s="395"/>
      <c r="L394" s="431"/>
      <c r="M394" s="11"/>
      <c r="N394" s="11"/>
      <c r="O394" s="71"/>
      <c r="P394" s="427"/>
      <c r="Q394" s="397"/>
      <c r="R394" s="395"/>
      <c r="S394" s="398"/>
      <c r="T394" s="399"/>
      <c r="U394" s="11"/>
      <c r="V394" s="11"/>
      <c r="W394" s="11"/>
      <c r="X394" s="11"/>
      <c r="Y394" s="11"/>
      <c r="Z394" s="402"/>
      <c r="AA394" s="402"/>
    </row>
    <row r="395" ht="13.5" customHeight="1">
      <c r="A395" s="11"/>
      <c r="B395" s="11"/>
      <c r="C395" s="11"/>
      <c r="D395" s="11"/>
      <c r="E395" s="11"/>
      <c r="F395" s="253"/>
      <c r="G395" s="253"/>
      <c r="H395" s="11"/>
      <c r="I395" s="429"/>
      <c r="J395" s="427"/>
      <c r="K395" s="395"/>
      <c r="L395" s="431"/>
      <c r="M395" s="11"/>
      <c r="N395" s="11"/>
      <c r="O395" s="71"/>
      <c r="P395" s="427"/>
      <c r="Q395" s="397"/>
      <c r="R395" s="395"/>
      <c r="S395" s="398"/>
      <c r="T395" s="399"/>
      <c r="U395" s="11"/>
      <c r="V395" s="11"/>
      <c r="W395" s="11"/>
      <c r="X395" s="11"/>
      <c r="Y395" s="11"/>
      <c r="Z395" s="402"/>
      <c r="AA395" s="402"/>
    </row>
    <row r="396" ht="13.5" customHeight="1">
      <c r="A396" s="11"/>
      <c r="B396" s="11"/>
      <c r="C396" s="11"/>
      <c r="D396" s="11"/>
      <c r="E396" s="11"/>
      <c r="F396" s="253"/>
      <c r="G396" s="253"/>
      <c r="H396" s="11"/>
      <c r="I396" s="429"/>
      <c r="J396" s="427"/>
      <c r="K396" s="395"/>
      <c r="L396" s="431"/>
      <c r="M396" s="11"/>
      <c r="N396" s="11"/>
      <c r="O396" s="71"/>
      <c r="P396" s="427"/>
      <c r="Q396" s="397"/>
      <c r="R396" s="395"/>
      <c r="S396" s="398"/>
      <c r="T396" s="399"/>
      <c r="U396" s="11"/>
      <c r="V396" s="11"/>
      <c r="W396" s="11"/>
      <c r="X396" s="11"/>
      <c r="Y396" s="11"/>
      <c r="Z396" s="402"/>
      <c r="AA396" s="402"/>
    </row>
    <row r="397" ht="13.5" customHeight="1">
      <c r="A397" s="11"/>
      <c r="B397" s="11"/>
      <c r="C397" s="11"/>
      <c r="D397" s="11"/>
      <c r="E397" s="11"/>
      <c r="F397" s="253"/>
      <c r="G397" s="253"/>
      <c r="H397" s="11"/>
      <c r="I397" s="429"/>
      <c r="J397" s="427"/>
      <c r="K397" s="395"/>
      <c r="L397" s="431"/>
      <c r="M397" s="11"/>
      <c r="N397" s="11"/>
      <c r="O397" s="71"/>
      <c r="P397" s="427"/>
      <c r="Q397" s="397"/>
      <c r="R397" s="395"/>
      <c r="S397" s="398"/>
      <c r="T397" s="399"/>
      <c r="U397" s="11"/>
      <c r="V397" s="11"/>
      <c r="W397" s="11"/>
      <c r="X397" s="11"/>
      <c r="Y397" s="11"/>
      <c r="Z397" s="402"/>
      <c r="AA397" s="402"/>
    </row>
    <row r="398" ht="13.5" customHeight="1">
      <c r="A398" s="11"/>
      <c r="B398" s="11"/>
      <c r="C398" s="11"/>
      <c r="D398" s="11"/>
      <c r="E398" s="11"/>
      <c r="F398" s="253"/>
      <c r="G398" s="253"/>
      <c r="H398" s="11"/>
      <c r="I398" s="429"/>
      <c r="J398" s="427"/>
      <c r="K398" s="395"/>
      <c r="L398" s="431"/>
      <c r="M398" s="11"/>
      <c r="N398" s="11"/>
      <c r="O398" s="71"/>
      <c r="P398" s="427"/>
      <c r="Q398" s="397"/>
      <c r="R398" s="395"/>
      <c r="S398" s="398"/>
      <c r="T398" s="399"/>
      <c r="U398" s="11"/>
      <c r="V398" s="11"/>
      <c r="W398" s="11"/>
      <c r="X398" s="11"/>
      <c r="Y398" s="11"/>
      <c r="Z398" s="402"/>
      <c r="AA398" s="402"/>
    </row>
    <row r="399" ht="13.5" customHeight="1">
      <c r="A399" s="11"/>
      <c r="B399" s="11"/>
      <c r="C399" s="11"/>
      <c r="D399" s="11"/>
      <c r="E399" s="11"/>
      <c r="F399" s="253"/>
      <c r="G399" s="253"/>
      <c r="H399" s="11"/>
      <c r="I399" s="429"/>
      <c r="J399" s="427"/>
      <c r="K399" s="395"/>
      <c r="L399" s="431"/>
      <c r="M399" s="11"/>
      <c r="N399" s="11"/>
      <c r="O399" s="71"/>
      <c r="P399" s="427"/>
      <c r="Q399" s="397"/>
      <c r="R399" s="395"/>
      <c r="S399" s="398"/>
      <c r="T399" s="399"/>
      <c r="U399" s="11"/>
      <c r="V399" s="11"/>
      <c r="W399" s="11"/>
      <c r="X399" s="11"/>
      <c r="Y399" s="11"/>
      <c r="Z399" s="402"/>
      <c r="AA399" s="402"/>
    </row>
    <row r="400" ht="13.5" customHeight="1">
      <c r="A400" s="11"/>
      <c r="B400" s="11"/>
      <c r="C400" s="11"/>
      <c r="D400" s="11"/>
      <c r="E400" s="11"/>
      <c r="F400" s="253"/>
      <c r="G400" s="253"/>
      <c r="H400" s="11"/>
      <c r="I400" s="429"/>
      <c r="J400" s="427"/>
      <c r="K400" s="395"/>
      <c r="L400" s="431"/>
      <c r="M400" s="11"/>
      <c r="N400" s="11"/>
      <c r="O400" s="71"/>
      <c r="P400" s="427"/>
      <c r="Q400" s="397"/>
      <c r="R400" s="395"/>
      <c r="S400" s="398"/>
      <c r="T400" s="399"/>
      <c r="U400" s="11"/>
      <c r="V400" s="11"/>
      <c r="W400" s="11"/>
      <c r="X400" s="11"/>
      <c r="Y400" s="11"/>
      <c r="Z400" s="402"/>
      <c r="AA400" s="402"/>
    </row>
    <row r="401" ht="13.5" customHeight="1">
      <c r="A401" s="11"/>
      <c r="B401" s="11"/>
      <c r="C401" s="11"/>
      <c r="D401" s="11"/>
      <c r="E401" s="11"/>
      <c r="F401" s="253"/>
      <c r="G401" s="253"/>
      <c r="H401" s="11"/>
      <c r="I401" s="429"/>
      <c r="J401" s="427"/>
      <c r="K401" s="395"/>
      <c r="L401" s="431"/>
      <c r="M401" s="11"/>
      <c r="N401" s="11"/>
      <c r="O401" s="71"/>
      <c r="P401" s="427"/>
      <c r="Q401" s="397"/>
      <c r="R401" s="395"/>
      <c r="S401" s="398"/>
      <c r="T401" s="399"/>
      <c r="U401" s="11"/>
      <c r="V401" s="11"/>
      <c r="W401" s="11"/>
      <c r="X401" s="11"/>
      <c r="Y401" s="11"/>
      <c r="Z401" s="402"/>
      <c r="AA401" s="402"/>
    </row>
    <row r="402" ht="13.5" customHeight="1">
      <c r="A402" s="11"/>
      <c r="B402" s="11"/>
      <c r="C402" s="11"/>
      <c r="D402" s="11"/>
      <c r="E402" s="11"/>
      <c r="F402" s="253"/>
      <c r="G402" s="253"/>
      <c r="H402" s="11"/>
      <c r="I402" s="429"/>
      <c r="J402" s="427"/>
      <c r="K402" s="395"/>
      <c r="L402" s="431"/>
      <c r="M402" s="11"/>
      <c r="N402" s="11"/>
      <c r="O402" s="71"/>
      <c r="P402" s="427"/>
      <c r="Q402" s="397"/>
      <c r="R402" s="395"/>
      <c r="S402" s="398"/>
      <c r="T402" s="399"/>
      <c r="U402" s="11"/>
      <c r="V402" s="11"/>
      <c r="W402" s="11"/>
      <c r="X402" s="11"/>
      <c r="Y402" s="11"/>
      <c r="Z402" s="402"/>
      <c r="AA402" s="402"/>
    </row>
    <row r="403" ht="13.5" customHeight="1">
      <c r="A403" s="11"/>
      <c r="B403" s="11"/>
      <c r="C403" s="11"/>
      <c r="D403" s="11"/>
      <c r="E403" s="11"/>
      <c r="F403" s="253"/>
      <c r="G403" s="253"/>
      <c r="H403" s="11"/>
      <c r="I403" s="429"/>
      <c r="J403" s="427"/>
      <c r="K403" s="395"/>
      <c r="L403" s="431"/>
      <c r="M403" s="11"/>
      <c r="N403" s="11"/>
      <c r="O403" s="71"/>
      <c r="P403" s="427"/>
      <c r="Q403" s="397"/>
      <c r="R403" s="395"/>
      <c r="S403" s="398"/>
      <c r="T403" s="399"/>
      <c r="U403" s="11"/>
      <c r="V403" s="11"/>
      <c r="W403" s="11"/>
      <c r="X403" s="11"/>
      <c r="Y403" s="11"/>
      <c r="Z403" s="402"/>
      <c r="AA403" s="402"/>
    </row>
    <row r="404" ht="13.5" customHeight="1">
      <c r="A404" s="11"/>
      <c r="B404" s="11"/>
      <c r="C404" s="11"/>
      <c r="D404" s="11"/>
      <c r="E404" s="11"/>
      <c r="F404" s="253"/>
      <c r="G404" s="253"/>
      <c r="H404" s="11"/>
      <c r="I404" s="429"/>
      <c r="J404" s="427"/>
      <c r="K404" s="395"/>
      <c r="L404" s="431"/>
      <c r="M404" s="11"/>
      <c r="N404" s="11"/>
      <c r="O404" s="71"/>
      <c r="P404" s="427"/>
      <c r="Q404" s="397"/>
      <c r="R404" s="395"/>
      <c r="S404" s="398"/>
      <c r="T404" s="399"/>
      <c r="U404" s="11"/>
      <c r="V404" s="11"/>
      <c r="W404" s="11"/>
      <c r="X404" s="11"/>
      <c r="Y404" s="11"/>
      <c r="Z404" s="402"/>
      <c r="AA404" s="402"/>
    </row>
    <row r="405" ht="13.5" customHeight="1">
      <c r="A405" s="11"/>
      <c r="B405" s="11"/>
      <c r="C405" s="11"/>
      <c r="D405" s="11"/>
      <c r="E405" s="11"/>
      <c r="F405" s="253"/>
      <c r="G405" s="253"/>
      <c r="H405" s="11"/>
      <c r="I405" s="429"/>
      <c r="J405" s="427"/>
      <c r="K405" s="395"/>
      <c r="L405" s="431"/>
      <c r="M405" s="11"/>
      <c r="N405" s="11"/>
      <c r="O405" s="71"/>
      <c r="P405" s="427"/>
      <c r="Q405" s="397"/>
      <c r="R405" s="395"/>
      <c r="S405" s="398"/>
      <c r="T405" s="399"/>
      <c r="U405" s="11"/>
      <c r="V405" s="11"/>
      <c r="W405" s="11"/>
      <c r="X405" s="11"/>
      <c r="Y405" s="11"/>
      <c r="Z405" s="402"/>
      <c r="AA405" s="402"/>
    </row>
    <row r="406" ht="13.5" customHeight="1">
      <c r="A406" s="11"/>
      <c r="B406" s="11"/>
      <c r="C406" s="11"/>
      <c r="D406" s="11"/>
      <c r="E406" s="11"/>
      <c r="F406" s="253"/>
      <c r="G406" s="253"/>
      <c r="H406" s="11"/>
      <c r="I406" s="429"/>
      <c r="J406" s="427"/>
      <c r="K406" s="395"/>
      <c r="L406" s="431"/>
      <c r="M406" s="11"/>
      <c r="N406" s="11"/>
      <c r="O406" s="71"/>
      <c r="P406" s="427"/>
      <c r="Q406" s="397"/>
      <c r="R406" s="395"/>
      <c r="S406" s="398"/>
      <c r="T406" s="399"/>
      <c r="U406" s="11"/>
      <c r="V406" s="11"/>
      <c r="W406" s="11"/>
      <c r="X406" s="11"/>
      <c r="Y406" s="11"/>
      <c r="Z406" s="402"/>
      <c r="AA406" s="402"/>
    </row>
    <row r="407" ht="13.5" customHeight="1">
      <c r="A407" s="11"/>
      <c r="B407" s="11"/>
      <c r="C407" s="11"/>
      <c r="D407" s="11"/>
      <c r="E407" s="11"/>
      <c r="F407" s="253"/>
      <c r="G407" s="253"/>
      <c r="H407" s="11"/>
      <c r="I407" s="429"/>
      <c r="J407" s="427"/>
      <c r="K407" s="395"/>
      <c r="L407" s="431"/>
      <c r="M407" s="11"/>
      <c r="N407" s="11"/>
      <c r="O407" s="71"/>
      <c r="P407" s="427"/>
      <c r="Q407" s="397"/>
      <c r="R407" s="395"/>
      <c r="S407" s="398"/>
      <c r="T407" s="399"/>
      <c r="U407" s="11"/>
      <c r="V407" s="11"/>
      <c r="W407" s="11"/>
      <c r="X407" s="11"/>
      <c r="Y407" s="11"/>
      <c r="Z407" s="402"/>
      <c r="AA407" s="402"/>
    </row>
  </sheetData>
  <mergeCells count="55">
    <mergeCell ref="P244:Q244"/>
    <mergeCell ref="P245:Q245"/>
    <mergeCell ref="P246:Q246"/>
    <mergeCell ref="P247:Q247"/>
    <mergeCell ref="P248:Q248"/>
    <mergeCell ref="C249:K249"/>
    <mergeCell ref="P249:Q249"/>
    <mergeCell ref="C238:L238"/>
    <mergeCell ref="M238:R238"/>
    <mergeCell ref="P239:Q239"/>
    <mergeCell ref="P240:Q240"/>
    <mergeCell ref="P241:Q241"/>
    <mergeCell ref="P242:Q242"/>
    <mergeCell ref="P243:Q243"/>
    <mergeCell ref="A101:A108"/>
    <mergeCell ref="A109:A197"/>
    <mergeCell ref="A198:A199"/>
    <mergeCell ref="A2:A100"/>
    <mergeCell ref="F91:I91"/>
    <mergeCell ref="F92:I92"/>
    <mergeCell ref="F93:I93"/>
    <mergeCell ref="F94:I94"/>
    <mergeCell ref="F95:I95"/>
    <mergeCell ref="F96:I96"/>
    <mergeCell ref="F97:I97"/>
    <mergeCell ref="F98:I98"/>
    <mergeCell ref="C208:L208"/>
    <mergeCell ref="M208:R208"/>
    <mergeCell ref="P209:Q209"/>
    <mergeCell ref="P210:Q210"/>
    <mergeCell ref="P211:Q211"/>
    <mergeCell ref="C220:K220"/>
    <mergeCell ref="C223:L223"/>
    <mergeCell ref="M223:R223"/>
    <mergeCell ref="P212:Q212"/>
    <mergeCell ref="P213:Q213"/>
    <mergeCell ref="P214:Q214"/>
    <mergeCell ref="P215:Q215"/>
    <mergeCell ref="P216:Q216"/>
    <mergeCell ref="P217:Q217"/>
    <mergeCell ref="C219:K219"/>
    <mergeCell ref="P218:Q218"/>
    <mergeCell ref="P219:Q219"/>
    <mergeCell ref="P224:Q224"/>
    <mergeCell ref="P225:Q225"/>
    <mergeCell ref="P226:Q226"/>
    <mergeCell ref="P227:Q227"/>
    <mergeCell ref="P228:Q228"/>
    <mergeCell ref="P229:Q229"/>
    <mergeCell ref="P230:Q230"/>
    <mergeCell ref="P231:Q231"/>
    <mergeCell ref="P232:Q232"/>
    <mergeCell ref="P233:Q233"/>
    <mergeCell ref="C234:K234"/>
    <mergeCell ref="P234:Q234"/>
  </mergeCells>
  <conditionalFormatting sqref="P210:Q219 P225:Q234 P240:Q249">
    <cfRule type="cellIs" dxfId="0" priority="1" operator="greaterThanOrEqual">
      <formula>1</formula>
    </cfRule>
  </conditionalFormatting>
  <printOptions/>
  <pageMargins bottom="0.75" footer="0.0" header="0.0" left="0.7" right="0.7" top="0.75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 outlineLevelCol="1" outlineLevelRow="1"/>
  <cols>
    <col customWidth="1" min="1" max="1" width="6.29"/>
    <col customWidth="1" min="2" max="2" width="20.29"/>
    <col customWidth="1" min="3" max="3" width="13.43"/>
    <col customWidth="1" min="4" max="4" width="12.0"/>
    <col customWidth="1" min="5" max="5" width="14.43"/>
    <col customWidth="1" hidden="1" min="6" max="6" width="10.29" outlineLevel="1"/>
    <col customWidth="1" hidden="1" min="7" max="7" width="9.71" outlineLevel="1"/>
    <col customWidth="1" hidden="1" min="8" max="8" width="13.29" outlineLevel="1"/>
    <col collapsed="1" customWidth="1" min="9" max="9" width="8.71"/>
    <col customWidth="1" min="10" max="10" width="8.0"/>
    <col customWidth="1" min="11" max="11" width="7.71"/>
    <col customWidth="1" min="12" max="12" width="12.86"/>
    <col customWidth="1" min="13" max="13" width="12.57"/>
    <col customWidth="1" min="14" max="14" width="9.86"/>
    <col customWidth="1" min="15" max="15" width="11.43"/>
    <col customWidth="1" hidden="1" min="16" max="16" width="11.57" outlineLevel="1"/>
    <col collapsed="1" customWidth="1" min="17" max="17" width="12.71"/>
    <col customWidth="1" min="18" max="18" width="14.57"/>
    <col customWidth="1" min="19" max="19" width="13.0" outlineLevel="1"/>
    <col customWidth="1" min="20" max="20" width="13.14" outlineLevel="1"/>
    <col customWidth="1" min="21" max="21" width="9.71"/>
    <col customWidth="1" min="22" max="22" width="8.71"/>
    <col customWidth="1" min="23" max="25" width="10.71"/>
    <col customWidth="1" min="26" max="27" width="8.71"/>
  </cols>
  <sheetData>
    <row r="1" ht="13.5" customHeight="1">
      <c r="A1" s="134" t="s">
        <v>34</v>
      </c>
      <c r="B1" s="135" t="s">
        <v>22</v>
      </c>
      <c r="C1" s="136" t="s">
        <v>35</v>
      </c>
      <c r="D1" s="77" t="s">
        <v>24</v>
      </c>
      <c r="E1" s="77" t="s">
        <v>25</v>
      </c>
      <c r="F1" s="77" t="s">
        <v>36</v>
      </c>
      <c r="G1" s="137" t="s">
        <v>37</v>
      </c>
      <c r="H1" s="77" t="s">
        <v>38</v>
      </c>
      <c r="I1" s="138" t="s">
        <v>26</v>
      </c>
      <c r="J1" s="139" t="s">
        <v>27</v>
      </c>
      <c r="K1" s="77" t="s">
        <v>39</v>
      </c>
      <c r="L1" s="77" t="s">
        <v>40</v>
      </c>
      <c r="M1" s="77" t="s">
        <v>41</v>
      </c>
      <c r="N1" s="136" t="s">
        <v>42</v>
      </c>
      <c r="O1" s="103" t="s">
        <v>43</v>
      </c>
      <c r="P1" s="77" t="s">
        <v>44</v>
      </c>
      <c r="Q1" s="79" t="s">
        <v>45</v>
      </c>
      <c r="R1" s="140" t="s">
        <v>46</v>
      </c>
      <c r="S1" s="77" t="s">
        <v>47</v>
      </c>
      <c r="T1" s="136" t="s">
        <v>48</v>
      </c>
      <c r="U1" s="141" t="s">
        <v>49</v>
      </c>
      <c r="V1" s="74"/>
      <c r="W1" s="75"/>
      <c r="X1" s="75"/>
      <c r="Y1" s="75"/>
      <c r="Z1" s="4"/>
      <c r="AA1" s="4"/>
    </row>
    <row r="2" ht="13.5" customHeight="1">
      <c r="A2" s="142" t="s">
        <v>50</v>
      </c>
      <c r="B2" s="143" t="s">
        <v>51</v>
      </c>
      <c r="C2" s="143"/>
      <c r="D2" s="143"/>
      <c r="E2" s="143"/>
      <c r="F2" s="143"/>
      <c r="G2" s="143"/>
      <c r="H2" s="143"/>
      <c r="I2" s="144"/>
      <c r="J2" s="145"/>
      <c r="K2" s="143"/>
      <c r="L2" s="143"/>
      <c r="M2" s="143"/>
      <c r="N2" s="146"/>
      <c r="O2" s="147"/>
      <c r="P2" s="143"/>
      <c r="Q2" s="148"/>
      <c r="R2" s="149"/>
      <c r="S2" s="143"/>
      <c r="T2" s="143"/>
      <c r="U2" s="150"/>
      <c r="V2" s="33"/>
      <c r="W2" s="33"/>
      <c r="X2" s="33"/>
      <c r="Y2" s="33"/>
      <c r="Z2" s="33"/>
      <c r="AA2" s="33"/>
    </row>
    <row r="3" ht="14.25" customHeight="1" outlineLevel="1">
      <c r="A3" s="151"/>
      <c r="B3" s="152"/>
      <c r="C3" s="153">
        <v>0.027</v>
      </c>
      <c r="D3" s="154">
        <v>0.14</v>
      </c>
      <c r="E3" s="155">
        <v>4.2</v>
      </c>
      <c r="F3" s="156">
        <f t="shared" ref="F3:F28" si="1">C3*D3*E3</f>
        <v>0.015876</v>
      </c>
      <c r="G3" s="156">
        <f t="shared" ref="G3:G28" si="2">D3*E3</f>
        <v>0.588</v>
      </c>
      <c r="H3" s="157">
        <v>401.52</v>
      </c>
      <c r="I3" s="158">
        <f t="shared" ref="I3:I4" si="3">ROUND(H3*1.1667,0)</f>
        <v>468</v>
      </c>
      <c r="J3" s="159">
        <f t="shared" ref="J3:J10" si="4">ROUND((I3*0.992)*1.21,0)*(C3*D3*E3)</f>
        <v>8.922312</v>
      </c>
      <c r="K3" s="160">
        <f t="shared" ref="K3:K28" si="5">J3/(D3*E3)</f>
        <v>15.174</v>
      </c>
      <c r="L3" s="161">
        <f t="shared" ref="L3:L18" si="6">T3+R3-O3</f>
        <v>181</v>
      </c>
      <c r="M3" s="162">
        <f t="shared" ref="M3:M28" si="7">L3*F3</f>
        <v>2.873556</v>
      </c>
      <c r="N3" s="163">
        <f t="shared" ref="N3:N28" si="8">L3*G3</f>
        <v>106.428</v>
      </c>
      <c r="O3" s="164"/>
      <c r="P3" s="165" t="str">
        <f t="shared" ref="P3:P28" si="9">IF(O3="","",(O3*F3))</f>
        <v/>
      </c>
      <c r="Q3" s="166"/>
      <c r="R3" s="167"/>
      <c r="S3" s="155">
        <f t="shared" ref="S3:S28" si="10">R3*F3</f>
        <v>0</v>
      </c>
      <c r="T3" s="168">
        <v>181.0</v>
      </c>
      <c r="U3" s="169">
        <f t="shared" ref="U3:U28" si="11">J3*L3</f>
        <v>1614.938472</v>
      </c>
      <c r="V3" s="38" t="str">
        <f t="shared" ref="V3:V126" si="12">IF(O3="","",Q3-(O3*(H3*F3)))</f>
        <v/>
      </c>
      <c r="W3" s="38" t="str">
        <f t="shared" ref="W3:W129" si="13">IF(O3="","",(P3*H3))</f>
        <v/>
      </c>
      <c r="X3" s="11"/>
      <c r="Y3" s="11"/>
      <c r="Z3" s="11"/>
      <c r="AA3" s="11"/>
    </row>
    <row r="4" ht="14.25" customHeight="1" outlineLevel="1">
      <c r="A4" s="151"/>
      <c r="B4" s="152"/>
      <c r="C4" s="153">
        <v>0.027</v>
      </c>
      <c r="D4" s="170">
        <v>0.14</v>
      </c>
      <c r="E4" s="155">
        <v>4.8</v>
      </c>
      <c r="F4" s="156">
        <f t="shared" si="1"/>
        <v>0.018144</v>
      </c>
      <c r="G4" s="156">
        <f t="shared" si="2"/>
        <v>0.672</v>
      </c>
      <c r="H4" s="157">
        <v>401.52</v>
      </c>
      <c r="I4" s="158">
        <f t="shared" si="3"/>
        <v>468</v>
      </c>
      <c r="J4" s="159">
        <f t="shared" si="4"/>
        <v>10.196928</v>
      </c>
      <c r="K4" s="160">
        <f t="shared" si="5"/>
        <v>15.174</v>
      </c>
      <c r="L4" s="161">
        <f t="shared" si="6"/>
        <v>226</v>
      </c>
      <c r="M4" s="162">
        <f t="shared" si="7"/>
        <v>4.100544</v>
      </c>
      <c r="N4" s="163">
        <f t="shared" si="8"/>
        <v>151.872</v>
      </c>
      <c r="O4" s="171"/>
      <c r="P4" s="165" t="str">
        <f t="shared" si="9"/>
        <v/>
      </c>
      <c r="Q4" s="172"/>
      <c r="R4" s="167"/>
      <c r="S4" s="155">
        <f t="shared" si="10"/>
        <v>0</v>
      </c>
      <c r="T4" s="168">
        <v>226.0</v>
      </c>
      <c r="U4" s="169">
        <f t="shared" si="11"/>
        <v>2304.505728</v>
      </c>
      <c r="V4" s="38" t="str">
        <f t="shared" si="12"/>
        <v/>
      </c>
      <c r="W4" s="38" t="str">
        <f t="shared" si="13"/>
        <v/>
      </c>
      <c r="X4" s="11"/>
      <c r="Y4" s="11"/>
      <c r="Z4" s="11"/>
      <c r="AA4" s="11"/>
    </row>
    <row r="5" ht="14.25" customHeight="1" outlineLevel="1">
      <c r="A5" s="151"/>
      <c r="B5" s="152"/>
      <c r="C5" s="153">
        <v>0.028</v>
      </c>
      <c r="D5" s="170">
        <v>0.095</v>
      </c>
      <c r="E5" s="155">
        <v>3.0</v>
      </c>
      <c r="F5" s="173">
        <f t="shared" si="1"/>
        <v>0.00798</v>
      </c>
      <c r="G5" s="173">
        <f t="shared" si="2"/>
        <v>0.285</v>
      </c>
      <c r="H5" s="157">
        <v>404.93</v>
      </c>
      <c r="I5" s="158">
        <f>ROUND(H5*1.12,0)</f>
        <v>454</v>
      </c>
      <c r="J5" s="159">
        <f t="shared" si="4"/>
        <v>4.3491</v>
      </c>
      <c r="K5" s="174">
        <f t="shared" si="5"/>
        <v>15.26</v>
      </c>
      <c r="L5" s="161">
        <f t="shared" si="6"/>
        <v>599</v>
      </c>
      <c r="M5" s="162">
        <f t="shared" si="7"/>
        <v>4.78002</v>
      </c>
      <c r="N5" s="175">
        <f t="shared" si="8"/>
        <v>170.715</v>
      </c>
      <c r="O5" s="171"/>
      <c r="P5" s="165" t="str">
        <f t="shared" si="9"/>
        <v/>
      </c>
      <c r="Q5" s="176"/>
      <c r="R5" s="167"/>
      <c r="S5" s="155">
        <f t="shared" si="10"/>
        <v>0</v>
      </c>
      <c r="T5" s="168">
        <v>599.0</v>
      </c>
      <c r="U5" s="169">
        <f t="shared" si="11"/>
        <v>2605.1109</v>
      </c>
      <c r="V5" s="38" t="str">
        <f t="shared" si="12"/>
        <v/>
      </c>
      <c r="W5" s="38" t="str">
        <f t="shared" si="13"/>
        <v/>
      </c>
      <c r="X5" s="11"/>
      <c r="Y5" s="11"/>
      <c r="Z5" s="11"/>
      <c r="AA5" s="11"/>
    </row>
    <row r="6" ht="14.25" customHeight="1" outlineLevel="1">
      <c r="A6" s="151"/>
      <c r="B6" s="152"/>
      <c r="C6" s="153">
        <v>0.028</v>
      </c>
      <c r="D6" s="170">
        <v>0.115</v>
      </c>
      <c r="E6" s="155">
        <v>3.0</v>
      </c>
      <c r="F6" s="156">
        <f t="shared" si="1"/>
        <v>0.00966</v>
      </c>
      <c r="G6" s="156">
        <f t="shared" si="2"/>
        <v>0.345</v>
      </c>
      <c r="H6" s="157">
        <v>402.09</v>
      </c>
      <c r="I6" s="158">
        <f>ROUND(H6*1.13,0)</f>
        <v>454</v>
      </c>
      <c r="J6" s="159">
        <f t="shared" si="4"/>
        <v>5.2647</v>
      </c>
      <c r="K6" s="160">
        <f t="shared" si="5"/>
        <v>15.26</v>
      </c>
      <c r="L6" s="161">
        <f t="shared" si="6"/>
        <v>52</v>
      </c>
      <c r="M6" s="162">
        <f t="shared" si="7"/>
        <v>0.50232</v>
      </c>
      <c r="N6" s="163">
        <f t="shared" si="8"/>
        <v>17.94</v>
      </c>
      <c r="O6" s="177"/>
      <c r="P6" s="165" t="str">
        <f t="shared" si="9"/>
        <v/>
      </c>
      <c r="Q6" s="166"/>
      <c r="R6" s="167"/>
      <c r="S6" s="155">
        <f t="shared" si="10"/>
        <v>0</v>
      </c>
      <c r="T6" s="168">
        <v>52.0</v>
      </c>
      <c r="U6" s="169">
        <f t="shared" si="11"/>
        <v>273.7644</v>
      </c>
      <c r="V6" s="38" t="str">
        <f t="shared" si="12"/>
        <v/>
      </c>
      <c r="W6" s="38" t="str">
        <f t="shared" si="13"/>
        <v/>
      </c>
      <c r="X6" s="11"/>
      <c r="Y6" s="11"/>
      <c r="Z6" s="11"/>
      <c r="AA6" s="11"/>
    </row>
    <row r="7" ht="14.25" customHeight="1" outlineLevel="1">
      <c r="A7" s="151"/>
      <c r="B7" s="456" t="s">
        <v>52</v>
      </c>
      <c r="C7" s="153">
        <v>0.028</v>
      </c>
      <c r="D7" s="170">
        <v>0.12</v>
      </c>
      <c r="E7" s="155">
        <v>4.5</v>
      </c>
      <c r="F7" s="173">
        <f t="shared" si="1"/>
        <v>0.01512</v>
      </c>
      <c r="G7" s="173">
        <f t="shared" si="2"/>
        <v>0.54</v>
      </c>
      <c r="H7" s="157">
        <f>395+(50/1.709)</f>
        <v>424.2568754</v>
      </c>
      <c r="I7" s="158">
        <f>ROUND(H7*1.067,0)</f>
        <v>453</v>
      </c>
      <c r="J7" s="159">
        <f t="shared" si="4"/>
        <v>8.22528</v>
      </c>
      <c r="K7" s="174">
        <f t="shared" si="5"/>
        <v>15.232</v>
      </c>
      <c r="L7" s="161">
        <f t="shared" si="6"/>
        <v>329</v>
      </c>
      <c r="M7" s="162">
        <f t="shared" si="7"/>
        <v>4.97448</v>
      </c>
      <c r="N7" s="175">
        <f t="shared" si="8"/>
        <v>177.66</v>
      </c>
      <c r="O7" s="171"/>
      <c r="P7" s="165" t="str">
        <f t="shared" si="9"/>
        <v/>
      </c>
      <c r="Q7" s="176"/>
      <c r="R7" s="179"/>
      <c r="S7" s="155">
        <f t="shared" si="10"/>
        <v>0</v>
      </c>
      <c r="T7" s="168">
        <v>329.0</v>
      </c>
      <c r="U7" s="169">
        <f t="shared" si="11"/>
        <v>2706.11712</v>
      </c>
      <c r="V7" s="38" t="str">
        <f t="shared" si="12"/>
        <v/>
      </c>
      <c r="W7" s="38" t="str">
        <f t="shared" si="13"/>
        <v/>
      </c>
      <c r="X7" s="11"/>
      <c r="Y7" s="11"/>
      <c r="Z7" s="11"/>
      <c r="AA7" s="11"/>
    </row>
    <row r="8" ht="13.5" customHeight="1" outlineLevel="1">
      <c r="A8" s="151"/>
      <c r="B8" s="180"/>
      <c r="C8" s="181">
        <v>0.028</v>
      </c>
      <c r="D8" s="182">
        <v>0.12</v>
      </c>
      <c r="E8" s="183">
        <v>4.8</v>
      </c>
      <c r="F8" s="184">
        <f t="shared" si="1"/>
        <v>0.016128</v>
      </c>
      <c r="G8" s="184">
        <f t="shared" si="2"/>
        <v>0.576</v>
      </c>
      <c r="H8" s="185">
        <v>400.0</v>
      </c>
      <c r="I8" s="158">
        <f>ROUND(H8*1.1667,0)</f>
        <v>467</v>
      </c>
      <c r="J8" s="159">
        <f t="shared" si="4"/>
        <v>9.047808</v>
      </c>
      <c r="K8" s="186">
        <f t="shared" si="5"/>
        <v>15.708</v>
      </c>
      <c r="L8" s="161">
        <f t="shared" si="6"/>
        <v>54</v>
      </c>
      <c r="M8" s="187">
        <f t="shared" si="7"/>
        <v>0.870912</v>
      </c>
      <c r="N8" s="188">
        <f t="shared" si="8"/>
        <v>31.104</v>
      </c>
      <c r="O8" s="189"/>
      <c r="P8" s="165" t="str">
        <f t="shared" si="9"/>
        <v/>
      </c>
      <c r="Q8" s="190"/>
      <c r="R8" s="191"/>
      <c r="S8" s="192">
        <f t="shared" si="10"/>
        <v>0</v>
      </c>
      <c r="T8" s="193">
        <v>54.0</v>
      </c>
      <c r="U8" s="169">
        <f t="shared" si="11"/>
        <v>488.581632</v>
      </c>
      <c r="V8" s="38" t="str">
        <f t="shared" si="12"/>
        <v/>
      </c>
      <c r="W8" s="38" t="str">
        <f t="shared" si="13"/>
        <v/>
      </c>
      <c r="X8" s="11"/>
      <c r="Y8" s="11"/>
      <c r="Z8" s="11"/>
      <c r="AA8" s="11"/>
    </row>
    <row r="9" ht="13.5" customHeight="1" outlineLevel="1">
      <c r="A9" s="151"/>
      <c r="B9" s="457" t="s">
        <v>53</v>
      </c>
      <c r="C9" s="195">
        <v>0.028</v>
      </c>
      <c r="D9" s="87">
        <v>0.145</v>
      </c>
      <c r="E9" s="88">
        <v>2.4</v>
      </c>
      <c r="F9" s="156">
        <f t="shared" si="1"/>
        <v>0.009744</v>
      </c>
      <c r="G9" s="156">
        <f t="shared" si="2"/>
        <v>0.348</v>
      </c>
      <c r="H9" s="157">
        <v>745.69</v>
      </c>
      <c r="I9" s="158">
        <f t="shared" ref="I9:I10" si="14">ROUND(H9*1.058,0)</f>
        <v>789</v>
      </c>
      <c r="J9" s="159">
        <f t="shared" si="4"/>
        <v>9.227568</v>
      </c>
      <c r="K9" s="160">
        <f t="shared" si="5"/>
        <v>26.516</v>
      </c>
      <c r="L9" s="161">
        <f t="shared" si="6"/>
        <v>1057</v>
      </c>
      <c r="M9" s="162">
        <f t="shared" si="7"/>
        <v>10.299408</v>
      </c>
      <c r="N9" s="163">
        <f t="shared" si="8"/>
        <v>367.836</v>
      </c>
      <c r="O9" s="177"/>
      <c r="P9" s="165" t="str">
        <f t="shared" si="9"/>
        <v/>
      </c>
      <c r="Q9" s="166"/>
      <c r="R9" s="167"/>
      <c r="S9" s="155">
        <f t="shared" si="10"/>
        <v>0</v>
      </c>
      <c r="T9" s="168">
        <v>1057.0</v>
      </c>
      <c r="U9" s="169">
        <f t="shared" si="11"/>
        <v>9753.539376</v>
      </c>
      <c r="V9" s="38" t="str">
        <f t="shared" si="12"/>
        <v/>
      </c>
      <c r="W9" s="38" t="str">
        <f t="shared" si="13"/>
        <v/>
      </c>
      <c r="X9" s="11"/>
      <c r="Y9" s="11"/>
      <c r="Z9" s="11"/>
      <c r="AA9" s="11"/>
    </row>
    <row r="10" ht="13.5" customHeight="1" outlineLevel="1">
      <c r="A10" s="151"/>
      <c r="B10" s="457" t="s">
        <v>53</v>
      </c>
      <c r="C10" s="153">
        <v>0.028</v>
      </c>
      <c r="D10" s="196">
        <v>0.145</v>
      </c>
      <c r="E10" s="197">
        <v>3.0</v>
      </c>
      <c r="F10" s="156">
        <f t="shared" si="1"/>
        <v>0.01218</v>
      </c>
      <c r="G10" s="156">
        <f t="shared" si="2"/>
        <v>0.435</v>
      </c>
      <c r="H10" s="157">
        <v>745.69</v>
      </c>
      <c r="I10" s="158">
        <f t="shared" si="14"/>
        <v>789</v>
      </c>
      <c r="J10" s="159">
        <f t="shared" si="4"/>
        <v>11.53446</v>
      </c>
      <c r="K10" s="160">
        <f t="shared" si="5"/>
        <v>26.516</v>
      </c>
      <c r="L10" s="161">
        <f t="shared" si="6"/>
        <v>766</v>
      </c>
      <c r="M10" s="162">
        <f t="shared" si="7"/>
        <v>9.32988</v>
      </c>
      <c r="N10" s="163">
        <f t="shared" si="8"/>
        <v>333.21</v>
      </c>
      <c r="O10" s="198"/>
      <c r="P10" s="165" t="str">
        <f t="shared" si="9"/>
        <v/>
      </c>
      <c r="Q10" s="172"/>
      <c r="R10" s="199"/>
      <c r="S10" s="155">
        <f t="shared" si="10"/>
        <v>0</v>
      </c>
      <c r="T10" s="168">
        <v>766.0</v>
      </c>
      <c r="U10" s="169">
        <f t="shared" si="11"/>
        <v>8835.39636</v>
      </c>
      <c r="V10" s="38" t="str">
        <f t="shared" si="12"/>
        <v/>
      </c>
      <c r="W10" s="38" t="str">
        <f t="shared" si="13"/>
        <v/>
      </c>
      <c r="X10" s="11"/>
      <c r="Y10" s="11"/>
      <c r="Z10" s="11"/>
      <c r="AA10" s="11"/>
    </row>
    <row r="11" ht="13.5" customHeight="1" outlineLevel="1">
      <c r="A11" s="151"/>
      <c r="B11" s="458" t="s">
        <v>54</v>
      </c>
      <c r="C11" s="195">
        <v>0.028</v>
      </c>
      <c r="D11" s="87">
        <v>0.145</v>
      </c>
      <c r="E11" s="88">
        <v>3.0</v>
      </c>
      <c r="F11" s="156">
        <f t="shared" si="1"/>
        <v>0.01218</v>
      </c>
      <c r="G11" s="156">
        <f t="shared" si="2"/>
        <v>0.435</v>
      </c>
      <c r="H11" s="157">
        <v>399.29</v>
      </c>
      <c r="I11" s="158">
        <f t="shared" ref="I11:I12" si="15">ROUND(H11*1.025,0)</f>
        <v>409</v>
      </c>
      <c r="J11" s="159">
        <f>ROUND((I11*0.74)*1.21,0)*(C11*D11*E11)</f>
        <v>4.45788</v>
      </c>
      <c r="K11" s="160">
        <f t="shared" si="5"/>
        <v>10.248</v>
      </c>
      <c r="L11" s="161">
        <f t="shared" si="6"/>
        <v>52</v>
      </c>
      <c r="M11" s="162">
        <f t="shared" si="7"/>
        <v>0.63336</v>
      </c>
      <c r="N11" s="163">
        <f t="shared" si="8"/>
        <v>22.62</v>
      </c>
      <c r="O11" s="164"/>
      <c r="P11" s="165" t="str">
        <f t="shared" si="9"/>
        <v/>
      </c>
      <c r="Q11" s="166"/>
      <c r="R11" s="167"/>
      <c r="S11" s="155">
        <f t="shared" si="10"/>
        <v>0</v>
      </c>
      <c r="T11" s="168">
        <v>52.0</v>
      </c>
      <c r="U11" s="169">
        <f t="shared" si="11"/>
        <v>231.80976</v>
      </c>
      <c r="V11" s="38" t="str">
        <f t="shared" si="12"/>
        <v/>
      </c>
      <c r="W11" s="38" t="str">
        <f t="shared" si="13"/>
        <v/>
      </c>
      <c r="X11" s="11"/>
      <c r="Y11" s="11"/>
      <c r="Z11" s="11"/>
      <c r="AA11" s="11"/>
    </row>
    <row r="12" ht="13.5" customHeight="1" outlineLevel="1">
      <c r="A12" s="151"/>
      <c r="B12" s="200" t="s">
        <v>54</v>
      </c>
      <c r="C12" s="195">
        <v>0.028</v>
      </c>
      <c r="D12" s="87">
        <v>0.145</v>
      </c>
      <c r="E12" s="88">
        <v>3.6</v>
      </c>
      <c r="F12" s="156">
        <f t="shared" si="1"/>
        <v>0.014616</v>
      </c>
      <c r="G12" s="156">
        <f t="shared" si="2"/>
        <v>0.522</v>
      </c>
      <c r="H12" s="157">
        <v>399.29</v>
      </c>
      <c r="I12" s="158">
        <f t="shared" si="15"/>
        <v>409</v>
      </c>
      <c r="J12" s="159">
        <f>ROUND((I12*0.83)*1.21,0)*(C12*D12*E12)</f>
        <v>6.007176</v>
      </c>
      <c r="K12" s="160">
        <f t="shared" si="5"/>
        <v>11.508</v>
      </c>
      <c r="L12" s="161">
        <f t="shared" si="6"/>
        <v>40</v>
      </c>
      <c r="M12" s="162">
        <f t="shared" si="7"/>
        <v>0.58464</v>
      </c>
      <c r="N12" s="163">
        <f t="shared" si="8"/>
        <v>20.88</v>
      </c>
      <c r="O12" s="201"/>
      <c r="P12" s="165" t="str">
        <f t="shared" si="9"/>
        <v/>
      </c>
      <c r="Q12" s="172"/>
      <c r="R12" s="167"/>
      <c r="S12" s="155">
        <f t="shared" si="10"/>
        <v>0</v>
      </c>
      <c r="T12" s="168">
        <v>40.0</v>
      </c>
      <c r="U12" s="169">
        <f t="shared" si="11"/>
        <v>240.28704</v>
      </c>
      <c r="V12" s="38" t="str">
        <f t="shared" si="12"/>
        <v/>
      </c>
      <c r="W12" s="38" t="str">
        <f t="shared" si="13"/>
        <v/>
      </c>
      <c r="X12" s="11"/>
      <c r="Y12" s="11"/>
      <c r="Z12" s="11"/>
      <c r="AA12" s="11"/>
    </row>
    <row r="13" ht="13.5" customHeight="1" outlineLevel="1">
      <c r="A13" s="151"/>
      <c r="B13" s="152"/>
      <c r="C13" s="153">
        <v>0.028</v>
      </c>
      <c r="D13" s="170">
        <v>0.145</v>
      </c>
      <c r="E13" s="155">
        <v>6.0</v>
      </c>
      <c r="F13" s="173">
        <f t="shared" si="1"/>
        <v>0.02436</v>
      </c>
      <c r="G13" s="173">
        <f t="shared" si="2"/>
        <v>0.87</v>
      </c>
      <c r="H13" s="157">
        <v>399.29</v>
      </c>
      <c r="I13" s="158">
        <f>ROUND(H13*1.1357,0)</f>
        <v>453</v>
      </c>
      <c r="J13" s="159">
        <f>ROUND((I13*0.992)*1.21,0)*(C13*D13*E13)</f>
        <v>13.25184</v>
      </c>
      <c r="K13" s="174">
        <f t="shared" si="5"/>
        <v>15.232</v>
      </c>
      <c r="L13" s="161">
        <f t="shared" si="6"/>
        <v>43</v>
      </c>
      <c r="M13" s="162">
        <f t="shared" si="7"/>
        <v>1.04748</v>
      </c>
      <c r="N13" s="175">
        <f t="shared" si="8"/>
        <v>37.41</v>
      </c>
      <c r="O13" s="202"/>
      <c r="P13" s="165" t="str">
        <f t="shared" si="9"/>
        <v/>
      </c>
      <c r="Q13" s="176"/>
      <c r="R13" s="167"/>
      <c r="S13" s="155">
        <f t="shared" si="10"/>
        <v>0</v>
      </c>
      <c r="T13" s="168">
        <v>43.0</v>
      </c>
      <c r="U13" s="169">
        <f t="shared" si="11"/>
        <v>569.82912</v>
      </c>
      <c r="V13" s="38" t="str">
        <f t="shared" si="12"/>
        <v/>
      </c>
      <c r="W13" s="38" t="str">
        <f t="shared" si="13"/>
        <v/>
      </c>
      <c r="X13" s="11"/>
      <c r="Y13" s="11"/>
      <c r="Z13" s="11"/>
      <c r="AA13" s="11"/>
    </row>
    <row r="14" ht="13.5" customHeight="1" outlineLevel="1">
      <c r="A14" s="151"/>
      <c r="B14" s="200" t="s">
        <v>54</v>
      </c>
      <c r="C14" s="195">
        <v>0.028</v>
      </c>
      <c r="D14" s="87">
        <v>0.145</v>
      </c>
      <c r="E14" s="88">
        <v>6.0</v>
      </c>
      <c r="F14" s="156">
        <f t="shared" si="1"/>
        <v>0.02436</v>
      </c>
      <c r="G14" s="156">
        <f t="shared" si="2"/>
        <v>0.87</v>
      </c>
      <c r="H14" s="157">
        <v>399.29</v>
      </c>
      <c r="I14" s="158">
        <f>ROUND(H14*1.025,0)</f>
        <v>409</v>
      </c>
      <c r="J14" s="159">
        <f>ROUND((I14*0.83)*1.21,0)*(C14*D14*E14)</f>
        <v>10.01196</v>
      </c>
      <c r="K14" s="160">
        <f t="shared" si="5"/>
        <v>11.508</v>
      </c>
      <c r="L14" s="161">
        <f t="shared" si="6"/>
        <v>72</v>
      </c>
      <c r="M14" s="162">
        <f t="shared" si="7"/>
        <v>1.75392</v>
      </c>
      <c r="N14" s="163">
        <f t="shared" si="8"/>
        <v>62.64</v>
      </c>
      <c r="O14" s="203"/>
      <c r="P14" s="165" t="str">
        <f t="shared" si="9"/>
        <v/>
      </c>
      <c r="Q14" s="172"/>
      <c r="R14" s="167"/>
      <c r="S14" s="155">
        <f t="shared" si="10"/>
        <v>0</v>
      </c>
      <c r="T14" s="168">
        <v>72.0</v>
      </c>
      <c r="U14" s="169">
        <f t="shared" si="11"/>
        <v>720.86112</v>
      </c>
      <c r="V14" s="38" t="str">
        <f t="shared" si="12"/>
        <v/>
      </c>
      <c r="W14" s="38" t="str">
        <f t="shared" si="13"/>
        <v/>
      </c>
      <c r="X14" s="11"/>
      <c r="Y14" s="11"/>
      <c r="Z14" s="11"/>
      <c r="AA14" s="11"/>
    </row>
    <row r="15" ht="13.5" customHeight="1" outlineLevel="1">
      <c r="A15" s="151"/>
      <c r="B15" s="200" t="s">
        <v>55</v>
      </c>
      <c r="C15" s="195">
        <v>0.03</v>
      </c>
      <c r="D15" s="87">
        <v>0.1</v>
      </c>
      <c r="E15" s="88">
        <v>3.0</v>
      </c>
      <c r="F15" s="156">
        <f t="shared" si="1"/>
        <v>0.009</v>
      </c>
      <c r="G15" s="156">
        <f t="shared" si="2"/>
        <v>0.3</v>
      </c>
      <c r="H15" s="157">
        <v>400.75</v>
      </c>
      <c r="I15" s="158">
        <f>ROUND(H15*1.09,0)</f>
        <v>437</v>
      </c>
      <c r="J15" s="159">
        <f>ROUND((I15*0.91)*1.21,0)*(C15*D15*E15)</f>
        <v>4.329</v>
      </c>
      <c r="K15" s="160">
        <f t="shared" si="5"/>
        <v>14.43</v>
      </c>
      <c r="L15" s="161">
        <f t="shared" si="6"/>
        <v>184</v>
      </c>
      <c r="M15" s="162">
        <f t="shared" si="7"/>
        <v>1.656</v>
      </c>
      <c r="N15" s="163">
        <f t="shared" si="8"/>
        <v>55.2</v>
      </c>
      <c r="O15" s="203"/>
      <c r="P15" s="165" t="str">
        <f t="shared" si="9"/>
        <v/>
      </c>
      <c r="Q15" s="172"/>
      <c r="R15" s="167"/>
      <c r="S15" s="155">
        <f t="shared" si="10"/>
        <v>0</v>
      </c>
      <c r="T15" s="168">
        <v>184.0</v>
      </c>
      <c r="U15" s="169">
        <f t="shared" si="11"/>
        <v>796.536</v>
      </c>
      <c r="V15" s="38" t="str">
        <f t="shared" si="12"/>
        <v/>
      </c>
      <c r="W15" s="38" t="str">
        <f t="shared" si="13"/>
        <v/>
      </c>
      <c r="X15" s="11"/>
      <c r="Y15" s="11"/>
      <c r="Z15" s="11"/>
      <c r="AA15" s="11"/>
    </row>
    <row r="16" ht="13.5" customHeight="1" outlineLevel="1">
      <c r="A16" s="151"/>
      <c r="B16" s="200" t="s">
        <v>54</v>
      </c>
      <c r="C16" s="195">
        <v>0.03</v>
      </c>
      <c r="D16" s="87">
        <v>0.1</v>
      </c>
      <c r="E16" s="88">
        <v>6.0</v>
      </c>
      <c r="F16" s="156">
        <f t="shared" si="1"/>
        <v>0.018</v>
      </c>
      <c r="G16" s="156">
        <f t="shared" si="2"/>
        <v>0.6</v>
      </c>
      <c r="H16" s="157">
        <v>400.75</v>
      </c>
      <c r="I16" s="158">
        <f t="shared" ref="I16:I19" si="16">ROUND(H16*1.025,0)</f>
        <v>411</v>
      </c>
      <c r="J16" s="159">
        <f t="shared" ref="J16:J19" si="17">ROUND((I16*0.83)*1.21,0)*(C16*D16*E16)</f>
        <v>7.434</v>
      </c>
      <c r="K16" s="160">
        <f t="shared" si="5"/>
        <v>12.39</v>
      </c>
      <c r="L16" s="161">
        <f t="shared" si="6"/>
        <v>45</v>
      </c>
      <c r="M16" s="162">
        <f t="shared" si="7"/>
        <v>0.81</v>
      </c>
      <c r="N16" s="163">
        <f t="shared" si="8"/>
        <v>27</v>
      </c>
      <c r="O16" s="203"/>
      <c r="P16" s="165" t="str">
        <f t="shared" si="9"/>
        <v/>
      </c>
      <c r="Q16" s="172"/>
      <c r="R16" s="167"/>
      <c r="S16" s="155">
        <f t="shared" si="10"/>
        <v>0</v>
      </c>
      <c r="T16" s="168">
        <v>45.0</v>
      </c>
      <c r="U16" s="169">
        <f t="shared" si="11"/>
        <v>334.53</v>
      </c>
      <c r="V16" s="38" t="str">
        <f t="shared" si="12"/>
        <v/>
      </c>
      <c r="W16" s="38" t="str">
        <f t="shared" si="13"/>
        <v/>
      </c>
      <c r="X16" s="11"/>
      <c r="Y16" s="11"/>
      <c r="Z16" s="11"/>
      <c r="AA16" s="11"/>
    </row>
    <row r="17" ht="13.5" customHeight="1" outlineLevel="1">
      <c r="A17" s="151"/>
      <c r="B17" s="200" t="s">
        <v>54</v>
      </c>
      <c r="C17" s="195">
        <v>0.03</v>
      </c>
      <c r="D17" s="87">
        <v>0.12</v>
      </c>
      <c r="E17" s="88">
        <v>3.6</v>
      </c>
      <c r="F17" s="156">
        <f t="shared" si="1"/>
        <v>0.01296</v>
      </c>
      <c r="G17" s="156">
        <f t="shared" si="2"/>
        <v>0.432</v>
      </c>
      <c r="H17" s="157">
        <v>398.18</v>
      </c>
      <c r="I17" s="158">
        <f t="shared" si="16"/>
        <v>408</v>
      </c>
      <c r="J17" s="159">
        <f t="shared" si="17"/>
        <v>5.3136</v>
      </c>
      <c r="K17" s="160">
        <f t="shared" si="5"/>
        <v>12.3</v>
      </c>
      <c r="L17" s="161">
        <f t="shared" si="6"/>
        <v>102</v>
      </c>
      <c r="M17" s="162">
        <f t="shared" si="7"/>
        <v>1.32192</v>
      </c>
      <c r="N17" s="163">
        <f t="shared" si="8"/>
        <v>44.064</v>
      </c>
      <c r="O17" s="204"/>
      <c r="P17" s="165" t="str">
        <f t="shared" si="9"/>
        <v/>
      </c>
      <c r="Q17" s="166"/>
      <c r="R17" s="167"/>
      <c r="S17" s="155">
        <f t="shared" si="10"/>
        <v>0</v>
      </c>
      <c r="T17" s="168">
        <v>102.0</v>
      </c>
      <c r="U17" s="169">
        <f t="shared" si="11"/>
        <v>541.9872</v>
      </c>
      <c r="V17" s="38" t="str">
        <f t="shared" si="12"/>
        <v/>
      </c>
      <c r="W17" s="38" t="str">
        <f t="shared" si="13"/>
        <v/>
      </c>
      <c r="X17" s="11"/>
      <c r="Y17" s="11"/>
      <c r="Z17" s="11"/>
      <c r="AA17" s="11"/>
    </row>
    <row r="18" ht="13.5" customHeight="1" outlineLevel="1">
      <c r="A18" s="151"/>
      <c r="B18" s="200" t="s">
        <v>54</v>
      </c>
      <c r="C18" s="195">
        <v>0.03</v>
      </c>
      <c r="D18" s="87">
        <v>0.12</v>
      </c>
      <c r="E18" s="88">
        <v>4.8</v>
      </c>
      <c r="F18" s="156">
        <f t="shared" si="1"/>
        <v>0.01728</v>
      </c>
      <c r="G18" s="156">
        <f t="shared" si="2"/>
        <v>0.576</v>
      </c>
      <c r="H18" s="157">
        <v>396.34</v>
      </c>
      <c r="I18" s="158">
        <f t="shared" si="16"/>
        <v>406</v>
      </c>
      <c r="J18" s="159">
        <f t="shared" si="17"/>
        <v>7.05024</v>
      </c>
      <c r="K18" s="160">
        <f t="shared" si="5"/>
        <v>12.24</v>
      </c>
      <c r="L18" s="161">
        <f t="shared" si="6"/>
        <v>62</v>
      </c>
      <c r="M18" s="162">
        <f t="shared" si="7"/>
        <v>1.07136</v>
      </c>
      <c r="N18" s="163">
        <f t="shared" si="8"/>
        <v>35.712</v>
      </c>
      <c r="O18" s="203"/>
      <c r="P18" s="165" t="str">
        <f t="shared" si="9"/>
        <v/>
      </c>
      <c r="Q18" s="172"/>
      <c r="R18" s="167"/>
      <c r="S18" s="155">
        <f t="shared" si="10"/>
        <v>0</v>
      </c>
      <c r="T18" s="168">
        <v>62.0</v>
      </c>
      <c r="U18" s="169">
        <f t="shared" si="11"/>
        <v>437.11488</v>
      </c>
      <c r="V18" s="38" t="str">
        <f t="shared" si="12"/>
        <v/>
      </c>
      <c r="W18" s="38" t="str">
        <f t="shared" si="13"/>
        <v/>
      </c>
      <c r="X18" s="11"/>
      <c r="Y18" s="11"/>
      <c r="Z18" s="11"/>
      <c r="AA18" s="11"/>
    </row>
    <row r="19" ht="13.5" customHeight="1" outlineLevel="1">
      <c r="A19" s="151"/>
      <c r="B19" s="458" t="s">
        <v>54</v>
      </c>
      <c r="C19" s="195">
        <v>0.03</v>
      </c>
      <c r="D19" s="87">
        <v>0.14</v>
      </c>
      <c r="E19" s="88">
        <v>3.6</v>
      </c>
      <c r="F19" s="156">
        <f t="shared" si="1"/>
        <v>0.01512</v>
      </c>
      <c r="G19" s="156">
        <f t="shared" si="2"/>
        <v>0.504</v>
      </c>
      <c r="H19" s="157">
        <v>396.34</v>
      </c>
      <c r="I19" s="158">
        <f t="shared" si="16"/>
        <v>406</v>
      </c>
      <c r="J19" s="159">
        <f t="shared" si="17"/>
        <v>6.16896</v>
      </c>
      <c r="K19" s="160">
        <f t="shared" si="5"/>
        <v>12.24</v>
      </c>
      <c r="L19" s="205">
        <v>110.0</v>
      </c>
      <c r="M19" s="162">
        <f t="shared" si="7"/>
        <v>1.6632</v>
      </c>
      <c r="N19" s="163">
        <f t="shared" si="8"/>
        <v>55.44</v>
      </c>
      <c r="O19" s="202"/>
      <c r="P19" s="165" t="str">
        <f t="shared" si="9"/>
        <v/>
      </c>
      <c r="Q19" s="166"/>
      <c r="R19" s="167"/>
      <c r="S19" s="155">
        <f t="shared" si="10"/>
        <v>0</v>
      </c>
      <c r="T19" s="448">
        <v>110.0</v>
      </c>
      <c r="U19" s="169">
        <f t="shared" si="11"/>
        <v>678.5856</v>
      </c>
      <c r="V19" s="38" t="str">
        <f t="shared" si="12"/>
        <v/>
      </c>
      <c r="W19" s="38" t="str">
        <f t="shared" si="13"/>
        <v/>
      </c>
      <c r="X19" s="11"/>
      <c r="Y19" s="11"/>
      <c r="Z19" s="11"/>
      <c r="AA19" s="11"/>
    </row>
    <row r="20" ht="13.5" customHeight="1" outlineLevel="1">
      <c r="A20" s="151"/>
      <c r="B20" s="152"/>
      <c r="C20" s="153">
        <v>0.03</v>
      </c>
      <c r="D20" s="170">
        <v>0.145</v>
      </c>
      <c r="E20" s="155">
        <v>3.6</v>
      </c>
      <c r="F20" s="156">
        <f t="shared" si="1"/>
        <v>0.01566</v>
      </c>
      <c r="G20" s="156">
        <f t="shared" si="2"/>
        <v>0.522</v>
      </c>
      <c r="H20" s="157">
        <v>395.96</v>
      </c>
      <c r="I20" s="158">
        <f>ROUND(H20*1.1667,0)</f>
        <v>462</v>
      </c>
      <c r="J20" s="159">
        <f>ROUND((I20*0.992)*1.21,0)*(C20*D20*E20)</f>
        <v>8.6913</v>
      </c>
      <c r="K20" s="160">
        <f t="shared" si="5"/>
        <v>16.65</v>
      </c>
      <c r="L20" s="161">
        <f t="shared" ref="L20:L28" si="18">T20+R20-O20</f>
        <v>10</v>
      </c>
      <c r="M20" s="162">
        <f t="shared" si="7"/>
        <v>0.1566</v>
      </c>
      <c r="N20" s="206">
        <f t="shared" si="8"/>
        <v>5.22</v>
      </c>
      <c r="O20" s="171"/>
      <c r="P20" s="165" t="str">
        <f t="shared" si="9"/>
        <v/>
      </c>
      <c r="Q20" s="166"/>
      <c r="R20" s="167"/>
      <c r="S20" s="155">
        <f t="shared" si="10"/>
        <v>0</v>
      </c>
      <c r="T20" s="168">
        <v>10.0</v>
      </c>
      <c r="U20" s="169">
        <f t="shared" si="11"/>
        <v>86.913</v>
      </c>
      <c r="V20" s="38" t="str">
        <f t="shared" si="12"/>
        <v/>
      </c>
      <c r="W20" s="38" t="str">
        <f t="shared" si="13"/>
        <v/>
      </c>
      <c r="X20" s="11"/>
      <c r="Y20" s="11"/>
      <c r="Z20" s="11"/>
      <c r="AA20" s="11"/>
    </row>
    <row r="21" ht="13.5" customHeight="1" outlineLevel="1">
      <c r="A21" s="151"/>
      <c r="B21" s="458" t="s">
        <v>54</v>
      </c>
      <c r="C21" s="195">
        <v>0.03</v>
      </c>
      <c r="D21" s="87">
        <v>0.145</v>
      </c>
      <c r="E21" s="88">
        <v>3.6</v>
      </c>
      <c r="F21" s="156">
        <f t="shared" si="1"/>
        <v>0.01566</v>
      </c>
      <c r="G21" s="156">
        <f t="shared" si="2"/>
        <v>0.522</v>
      </c>
      <c r="H21" s="157">
        <v>395.96</v>
      </c>
      <c r="I21" s="158">
        <f>ROUND(H21*1.025,0)</f>
        <v>406</v>
      </c>
      <c r="J21" s="159">
        <f>ROUND((I21*0.83)*1.21,0)*(C21*D21*E21)</f>
        <v>6.38928</v>
      </c>
      <c r="K21" s="160">
        <f t="shared" si="5"/>
        <v>12.24</v>
      </c>
      <c r="L21" s="161">
        <f t="shared" si="18"/>
        <v>97</v>
      </c>
      <c r="M21" s="162">
        <f t="shared" si="7"/>
        <v>1.51902</v>
      </c>
      <c r="N21" s="163">
        <f t="shared" si="8"/>
        <v>50.634</v>
      </c>
      <c r="O21" s="207"/>
      <c r="P21" s="165" t="str">
        <f t="shared" si="9"/>
        <v/>
      </c>
      <c r="Q21" s="172"/>
      <c r="R21" s="167"/>
      <c r="S21" s="155">
        <f t="shared" si="10"/>
        <v>0</v>
      </c>
      <c r="T21" s="168">
        <v>97.0</v>
      </c>
      <c r="U21" s="169">
        <f t="shared" si="11"/>
        <v>619.76016</v>
      </c>
      <c r="V21" s="38" t="str">
        <f t="shared" si="12"/>
        <v/>
      </c>
      <c r="W21" s="38" t="str">
        <f t="shared" si="13"/>
        <v/>
      </c>
      <c r="X21" s="11"/>
      <c r="Y21" s="11"/>
      <c r="Z21" s="11"/>
      <c r="AA21" s="11"/>
    </row>
    <row r="22" ht="13.5" customHeight="1" outlineLevel="1">
      <c r="A22" s="151"/>
      <c r="B22" s="152"/>
      <c r="C22" s="153">
        <v>0.03</v>
      </c>
      <c r="D22" s="170">
        <v>0.145</v>
      </c>
      <c r="E22" s="155">
        <v>4.8</v>
      </c>
      <c r="F22" s="156">
        <f t="shared" si="1"/>
        <v>0.02088</v>
      </c>
      <c r="G22" s="156">
        <f t="shared" si="2"/>
        <v>0.696</v>
      </c>
      <c r="H22" s="157">
        <v>395.96</v>
      </c>
      <c r="I22" s="158">
        <f>ROUND(H22*1.1667,0)</f>
        <v>462</v>
      </c>
      <c r="J22" s="159">
        <f>ROUND((I22*0.992)*1.21,0)*(C22*D22*E22)</f>
        <v>11.5884</v>
      </c>
      <c r="K22" s="160">
        <f t="shared" si="5"/>
        <v>16.65</v>
      </c>
      <c r="L22" s="161">
        <f t="shared" si="18"/>
        <v>44</v>
      </c>
      <c r="M22" s="162">
        <f t="shared" si="7"/>
        <v>0.91872</v>
      </c>
      <c r="N22" s="163">
        <f t="shared" si="8"/>
        <v>30.624</v>
      </c>
      <c r="O22" s="202"/>
      <c r="P22" s="165" t="str">
        <f t="shared" si="9"/>
        <v/>
      </c>
      <c r="Q22" s="166"/>
      <c r="R22" s="167"/>
      <c r="S22" s="155">
        <f t="shared" si="10"/>
        <v>0</v>
      </c>
      <c r="T22" s="168">
        <v>44.0</v>
      </c>
      <c r="U22" s="169">
        <f t="shared" si="11"/>
        <v>509.8896</v>
      </c>
      <c r="V22" s="38" t="str">
        <f t="shared" si="12"/>
        <v/>
      </c>
      <c r="W22" s="38" t="str">
        <f t="shared" si="13"/>
        <v/>
      </c>
      <c r="X22" s="11"/>
      <c r="Y22" s="11"/>
      <c r="Z22" s="11"/>
      <c r="AA22" s="11"/>
    </row>
    <row r="23" ht="13.5" customHeight="1" outlineLevel="1">
      <c r="A23" s="151"/>
      <c r="B23" s="458" t="s">
        <v>54</v>
      </c>
      <c r="C23" s="195">
        <v>0.03</v>
      </c>
      <c r="D23" s="87">
        <v>0.145</v>
      </c>
      <c r="E23" s="88">
        <v>4.8</v>
      </c>
      <c r="F23" s="156">
        <f t="shared" si="1"/>
        <v>0.02088</v>
      </c>
      <c r="G23" s="156">
        <f t="shared" si="2"/>
        <v>0.696</v>
      </c>
      <c r="H23" s="157">
        <v>395.96</v>
      </c>
      <c r="I23" s="158">
        <f>ROUND(H23*1.025,0)</f>
        <v>406</v>
      </c>
      <c r="J23" s="159">
        <f>ROUND((I23*0.83)*1.21,0)*(C23*D23*E23)</f>
        <v>8.51904</v>
      </c>
      <c r="K23" s="160">
        <f t="shared" si="5"/>
        <v>12.24</v>
      </c>
      <c r="L23" s="161">
        <f t="shared" si="18"/>
        <v>221</v>
      </c>
      <c r="M23" s="162">
        <f t="shared" si="7"/>
        <v>4.61448</v>
      </c>
      <c r="N23" s="163">
        <f t="shared" si="8"/>
        <v>153.816</v>
      </c>
      <c r="O23" s="202"/>
      <c r="P23" s="165" t="str">
        <f t="shared" si="9"/>
        <v/>
      </c>
      <c r="Q23" s="172"/>
      <c r="R23" s="167"/>
      <c r="S23" s="155">
        <f t="shared" si="10"/>
        <v>0</v>
      </c>
      <c r="T23" s="168">
        <v>221.0</v>
      </c>
      <c r="U23" s="169">
        <f t="shared" si="11"/>
        <v>1882.70784</v>
      </c>
      <c r="V23" s="38" t="str">
        <f t="shared" si="12"/>
        <v/>
      </c>
      <c r="W23" s="38" t="str">
        <f t="shared" si="13"/>
        <v/>
      </c>
      <c r="X23" s="11"/>
      <c r="Y23" s="11"/>
      <c r="Z23" s="11"/>
      <c r="AA23" s="11"/>
    </row>
    <row r="24" ht="13.5" customHeight="1" outlineLevel="1">
      <c r="A24" s="151"/>
      <c r="B24" s="152"/>
      <c r="C24" s="153">
        <v>0.03</v>
      </c>
      <c r="D24" s="170">
        <v>0.145</v>
      </c>
      <c r="E24" s="155">
        <v>5.1</v>
      </c>
      <c r="F24" s="156">
        <f t="shared" si="1"/>
        <v>0.022185</v>
      </c>
      <c r="G24" s="156">
        <f t="shared" si="2"/>
        <v>0.7395</v>
      </c>
      <c r="H24" s="157">
        <v>395.96</v>
      </c>
      <c r="I24" s="158">
        <f>ROUND(H24*1.1667,0)</f>
        <v>462</v>
      </c>
      <c r="J24" s="159">
        <f>ROUND((I24*0.992)*1.21,0)*(C24*D24*E24)</f>
        <v>12.312675</v>
      </c>
      <c r="K24" s="160">
        <f t="shared" si="5"/>
        <v>16.65</v>
      </c>
      <c r="L24" s="161">
        <f t="shared" si="18"/>
        <v>224</v>
      </c>
      <c r="M24" s="162">
        <f t="shared" si="7"/>
        <v>4.96944</v>
      </c>
      <c r="N24" s="163">
        <f t="shared" si="8"/>
        <v>165.648</v>
      </c>
      <c r="O24" s="171"/>
      <c r="P24" s="165" t="str">
        <f t="shared" si="9"/>
        <v/>
      </c>
      <c r="Q24" s="166"/>
      <c r="R24" s="167"/>
      <c r="S24" s="155">
        <f t="shared" si="10"/>
        <v>0</v>
      </c>
      <c r="T24" s="168">
        <v>224.0</v>
      </c>
      <c r="U24" s="169">
        <f t="shared" si="11"/>
        <v>2758.0392</v>
      </c>
      <c r="V24" s="38" t="str">
        <f t="shared" si="12"/>
        <v/>
      </c>
      <c r="W24" s="38" t="str">
        <f t="shared" si="13"/>
        <v/>
      </c>
      <c r="X24" s="11"/>
      <c r="Y24" s="11"/>
      <c r="Z24" s="11"/>
      <c r="AA24" s="11"/>
    </row>
    <row r="25" ht="13.5" customHeight="1" outlineLevel="1">
      <c r="A25" s="151"/>
      <c r="B25" s="459" t="s">
        <v>55</v>
      </c>
      <c r="C25" s="153">
        <v>0.045</v>
      </c>
      <c r="D25" s="196">
        <v>0.12</v>
      </c>
      <c r="E25" s="197">
        <v>3.0</v>
      </c>
      <c r="F25" s="156">
        <f t="shared" si="1"/>
        <v>0.0162</v>
      </c>
      <c r="G25" s="156">
        <f t="shared" si="2"/>
        <v>0.36</v>
      </c>
      <c r="H25" s="157">
        <v>382.56</v>
      </c>
      <c r="I25" s="158">
        <f>ROUND(H25*1.09,0)</f>
        <v>417</v>
      </c>
      <c r="J25" s="159">
        <f>ROUND((I25*0.91)*1.21,0)*(C25*D25*E25)</f>
        <v>7.4358</v>
      </c>
      <c r="K25" s="160">
        <f t="shared" si="5"/>
        <v>20.655</v>
      </c>
      <c r="L25" s="161">
        <f t="shared" si="18"/>
        <v>805</v>
      </c>
      <c r="M25" s="162">
        <f t="shared" si="7"/>
        <v>13.041</v>
      </c>
      <c r="N25" s="163">
        <f t="shared" si="8"/>
        <v>289.8</v>
      </c>
      <c r="O25" s="209"/>
      <c r="P25" s="165" t="str">
        <f t="shared" si="9"/>
        <v/>
      </c>
      <c r="Q25" s="172"/>
      <c r="R25" s="199"/>
      <c r="S25" s="155">
        <f t="shared" si="10"/>
        <v>0</v>
      </c>
      <c r="T25" s="168">
        <v>805.0</v>
      </c>
      <c r="U25" s="169">
        <f t="shared" si="11"/>
        <v>5985.819</v>
      </c>
      <c r="V25" s="38" t="str">
        <f t="shared" si="12"/>
        <v/>
      </c>
      <c r="W25" s="38" t="str">
        <f t="shared" si="13"/>
        <v/>
      </c>
      <c r="X25" s="11"/>
      <c r="Y25" s="11"/>
      <c r="Z25" s="11"/>
      <c r="AA25" s="11"/>
    </row>
    <row r="26" ht="13.5" customHeight="1" outlineLevel="1">
      <c r="A26" s="151"/>
      <c r="B26" s="152"/>
      <c r="C26" s="153">
        <v>0.045</v>
      </c>
      <c r="D26" s="170">
        <v>0.145</v>
      </c>
      <c r="E26" s="155">
        <v>6.0</v>
      </c>
      <c r="F26" s="156">
        <f t="shared" si="1"/>
        <v>0.03915</v>
      </c>
      <c r="G26" s="156">
        <f t="shared" si="2"/>
        <v>0.87</v>
      </c>
      <c r="H26" s="157">
        <v>380.44</v>
      </c>
      <c r="I26" s="158">
        <f>ROUND(H26*1.1667,0)</f>
        <v>444</v>
      </c>
      <c r="J26" s="159">
        <f>ROUND((I26*0.992)*1.21,0)*(C26*D26*E26)</f>
        <v>20.86695</v>
      </c>
      <c r="K26" s="160">
        <f t="shared" si="5"/>
        <v>23.985</v>
      </c>
      <c r="L26" s="161">
        <f t="shared" si="18"/>
        <v>23</v>
      </c>
      <c r="M26" s="162">
        <f t="shared" si="7"/>
        <v>0.90045</v>
      </c>
      <c r="N26" s="163">
        <f t="shared" si="8"/>
        <v>20.01</v>
      </c>
      <c r="O26" s="171"/>
      <c r="P26" s="165" t="str">
        <f t="shared" si="9"/>
        <v/>
      </c>
      <c r="Q26" s="166"/>
      <c r="R26" s="167"/>
      <c r="S26" s="155">
        <f t="shared" si="10"/>
        <v>0</v>
      </c>
      <c r="T26" s="168">
        <v>23.0</v>
      </c>
      <c r="U26" s="169">
        <f t="shared" si="11"/>
        <v>479.93985</v>
      </c>
      <c r="V26" s="38" t="str">
        <f t="shared" si="12"/>
        <v/>
      </c>
      <c r="W26" s="38" t="str">
        <f t="shared" si="13"/>
        <v/>
      </c>
      <c r="X26" s="11"/>
      <c r="Y26" s="11"/>
      <c r="Z26" s="11"/>
      <c r="AA26" s="11"/>
    </row>
    <row r="27" ht="13.5" customHeight="1" outlineLevel="1">
      <c r="A27" s="151"/>
      <c r="B27" s="458" t="s">
        <v>54</v>
      </c>
      <c r="C27" s="195">
        <v>0.045</v>
      </c>
      <c r="D27" s="87">
        <v>0.145</v>
      </c>
      <c r="E27" s="88">
        <v>6.0</v>
      </c>
      <c r="F27" s="156">
        <f t="shared" si="1"/>
        <v>0.03915</v>
      </c>
      <c r="G27" s="156">
        <f t="shared" si="2"/>
        <v>0.87</v>
      </c>
      <c r="H27" s="157">
        <v>380.44</v>
      </c>
      <c r="I27" s="158">
        <f t="shared" ref="I27:I28" si="19">ROUND(H27*1.025,0)</f>
        <v>390</v>
      </c>
      <c r="J27" s="159">
        <f t="shared" ref="J27:J28" si="20">ROUND((I27*0.83)*1.21,0)*(C27*D27*E27)</f>
        <v>15.3468</v>
      </c>
      <c r="K27" s="160">
        <f t="shared" si="5"/>
        <v>17.64</v>
      </c>
      <c r="L27" s="161">
        <f t="shared" si="18"/>
        <v>138</v>
      </c>
      <c r="M27" s="162">
        <f t="shared" si="7"/>
        <v>5.4027</v>
      </c>
      <c r="N27" s="163">
        <f t="shared" si="8"/>
        <v>120.06</v>
      </c>
      <c r="O27" s="207"/>
      <c r="P27" s="165" t="str">
        <f t="shared" si="9"/>
        <v/>
      </c>
      <c r="Q27" s="172"/>
      <c r="R27" s="167"/>
      <c r="S27" s="155">
        <f t="shared" si="10"/>
        <v>0</v>
      </c>
      <c r="T27" s="168">
        <v>138.0</v>
      </c>
      <c r="U27" s="169">
        <f t="shared" si="11"/>
        <v>2117.8584</v>
      </c>
      <c r="V27" s="38" t="str">
        <f t="shared" si="12"/>
        <v/>
      </c>
      <c r="W27" s="38" t="str">
        <f t="shared" si="13"/>
        <v/>
      </c>
      <c r="X27" s="11"/>
      <c r="Y27" s="11"/>
      <c r="Z27" s="11"/>
      <c r="AA27" s="11"/>
    </row>
    <row r="28" ht="13.5" customHeight="1" outlineLevel="1">
      <c r="A28" s="151"/>
      <c r="B28" s="458" t="s">
        <v>54</v>
      </c>
      <c r="C28" s="195">
        <v>0.045</v>
      </c>
      <c r="D28" s="87">
        <v>0.195</v>
      </c>
      <c r="E28" s="88">
        <v>6.0</v>
      </c>
      <c r="F28" s="156">
        <f t="shared" si="1"/>
        <v>0.05265</v>
      </c>
      <c r="G28" s="156">
        <f t="shared" si="2"/>
        <v>1.17</v>
      </c>
      <c r="H28" s="157">
        <v>377.82</v>
      </c>
      <c r="I28" s="158">
        <f t="shared" si="19"/>
        <v>387</v>
      </c>
      <c r="J28" s="159">
        <f t="shared" si="20"/>
        <v>20.48085</v>
      </c>
      <c r="K28" s="160">
        <f t="shared" si="5"/>
        <v>17.505</v>
      </c>
      <c r="L28" s="161">
        <f t="shared" si="18"/>
        <v>11</v>
      </c>
      <c r="M28" s="162">
        <f t="shared" si="7"/>
        <v>0.57915</v>
      </c>
      <c r="N28" s="163">
        <f t="shared" si="8"/>
        <v>12.87</v>
      </c>
      <c r="O28" s="207"/>
      <c r="P28" s="165" t="str">
        <f t="shared" si="9"/>
        <v/>
      </c>
      <c r="Q28" s="172"/>
      <c r="R28" s="167"/>
      <c r="S28" s="155">
        <f t="shared" si="10"/>
        <v>0</v>
      </c>
      <c r="T28" s="168">
        <v>11.0</v>
      </c>
      <c r="U28" s="169">
        <f t="shared" si="11"/>
        <v>225.28935</v>
      </c>
      <c r="V28" s="38" t="str">
        <f t="shared" si="12"/>
        <v/>
      </c>
      <c r="W28" s="38" t="str">
        <f t="shared" si="13"/>
        <v/>
      </c>
      <c r="X28" s="11"/>
      <c r="Y28" s="11"/>
      <c r="Z28" s="11"/>
      <c r="AA28" s="11"/>
    </row>
    <row r="29" ht="13.5" customHeight="1">
      <c r="A29" s="151"/>
      <c r="B29" s="210" t="s">
        <v>56</v>
      </c>
      <c r="C29" s="211"/>
      <c r="D29" s="212"/>
      <c r="E29" s="211"/>
      <c r="F29" s="213"/>
      <c r="G29" s="213"/>
      <c r="H29" s="214">
        <f t="shared" ref="H29:I29" si="21">AVERAGE(H3:H28)</f>
        <v>423.7029567</v>
      </c>
      <c r="I29" s="215">
        <f t="shared" si="21"/>
        <v>458.6923077</v>
      </c>
      <c r="J29" s="216"/>
      <c r="K29" s="214">
        <f>AVERAGE(K3:K28)</f>
        <v>15.8135</v>
      </c>
      <c r="L29" s="217"/>
      <c r="M29" s="218">
        <f>SUM(M3:M28)</f>
        <v>80.37456</v>
      </c>
      <c r="N29" s="214"/>
      <c r="O29" s="219"/>
      <c r="P29" s="220">
        <f t="shared" ref="P29:Q29" si="22">SUM(P3:P28)</f>
        <v>0</v>
      </c>
      <c r="Q29" s="221">
        <f t="shared" si="22"/>
        <v>0</v>
      </c>
      <c r="R29" s="222"/>
      <c r="S29" s="223">
        <f>SUM(S3:S28)</f>
        <v>0</v>
      </c>
      <c r="T29" s="224"/>
      <c r="U29" s="225">
        <f>SUM(U3:U28)</f>
        <v>47799.71111</v>
      </c>
      <c r="V29" s="38" t="str">
        <f t="shared" si="12"/>
        <v/>
      </c>
      <c r="W29" s="38" t="str">
        <f t="shared" si="13"/>
        <v/>
      </c>
      <c r="X29" s="11"/>
      <c r="Y29" s="11"/>
      <c r="Z29" s="11"/>
      <c r="AA29" s="11"/>
    </row>
    <row r="30" ht="13.5" customHeight="1">
      <c r="A30" s="151"/>
      <c r="B30" s="226" t="s">
        <v>57</v>
      </c>
      <c r="C30" s="227"/>
      <c r="D30" s="227"/>
      <c r="E30" s="226"/>
      <c r="F30" s="228"/>
      <c r="G30" s="228"/>
      <c r="H30" s="229"/>
      <c r="I30" s="230"/>
      <c r="J30" s="231"/>
      <c r="K30" s="226"/>
      <c r="L30" s="226"/>
      <c r="M30" s="226"/>
      <c r="N30" s="232"/>
      <c r="O30" s="233"/>
      <c r="P30" s="234"/>
      <c r="Q30" s="235"/>
      <c r="R30" s="236"/>
      <c r="S30" s="226"/>
      <c r="T30" s="226"/>
      <c r="U30" s="237"/>
      <c r="V30" s="38" t="str">
        <f t="shared" si="12"/>
        <v/>
      </c>
      <c r="W30" s="38" t="str">
        <f t="shared" si="13"/>
        <v/>
      </c>
      <c r="X30" s="11"/>
      <c r="Y30" s="11"/>
      <c r="Z30" s="11"/>
      <c r="AA30" s="11"/>
    </row>
    <row r="31" ht="13.5" customHeight="1" outlineLevel="1">
      <c r="A31" s="151"/>
      <c r="B31" s="85"/>
      <c r="C31" s="238">
        <v>0.01</v>
      </c>
      <c r="D31" s="239">
        <v>0.15</v>
      </c>
      <c r="E31" s="165">
        <v>4.8</v>
      </c>
      <c r="F31" s="156">
        <f t="shared" ref="F31:F57" si="23">C31*D31*E31</f>
        <v>0.0072</v>
      </c>
      <c r="G31" s="156">
        <f t="shared" ref="G31:G57" si="24">D31*E31</f>
        <v>0.72</v>
      </c>
      <c r="H31" s="240">
        <v>488.69</v>
      </c>
      <c r="I31" s="158">
        <f>ROUND(H31*1.104,0)</f>
        <v>540</v>
      </c>
      <c r="J31" s="159">
        <f t="shared" ref="J31:J57" si="25">ROUND((I31*0.992)*1.21,0)*(C31*D31*E31)</f>
        <v>4.6656</v>
      </c>
      <c r="K31" s="160">
        <f t="shared" ref="K31:K57" si="26">J31/(D31*E31)</f>
        <v>6.48</v>
      </c>
      <c r="L31" s="161">
        <f t="shared" ref="L31:L57" si="27">T31+R31-O31</f>
        <v>151</v>
      </c>
      <c r="M31" s="241">
        <f t="shared" ref="M31:M57" si="28">L31*F31</f>
        <v>1.0872</v>
      </c>
      <c r="N31" s="163">
        <f t="shared" ref="N31:N57" si="29">L31*G31</f>
        <v>108.72</v>
      </c>
      <c r="O31" s="242"/>
      <c r="P31" s="165" t="str">
        <f t="shared" ref="P31:P35" si="30">IF(O31="","",(O31*F31))</f>
        <v/>
      </c>
      <c r="Q31" s="166"/>
      <c r="R31" s="243"/>
      <c r="S31" s="165">
        <f t="shared" ref="S31:S57" si="31">R31*F31</f>
        <v>0</v>
      </c>
      <c r="T31" s="244">
        <v>151.0</v>
      </c>
      <c r="U31" s="169">
        <f t="shared" ref="U31:U57" si="32">J31*L31</f>
        <v>704.5056</v>
      </c>
      <c r="V31" s="38" t="str">
        <f t="shared" si="12"/>
        <v/>
      </c>
      <c r="W31" s="38" t="str">
        <f t="shared" si="13"/>
        <v/>
      </c>
      <c r="X31" s="11"/>
      <c r="Y31" s="11"/>
      <c r="Z31" s="11"/>
      <c r="AA31" s="11"/>
    </row>
    <row r="32" ht="13.5" customHeight="1" outlineLevel="1">
      <c r="A32" s="151"/>
      <c r="B32" s="85"/>
      <c r="C32" s="238">
        <v>0.01</v>
      </c>
      <c r="D32" s="239">
        <v>0.15</v>
      </c>
      <c r="E32" s="245">
        <v>5.1</v>
      </c>
      <c r="F32" s="156">
        <f t="shared" si="23"/>
        <v>0.00765</v>
      </c>
      <c r="G32" s="156">
        <f t="shared" si="24"/>
        <v>0.765</v>
      </c>
      <c r="H32" s="240">
        <v>488.69</v>
      </c>
      <c r="I32" s="158">
        <f>ROUND(H32*1.089,0)</f>
        <v>532</v>
      </c>
      <c r="J32" s="159">
        <f t="shared" si="25"/>
        <v>4.88835</v>
      </c>
      <c r="K32" s="160">
        <f t="shared" si="26"/>
        <v>6.39</v>
      </c>
      <c r="L32" s="161">
        <f t="shared" si="27"/>
        <v>22</v>
      </c>
      <c r="M32" s="241">
        <f t="shared" si="28"/>
        <v>0.1683</v>
      </c>
      <c r="N32" s="163">
        <f t="shared" si="29"/>
        <v>16.83</v>
      </c>
      <c r="O32" s="246"/>
      <c r="P32" s="165" t="str">
        <f t="shared" si="30"/>
        <v/>
      </c>
      <c r="Q32" s="166"/>
      <c r="R32" s="247"/>
      <c r="S32" s="165">
        <f t="shared" si="31"/>
        <v>0</v>
      </c>
      <c r="T32" s="244">
        <v>22.0</v>
      </c>
      <c r="U32" s="169">
        <f t="shared" si="32"/>
        <v>107.5437</v>
      </c>
      <c r="V32" s="38" t="str">
        <f t="shared" si="12"/>
        <v/>
      </c>
      <c r="W32" s="38" t="str">
        <f t="shared" si="13"/>
        <v/>
      </c>
      <c r="X32" s="11"/>
      <c r="Y32" s="11"/>
      <c r="Z32" s="11"/>
      <c r="AA32" s="11"/>
    </row>
    <row r="33" ht="13.5" customHeight="1" outlineLevel="1">
      <c r="A33" s="151"/>
      <c r="B33" s="248"/>
      <c r="C33" s="249">
        <v>0.012</v>
      </c>
      <c r="D33" s="170">
        <v>0.12</v>
      </c>
      <c r="E33" s="250">
        <v>4.5</v>
      </c>
      <c r="F33" s="156">
        <f t="shared" si="23"/>
        <v>0.00648</v>
      </c>
      <c r="G33" s="156">
        <f t="shared" si="24"/>
        <v>0.54</v>
      </c>
      <c r="H33" s="240">
        <v>615.0</v>
      </c>
      <c r="I33" s="158">
        <f t="shared" ref="I33:I39" si="33">ROUND(H33*1.1667,0)</f>
        <v>718</v>
      </c>
      <c r="J33" s="159">
        <f t="shared" si="25"/>
        <v>5.58576</v>
      </c>
      <c r="K33" s="160">
        <f t="shared" si="26"/>
        <v>10.344</v>
      </c>
      <c r="L33" s="161">
        <f t="shared" si="27"/>
        <v>616</v>
      </c>
      <c r="M33" s="241">
        <f t="shared" si="28"/>
        <v>3.99168</v>
      </c>
      <c r="N33" s="163">
        <f t="shared" si="29"/>
        <v>332.64</v>
      </c>
      <c r="O33" s="242"/>
      <c r="P33" s="165" t="str">
        <f t="shared" si="30"/>
        <v/>
      </c>
      <c r="Q33" s="166"/>
      <c r="R33" s="243"/>
      <c r="S33" s="165">
        <f t="shared" si="31"/>
        <v>0</v>
      </c>
      <c r="T33" s="244">
        <v>616.0</v>
      </c>
      <c r="U33" s="169">
        <f t="shared" si="32"/>
        <v>3440.82816</v>
      </c>
      <c r="V33" s="38" t="str">
        <f t="shared" si="12"/>
        <v/>
      </c>
      <c r="W33" s="38" t="str">
        <f t="shared" si="13"/>
        <v/>
      </c>
      <c r="X33" s="11"/>
      <c r="Y33" s="11"/>
      <c r="Z33" s="11"/>
      <c r="AA33" s="11"/>
    </row>
    <row r="34" ht="13.5" customHeight="1" outlineLevel="1">
      <c r="A34" s="151"/>
      <c r="B34" s="248"/>
      <c r="C34" s="249">
        <v>0.014</v>
      </c>
      <c r="D34" s="170">
        <v>0.09</v>
      </c>
      <c r="E34" s="155">
        <v>2.4</v>
      </c>
      <c r="F34" s="156">
        <f t="shared" si="23"/>
        <v>0.003024</v>
      </c>
      <c r="G34" s="156">
        <f t="shared" si="24"/>
        <v>0.216</v>
      </c>
      <c r="H34" s="240">
        <v>456.57</v>
      </c>
      <c r="I34" s="158">
        <f t="shared" si="33"/>
        <v>533</v>
      </c>
      <c r="J34" s="159">
        <f t="shared" si="25"/>
        <v>1.93536</v>
      </c>
      <c r="K34" s="160">
        <f t="shared" si="26"/>
        <v>8.96</v>
      </c>
      <c r="L34" s="161">
        <f t="shared" si="27"/>
        <v>99</v>
      </c>
      <c r="M34" s="241">
        <f t="shared" si="28"/>
        <v>0.299376</v>
      </c>
      <c r="N34" s="163">
        <f t="shared" si="29"/>
        <v>21.384</v>
      </c>
      <c r="O34" s="242"/>
      <c r="P34" s="165" t="str">
        <f t="shared" si="30"/>
        <v/>
      </c>
      <c r="Q34" s="166"/>
      <c r="R34" s="243"/>
      <c r="S34" s="165">
        <f t="shared" si="31"/>
        <v>0</v>
      </c>
      <c r="T34" s="244">
        <v>99.0</v>
      </c>
      <c r="U34" s="169">
        <f t="shared" si="32"/>
        <v>191.60064</v>
      </c>
      <c r="V34" s="38" t="str">
        <f t="shared" si="12"/>
        <v/>
      </c>
      <c r="W34" s="38" t="str">
        <f t="shared" si="13"/>
        <v/>
      </c>
      <c r="X34" s="11"/>
      <c r="Y34" s="11"/>
      <c r="Z34" s="11"/>
      <c r="AA34" s="11"/>
    </row>
    <row r="35" ht="13.5" customHeight="1" outlineLevel="1">
      <c r="A35" s="151"/>
      <c r="B35" s="248" t="s">
        <v>58</v>
      </c>
      <c r="C35" s="249">
        <v>0.014</v>
      </c>
      <c r="D35" s="170">
        <v>0.121</v>
      </c>
      <c r="E35" s="155">
        <v>4.8</v>
      </c>
      <c r="F35" s="156">
        <f t="shared" si="23"/>
        <v>0.0081312</v>
      </c>
      <c r="G35" s="156">
        <f t="shared" si="24"/>
        <v>0.5808</v>
      </c>
      <c r="H35" s="240">
        <v>445.0</v>
      </c>
      <c r="I35" s="158">
        <f t="shared" si="33"/>
        <v>519</v>
      </c>
      <c r="J35" s="159">
        <f t="shared" si="25"/>
        <v>5.0657376</v>
      </c>
      <c r="K35" s="160">
        <f t="shared" si="26"/>
        <v>8.722</v>
      </c>
      <c r="L35" s="161">
        <f t="shared" si="27"/>
        <v>58</v>
      </c>
      <c r="M35" s="241">
        <f t="shared" si="28"/>
        <v>0.4716096</v>
      </c>
      <c r="N35" s="163">
        <f t="shared" si="29"/>
        <v>33.6864</v>
      </c>
      <c r="O35" s="242"/>
      <c r="P35" s="165" t="str">
        <f t="shared" si="30"/>
        <v/>
      </c>
      <c r="Q35" s="166"/>
      <c r="R35" s="243"/>
      <c r="S35" s="165">
        <f t="shared" si="31"/>
        <v>0</v>
      </c>
      <c r="T35" s="244">
        <v>58.0</v>
      </c>
      <c r="U35" s="169">
        <f t="shared" si="32"/>
        <v>293.8127808</v>
      </c>
      <c r="V35" s="38" t="str">
        <f t="shared" si="12"/>
        <v/>
      </c>
      <c r="W35" s="38" t="str">
        <f t="shared" si="13"/>
        <v/>
      </c>
      <c r="X35" s="11"/>
      <c r="Y35" s="11"/>
      <c r="Z35" s="11"/>
      <c r="AA35" s="11"/>
    </row>
    <row r="36" ht="13.5" customHeight="1" outlineLevel="1">
      <c r="A36" s="151"/>
      <c r="B36" s="248" t="s">
        <v>59</v>
      </c>
      <c r="C36" s="249">
        <v>0.014</v>
      </c>
      <c r="D36" s="170">
        <v>0.121</v>
      </c>
      <c r="E36" s="155">
        <v>4.8</v>
      </c>
      <c r="F36" s="156">
        <f t="shared" si="23"/>
        <v>0.0081312</v>
      </c>
      <c r="G36" s="156">
        <f t="shared" si="24"/>
        <v>0.5808</v>
      </c>
      <c r="H36" s="240">
        <v>445.0</v>
      </c>
      <c r="I36" s="158">
        <f t="shared" si="33"/>
        <v>519</v>
      </c>
      <c r="J36" s="159">
        <f t="shared" si="25"/>
        <v>5.0657376</v>
      </c>
      <c r="K36" s="160">
        <f t="shared" si="26"/>
        <v>8.722</v>
      </c>
      <c r="L36" s="161">
        <f t="shared" si="27"/>
        <v>257</v>
      </c>
      <c r="M36" s="241">
        <f t="shared" si="28"/>
        <v>2.0897184</v>
      </c>
      <c r="N36" s="163">
        <f t="shared" si="29"/>
        <v>149.2656</v>
      </c>
      <c r="O36" s="242"/>
      <c r="P36" s="165"/>
      <c r="Q36" s="166"/>
      <c r="R36" s="243"/>
      <c r="S36" s="165">
        <f t="shared" si="31"/>
        <v>0</v>
      </c>
      <c r="T36" s="244">
        <v>257.0</v>
      </c>
      <c r="U36" s="169">
        <f t="shared" si="32"/>
        <v>1301.894563</v>
      </c>
      <c r="V36" s="38" t="str">
        <f t="shared" si="12"/>
        <v/>
      </c>
      <c r="W36" s="38" t="str">
        <f t="shared" si="13"/>
        <v/>
      </c>
      <c r="X36" s="11"/>
      <c r="Y36" s="11"/>
      <c r="Z36" s="11"/>
      <c r="AA36" s="11"/>
    </row>
    <row r="37" ht="13.5" customHeight="1" outlineLevel="1">
      <c r="A37" s="151"/>
      <c r="B37" s="248"/>
      <c r="C37" s="251">
        <v>0.018</v>
      </c>
      <c r="D37" s="170">
        <v>0.12</v>
      </c>
      <c r="E37" s="88">
        <v>4.5</v>
      </c>
      <c r="F37" s="156">
        <f t="shared" si="23"/>
        <v>0.00972</v>
      </c>
      <c r="G37" s="156">
        <f t="shared" si="24"/>
        <v>0.54</v>
      </c>
      <c r="H37" s="240">
        <v>450.0</v>
      </c>
      <c r="I37" s="158">
        <f t="shared" si="33"/>
        <v>525</v>
      </c>
      <c r="J37" s="159">
        <f t="shared" si="25"/>
        <v>6.1236</v>
      </c>
      <c r="K37" s="160">
        <f t="shared" si="26"/>
        <v>11.34</v>
      </c>
      <c r="L37" s="161">
        <f t="shared" si="27"/>
        <v>59</v>
      </c>
      <c r="M37" s="241">
        <f t="shared" si="28"/>
        <v>0.57348</v>
      </c>
      <c r="N37" s="163">
        <f t="shared" si="29"/>
        <v>31.86</v>
      </c>
      <c r="O37" s="242"/>
      <c r="P37" s="165" t="str">
        <f t="shared" ref="P37:P57" si="34">IF(O37="","",(O37*F37))</f>
        <v/>
      </c>
      <c r="Q37" s="166"/>
      <c r="R37" s="243"/>
      <c r="S37" s="165">
        <f t="shared" si="31"/>
        <v>0</v>
      </c>
      <c r="T37" s="244">
        <v>59.0</v>
      </c>
      <c r="U37" s="169">
        <f t="shared" si="32"/>
        <v>361.2924</v>
      </c>
      <c r="V37" s="38" t="str">
        <f t="shared" si="12"/>
        <v/>
      </c>
      <c r="W37" s="38" t="str">
        <f t="shared" si="13"/>
        <v/>
      </c>
      <c r="X37" s="11"/>
      <c r="Y37" s="11"/>
      <c r="Z37" s="11"/>
      <c r="AA37" s="11"/>
    </row>
    <row r="38" ht="13.5" customHeight="1" outlineLevel="1">
      <c r="A38" s="151"/>
      <c r="B38" s="248"/>
      <c r="C38" s="249">
        <v>0.018</v>
      </c>
      <c r="D38" s="170">
        <v>0.121</v>
      </c>
      <c r="E38" s="155">
        <v>3.9</v>
      </c>
      <c r="F38" s="156">
        <f t="shared" si="23"/>
        <v>0.0084942</v>
      </c>
      <c r="G38" s="156">
        <f t="shared" si="24"/>
        <v>0.4719</v>
      </c>
      <c r="H38" s="240">
        <v>477.5</v>
      </c>
      <c r="I38" s="158">
        <f t="shared" si="33"/>
        <v>557</v>
      </c>
      <c r="J38" s="159">
        <f t="shared" si="25"/>
        <v>5.6826198</v>
      </c>
      <c r="K38" s="160">
        <f t="shared" si="26"/>
        <v>12.042</v>
      </c>
      <c r="L38" s="161">
        <f t="shared" si="27"/>
        <v>148</v>
      </c>
      <c r="M38" s="241">
        <f t="shared" si="28"/>
        <v>1.2571416</v>
      </c>
      <c r="N38" s="163">
        <f t="shared" si="29"/>
        <v>69.8412</v>
      </c>
      <c r="O38" s="252"/>
      <c r="P38" s="165" t="str">
        <f t="shared" si="34"/>
        <v/>
      </c>
      <c r="Q38" s="172"/>
      <c r="R38" s="243"/>
      <c r="S38" s="165">
        <f t="shared" si="31"/>
        <v>0</v>
      </c>
      <c r="T38" s="244">
        <v>148.0</v>
      </c>
      <c r="U38" s="169">
        <f t="shared" si="32"/>
        <v>841.0277304</v>
      </c>
      <c r="V38" s="38" t="str">
        <f t="shared" si="12"/>
        <v/>
      </c>
      <c r="W38" s="38" t="str">
        <f t="shared" si="13"/>
        <v/>
      </c>
      <c r="X38" s="11"/>
      <c r="Y38" s="11"/>
      <c r="Z38" s="11"/>
      <c r="AA38" s="11"/>
    </row>
    <row r="39" ht="13.5" customHeight="1" outlineLevel="1">
      <c r="A39" s="151"/>
      <c r="B39" s="85"/>
      <c r="C39" s="238">
        <v>0.018</v>
      </c>
      <c r="D39" s="239">
        <v>0.145</v>
      </c>
      <c r="E39" s="245">
        <v>3.0</v>
      </c>
      <c r="F39" s="156">
        <f t="shared" si="23"/>
        <v>0.00783</v>
      </c>
      <c r="G39" s="156">
        <f t="shared" si="24"/>
        <v>0.435</v>
      </c>
      <c r="H39" s="240">
        <v>340.0</v>
      </c>
      <c r="I39" s="158">
        <f t="shared" si="33"/>
        <v>397</v>
      </c>
      <c r="J39" s="159">
        <f t="shared" si="25"/>
        <v>3.73491</v>
      </c>
      <c r="K39" s="160">
        <f t="shared" si="26"/>
        <v>8.586</v>
      </c>
      <c r="L39" s="161">
        <f t="shared" si="27"/>
        <v>0</v>
      </c>
      <c r="M39" s="241">
        <f t="shared" si="28"/>
        <v>0</v>
      </c>
      <c r="N39" s="206">
        <f t="shared" si="29"/>
        <v>0</v>
      </c>
      <c r="O39" s="242"/>
      <c r="P39" s="165" t="str">
        <f t="shared" si="34"/>
        <v/>
      </c>
      <c r="Q39" s="166"/>
      <c r="R39" s="243"/>
      <c r="S39" s="165">
        <f t="shared" si="31"/>
        <v>0</v>
      </c>
      <c r="T39" s="244">
        <v>0.0</v>
      </c>
      <c r="U39" s="169">
        <f t="shared" si="32"/>
        <v>0</v>
      </c>
      <c r="V39" s="38" t="str">
        <f t="shared" si="12"/>
        <v/>
      </c>
      <c r="W39" s="38" t="str">
        <f t="shared" si="13"/>
        <v/>
      </c>
      <c r="X39" s="253"/>
      <c r="Y39" s="11"/>
      <c r="Z39" s="11"/>
      <c r="AA39" s="11"/>
    </row>
    <row r="40" ht="13.5" customHeight="1" outlineLevel="1">
      <c r="A40" s="151"/>
      <c r="B40" s="85" t="s">
        <v>60</v>
      </c>
      <c r="C40" s="86">
        <v>0.018</v>
      </c>
      <c r="D40" s="170">
        <v>0.145</v>
      </c>
      <c r="E40" s="155">
        <v>6.0</v>
      </c>
      <c r="F40" s="156">
        <f t="shared" si="23"/>
        <v>0.01566</v>
      </c>
      <c r="G40" s="156">
        <f t="shared" si="24"/>
        <v>0.87</v>
      </c>
      <c r="H40" s="240">
        <v>427.02</v>
      </c>
      <c r="I40" s="158">
        <f t="shared" ref="I40:I41" si="35">ROUND(H40*1.063,0)</f>
        <v>454</v>
      </c>
      <c r="J40" s="159">
        <f t="shared" si="25"/>
        <v>8.5347</v>
      </c>
      <c r="K40" s="160">
        <f t="shared" si="26"/>
        <v>9.81</v>
      </c>
      <c r="L40" s="161">
        <f t="shared" si="27"/>
        <v>618</v>
      </c>
      <c r="M40" s="241">
        <f t="shared" si="28"/>
        <v>9.67788</v>
      </c>
      <c r="N40" s="163">
        <f t="shared" si="29"/>
        <v>537.66</v>
      </c>
      <c r="O40" s="246"/>
      <c r="P40" s="165" t="str">
        <f t="shared" si="34"/>
        <v/>
      </c>
      <c r="Q40" s="166"/>
      <c r="R40" s="243"/>
      <c r="S40" s="165">
        <f t="shared" si="31"/>
        <v>0</v>
      </c>
      <c r="T40" s="244">
        <v>618.0</v>
      </c>
      <c r="U40" s="169">
        <f t="shared" si="32"/>
        <v>5274.4446</v>
      </c>
      <c r="V40" s="38" t="str">
        <f t="shared" si="12"/>
        <v/>
      </c>
      <c r="W40" s="38" t="str">
        <f t="shared" si="13"/>
        <v/>
      </c>
      <c r="X40" s="11"/>
      <c r="Y40" s="11"/>
      <c r="Z40" s="11"/>
      <c r="AA40" s="11"/>
    </row>
    <row r="41" ht="13.5" customHeight="1" outlineLevel="1">
      <c r="A41" s="151"/>
      <c r="B41" s="85" t="s">
        <v>30</v>
      </c>
      <c r="C41" s="86">
        <v>0.018</v>
      </c>
      <c r="D41" s="87">
        <v>0.145</v>
      </c>
      <c r="E41" s="88">
        <v>6.0</v>
      </c>
      <c r="F41" s="156">
        <f t="shared" si="23"/>
        <v>0.01566</v>
      </c>
      <c r="G41" s="156">
        <f t="shared" si="24"/>
        <v>0.87</v>
      </c>
      <c r="H41" s="240">
        <v>427.02</v>
      </c>
      <c r="I41" s="158">
        <f t="shared" si="35"/>
        <v>454</v>
      </c>
      <c r="J41" s="159">
        <f t="shared" si="25"/>
        <v>8.5347</v>
      </c>
      <c r="K41" s="160">
        <f t="shared" si="26"/>
        <v>9.81</v>
      </c>
      <c r="L41" s="161">
        <f t="shared" si="27"/>
        <v>36</v>
      </c>
      <c r="M41" s="241">
        <f t="shared" si="28"/>
        <v>0.56376</v>
      </c>
      <c r="N41" s="163">
        <f t="shared" si="29"/>
        <v>31.32</v>
      </c>
      <c r="O41" s="246"/>
      <c r="P41" s="165" t="str">
        <f t="shared" si="34"/>
        <v/>
      </c>
      <c r="Q41" s="166"/>
      <c r="R41" s="243"/>
      <c r="S41" s="165">
        <f t="shared" si="31"/>
        <v>0</v>
      </c>
      <c r="T41" s="244">
        <v>36.0</v>
      </c>
      <c r="U41" s="169">
        <f t="shared" si="32"/>
        <v>307.2492</v>
      </c>
      <c r="V41" s="38" t="str">
        <f t="shared" si="12"/>
        <v/>
      </c>
      <c r="W41" s="38" t="str">
        <f t="shared" si="13"/>
        <v/>
      </c>
      <c r="X41" s="11"/>
      <c r="Y41" s="11"/>
      <c r="Z41" s="11"/>
      <c r="AA41" s="11"/>
    </row>
    <row r="42" ht="13.5" customHeight="1" outlineLevel="1">
      <c r="A42" s="151"/>
      <c r="B42" s="248"/>
      <c r="C42" s="254">
        <v>0.019</v>
      </c>
      <c r="D42" s="255">
        <v>0.146</v>
      </c>
      <c r="E42" s="165">
        <v>4.8</v>
      </c>
      <c r="F42" s="156">
        <f t="shared" si="23"/>
        <v>0.0133152</v>
      </c>
      <c r="G42" s="156">
        <f t="shared" si="24"/>
        <v>0.7008</v>
      </c>
      <c r="H42" s="240">
        <v>415.0</v>
      </c>
      <c r="I42" s="158">
        <f>ROUND(H42*1.1667,0)</f>
        <v>484</v>
      </c>
      <c r="J42" s="159">
        <f t="shared" si="25"/>
        <v>7.7361312</v>
      </c>
      <c r="K42" s="160">
        <f t="shared" si="26"/>
        <v>11.039</v>
      </c>
      <c r="L42" s="161">
        <f t="shared" si="27"/>
        <v>210</v>
      </c>
      <c r="M42" s="241">
        <f t="shared" si="28"/>
        <v>2.796192</v>
      </c>
      <c r="N42" s="163">
        <f t="shared" si="29"/>
        <v>147.168</v>
      </c>
      <c r="O42" s="242"/>
      <c r="P42" s="165" t="str">
        <f t="shared" si="34"/>
        <v/>
      </c>
      <c r="Q42" s="166"/>
      <c r="R42" s="243"/>
      <c r="S42" s="165">
        <f t="shared" si="31"/>
        <v>0</v>
      </c>
      <c r="T42" s="244">
        <v>210.0</v>
      </c>
      <c r="U42" s="169">
        <f t="shared" si="32"/>
        <v>1624.587552</v>
      </c>
      <c r="V42" s="38" t="str">
        <f t="shared" si="12"/>
        <v/>
      </c>
      <c r="W42" s="38" t="str">
        <f t="shared" si="13"/>
        <v/>
      </c>
      <c r="X42" s="11"/>
      <c r="Y42" s="11"/>
      <c r="Z42" s="11"/>
      <c r="AA42" s="11"/>
    </row>
    <row r="43" ht="13.5" customHeight="1" outlineLevel="1">
      <c r="A43" s="151"/>
      <c r="B43" s="248"/>
      <c r="C43" s="249">
        <v>0.02</v>
      </c>
      <c r="D43" s="170">
        <v>0.095</v>
      </c>
      <c r="E43" s="155">
        <v>4.8</v>
      </c>
      <c r="F43" s="156">
        <f t="shared" si="23"/>
        <v>0.00912</v>
      </c>
      <c r="G43" s="156">
        <f t="shared" si="24"/>
        <v>0.456</v>
      </c>
      <c r="H43" s="240">
        <v>425.18</v>
      </c>
      <c r="I43" s="158">
        <f>ROUND(H43*1.05,0)</f>
        <v>446</v>
      </c>
      <c r="J43" s="159">
        <f t="shared" si="25"/>
        <v>4.8792</v>
      </c>
      <c r="K43" s="160">
        <f t="shared" si="26"/>
        <v>10.7</v>
      </c>
      <c r="L43" s="161">
        <f t="shared" si="27"/>
        <v>120</v>
      </c>
      <c r="M43" s="241">
        <f t="shared" si="28"/>
        <v>1.0944</v>
      </c>
      <c r="N43" s="163">
        <f t="shared" si="29"/>
        <v>54.72</v>
      </c>
      <c r="O43" s="252"/>
      <c r="P43" s="165" t="str">
        <f t="shared" si="34"/>
        <v/>
      </c>
      <c r="Q43" s="172"/>
      <c r="R43" s="243"/>
      <c r="S43" s="165">
        <f t="shared" si="31"/>
        <v>0</v>
      </c>
      <c r="T43" s="244">
        <v>120.0</v>
      </c>
      <c r="U43" s="169">
        <f t="shared" si="32"/>
        <v>585.504</v>
      </c>
      <c r="V43" s="38" t="str">
        <f t="shared" si="12"/>
        <v/>
      </c>
      <c r="W43" s="38" t="str">
        <f t="shared" si="13"/>
        <v/>
      </c>
      <c r="X43" s="11"/>
      <c r="Y43" s="11"/>
      <c r="Z43" s="11"/>
      <c r="AA43" s="11"/>
    </row>
    <row r="44" ht="13.5" customHeight="1" outlineLevel="1">
      <c r="A44" s="151"/>
      <c r="B44" s="248"/>
      <c r="C44" s="249">
        <v>0.02</v>
      </c>
      <c r="D44" s="170">
        <v>0.095</v>
      </c>
      <c r="E44" s="155">
        <v>6.0</v>
      </c>
      <c r="F44" s="156">
        <f t="shared" si="23"/>
        <v>0.0114</v>
      </c>
      <c r="G44" s="156">
        <f t="shared" si="24"/>
        <v>0.57</v>
      </c>
      <c r="H44" s="240">
        <v>425.18</v>
      </c>
      <c r="I44" s="158">
        <f>ROUND(H44*1.07,0)</f>
        <v>455</v>
      </c>
      <c r="J44" s="159">
        <f t="shared" si="25"/>
        <v>6.2244</v>
      </c>
      <c r="K44" s="160">
        <f t="shared" si="26"/>
        <v>10.92</v>
      </c>
      <c r="L44" s="161">
        <f t="shared" si="27"/>
        <v>26</v>
      </c>
      <c r="M44" s="241">
        <f t="shared" si="28"/>
        <v>0.2964</v>
      </c>
      <c r="N44" s="206">
        <f t="shared" si="29"/>
        <v>14.82</v>
      </c>
      <c r="O44" s="242"/>
      <c r="P44" s="165" t="str">
        <f t="shared" si="34"/>
        <v/>
      </c>
      <c r="Q44" s="166"/>
      <c r="R44" s="243"/>
      <c r="S44" s="165">
        <f t="shared" si="31"/>
        <v>0</v>
      </c>
      <c r="T44" s="244">
        <v>26.0</v>
      </c>
      <c r="U44" s="169">
        <f t="shared" si="32"/>
        <v>161.8344</v>
      </c>
      <c r="V44" s="38" t="str">
        <f t="shared" si="12"/>
        <v/>
      </c>
      <c r="W44" s="38" t="str">
        <f t="shared" si="13"/>
        <v/>
      </c>
      <c r="X44" s="11"/>
      <c r="Y44" s="11"/>
      <c r="Z44" s="11"/>
      <c r="AA44" s="11"/>
    </row>
    <row r="45" ht="13.5" customHeight="1" outlineLevel="1">
      <c r="A45" s="151"/>
      <c r="B45" s="248"/>
      <c r="C45" s="249">
        <v>0.02</v>
      </c>
      <c r="D45" s="170">
        <v>0.1</v>
      </c>
      <c r="E45" s="155">
        <v>4.0</v>
      </c>
      <c r="F45" s="156">
        <f t="shared" si="23"/>
        <v>0.008</v>
      </c>
      <c r="G45" s="156">
        <f t="shared" si="24"/>
        <v>0.4</v>
      </c>
      <c r="H45" s="240">
        <v>424.32</v>
      </c>
      <c r="I45" s="158">
        <f>ROUND(H45*1.1667,0)</f>
        <v>495</v>
      </c>
      <c r="J45" s="159">
        <f t="shared" si="25"/>
        <v>4.752</v>
      </c>
      <c r="K45" s="160">
        <f t="shared" si="26"/>
        <v>11.88</v>
      </c>
      <c r="L45" s="161">
        <f t="shared" si="27"/>
        <v>162</v>
      </c>
      <c r="M45" s="241">
        <f t="shared" si="28"/>
        <v>1.296</v>
      </c>
      <c r="N45" s="163">
        <f t="shared" si="29"/>
        <v>64.8</v>
      </c>
      <c r="O45" s="252"/>
      <c r="P45" s="165" t="str">
        <f t="shared" si="34"/>
        <v/>
      </c>
      <c r="Q45" s="172"/>
      <c r="R45" s="243"/>
      <c r="S45" s="165">
        <f t="shared" si="31"/>
        <v>0</v>
      </c>
      <c r="T45" s="244">
        <v>162.0</v>
      </c>
      <c r="U45" s="169">
        <f t="shared" si="32"/>
        <v>769.824</v>
      </c>
      <c r="V45" s="38" t="str">
        <f t="shared" si="12"/>
        <v/>
      </c>
      <c r="W45" s="38" t="str">
        <f t="shared" si="13"/>
        <v/>
      </c>
      <c r="X45" s="11"/>
      <c r="Y45" s="11"/>
      <c r="Z45" s="11"/>
      <c r="AA45" s="11"/>
    </row>
    <row r="46" ht="13.5" customHeight="1" outlineLevel="1">
      <c r="A46" s="151"/>
      <c r="B46" s="248"/>
      <c r="C46" s="249">
        <v>0.02</v>
      </c>
      <c r="D46" s="170">
        <v>0.115</v>
      </c>
      <c r="E46" s="155">
        <v>3.0</v>
      </c>
      <c r="F46" s="156">
        <f t="shared" si="23"/>
        <v>0.0069</v>
      </c>
      <c r="G46" s="156">
        <f t="shared" si="24"/>
        <v>0.345</v>
      </c>
      <c r="H46" s="240">
        <v>422.19</v>
      </c>
      <c r="I46" s="158">
        <f>ROUND(H46*1.1,0)</f>
        <v>464</v>
      </c>
      <c r="J46" s="159">
        <f t="shared" si="25"/>
        <v>3.8433</v>
      </c>
      <c r="K46" s="160">
        <f t="shared" si="26"/>
        <v>11.14</v>
      </c>
      <c r="L46" s="161">
        <f t="shared" si="27"/>
        <v>249</v>
      </c>
      <c r="M46" s="241">
        <f t="shared" si="28"/>
        <v>1.7181</v>
      </c>
      <c r="N46" s="163">
        <f t="shared" si="29"/>
        <v>85.905</v>
      </c>
      <c r="O46" s="252"/>
      <c r="P46" s="165" t="str">
        <f t="shared" si="34"/>
        <v/>
      </c>
      <c r="Q46" s="172"/>
      <c r="R46" s="243"/>
      <c r="S46" s="165">
        <f t="shared" si="31"/>
        <v>0</v>
      </c>
      <c r="T46" s="244">
        <v>249.0</v>
      </c>
      <c r="U46" s="169">
        <f t="shared" si="32"/>
        <v>956.9817</v>
      </c>
      <c r="V46" s="38" t="str">
        <f t="shared" si="12"/>
        <v/>
      </c>
      <c r="W46" s="38" t="str">
        <f t="shared" si="13"/>
        <v/>
      </c>
      <c r="X46" s="11"/>
      <c r="Y46" s="11"/>
      <c r="Z46" s="11"/>
      <c r="AA46" s="11"/>
    </row>
    <row r="47" ht="13.5" customHeight="1" outlineLevel="1">
      <c r="A47" s="151"/>
      <c r="B47" s="85"/>
      <c r="C47" s="238">
        <v>0.02</v>
      </c>
      <c r="D47" s="239">
        <v>0.145</v>
      </c>
      <c r="E47" s="245">
        <v>4.8</v>
      </c>
      <c r="F47" s="156">
        <f t="shared" si="23"/>
        <v>0.01392</v>
      </c>
      <c r="G47" s="156">
        <f t="shared" si="24"/>
        <v>0.696</v>
      </c>
      <c r="H47" s="240">
        <v>419.26</v>
      </c>
      <c r="I47" s="158">
        <f>ROUND(H47*1.08,0)</f>
        <v>453</v>
      </c>
      <c r="J47" s="159">
        <f t="shared" si="25"/>
        <v>7.57248</v>
      </c>
      <c r="K47" s="160">
        <f t="shared" si="26"/>
        <v>10.88</v>
      </c>
      <c r="L47" s="161">
        <f t="shared" si="27"/>
        <v>15</v>
      </c>
      <c r="M47" s="241">
        <f t="shared" si="28"/>
        <v>0.2088</v>
      </c>
      <c r="N47" s="206">
        <f t="shared" si="29"/>
        <v>10.44</v>
      </c>
      <c r="O47" s="256"/>
      <c r="P47" s="165" t="str">
        <f t="shared" si="34"/>
        <v/>
      </c>
      <c r="Q47" s="172"/>
      <c r="R47" s="243"/>
      <c r="S47" s="165">
        <f t="shared" si="31"/>
        <v>0</v>
      </c>
      <c r="T47" s="244">
        <v>15.0</v>
      </c>
      <c r="U47" s="169">
        <f t="shared" si="32"/>
        <v>113.5872</v>
      </c>
      <c r="V47" s="38" t="str">
        <f t="shared" si="12"/>
        <v/>
      </c>
      <c r="W47" s="38" t="str">
        <f t="shared" si="13"/>
        <v/>
      </c>
      <c r="X47" s="11"/>
      <c r="Y47" s="11"/>
      <c r="Z47" s="11"/>
      <c r="AA47" s="11"/>
    </row>
    <row r="48" ht="13.5" customHeight="1" outlineLevel="1">
      <c r="A48" s="151"/>
      <c r="B48" s="248"/>
      <c r="C48" s="249">
        <v>0.02</v>
      </c>
      <c r="D48" s="87">
        <v>0.175</v>
      </c>
      <c r="E48" s="155">
        <v>3.0</v>
      </c>
      <c r="F48" s="156">
        <f t="shared" si="23"/>
        <v>0.0105</v>
      </c>
      <c r="G48" s="156">
        <f t="shared" si="24"/>
        <v>0.525</v>
      </c>
      <c r="H48" s="240">
        <v>417.33</v>
      </c>
      <c r="I48" s="158">
        <f>ROUND(H48*1.07,0)</f>
        <v>447</v>
      </c>
      <c r="J48" s="159">
        <f t="shared" si="25"/>
        <v>5.6385</v>
      </c>
      <c r="K48" s="160">
        <f t="shared" si="26"/>
        <v>10.74</v>
      </c>
      <c r="L48" s="161">
        <f t="shared" si="27"/>
        <v>198</v>
      </c>
      <c r="M48" s="241">
        <f t="shared" si="28"/>
        <v>2.079</v>
      </c>
      <c r="N48" s="163">
        <f t="shared" si="29"/>
        <v>103.95</v>
      </c>
      <c r="O48" s="252"/>
      <c r="P48" s="165" t="str">
        <f t="shared" si="34"/>
        <v/>
      </c>
      <c r="Q48" s="172"/>
      <c r="R48" s="243"/>
      <c r="S48" s="165">
        <f t="shared" si="31"/>
        <v>0</v>
      </c>
      <c r="T48" s="244">
        <v>198.0</v>
      </c>
      <c r="U48" s="169">
        <f t="shared" si="32"/>
        <v>1116.423</v>
      </c>
      <c r="V48" s="38" t="str">
        <f t="shared" si="12"/>
        <v/>
      </c>
      <c r="W48" s="38" t="str">
        <f t="shared" si="13"/>
        <v/>
      </c>
      <c r="X48" s="11"/>
      <c r="Y48" s="11"/>
      <c r="Z48" s="11"/>
      <c r="AA48" s="11"/>
    </row>
    <row r="49" ht="13.5" customHeight="1" outlineLevel="1">
      <c r="A49" s="151"/>
      <c r="B49" s="85" t="s">
        <v>61</v>
      </c>
      <c r="C49" s="249">
        <v>0.021</v>
      </c>
      <c r="D49" s="170">
        <v>0.12</v>
      </c>
      <c r="E49" s="155">
        <v>4.2</v>
      </c>
      <c r="F49" s="156">
        <f t="shared" si="23"/>
        <v>0.010584</v>
      </c>
      <c r="G49" s="156">
        <f t="shared" si="24"/>
        <v>0.504</v>
      </c>
      <c r="H49" s="240">
        <v>385.0</v>
      </c>
      <c r="I49" s="158">
        <f t="shared" ref="I49:I51" si="36">ROUND(H49*1.1667,0)</f>
        <v>449</v>
      </c>
      <c r="J49" s="159">
        <f t="shared" si="25"/>
        <v>5.704776</v>
      </c>
      <c r="K49" s="160">
        <f t="shared" si="26"/>
        <v>11.319</v>
      </c>
      <c r="L49" s="161">
        <f t="shared" si="27"/>
        <v>296</v>
      </c>
      <c r="M49" s="241">
        <f t="shared" si="28"/>
        <v>3.132864</v>
      </c>
      <c r="N49" s="163">
        <f t="shared" si="29"/>
        <v>149.184</v>
      </c>
      <c r="O49" s="242"/>
      <c r="P49" s="165" t="str">
        <f t="shared" si="34"/>
        <v/>
      </c>
      <c r="Q49" s="172"/>
      <c r="R49" s="243"/>
      <c r="S49" s="165">
        <f t="shared" si="31"/>
        <v>0</v>
      </c>
      <c r="T49" s="244">
        <v>296.0</v>
      </c>
      <c r="U49" s="169">
        <f t="shared" si="32"/>
        <v>1688.613696</v>
      </c>
      <c r="V49" s="38" t="str">
        <f t="shared" si="12"/>
        <v/>
      </c>
      <c r="W49" s="38" t="str">
        <f t="shared" si="13"/>
        <v/>
      </c>
      <c r="X49" s="11"/>
      <c r="Y49" s="11"/>
      <c r="Z49" s="11"/>
      <c r="AA49" s="11"/>
    </row>
    <row r="50" ht="13.5" customHeight="1" outlineLevel="1">
      <c r="A50" s="151"/>
      <c r="B50" s="85" t="s">
        <v>62</v>
      </c>
      <c r="C50" s="257">
        <v>0.021</v>
      </c>
      <c r="D50" s="170">
        <v>0.12</v>
      </c>
      <c r="E50" s="155">
        <v>4.2</v>
      </c>
      <c r="F50" s="156">
        <f t="shared" si="23"/>
        <v>0.010584</v>
      </c>
      <c r="G50" s="156">
        <f t="shared" si="24"/>
        <v>0.504</v>
      </c>
      <c r="H50" s="240">
        <v>385.0</v>
      </c>
      <c r="I50" s="158">
        <f t="shared" si="36"/>
        <v>449</v>
      </c>
      <c r="J50" s="159">
        <f t="shared" si="25"/>
        <v>5.704776</v>
      </c>
      <c r="K50" s="160">
        <f t="shared" si="26"/>
        <v>11.319</v>
      </c>
      <c r="L50" s="161">
        <f t="shared" si="27"/>
        <v>376</v>
      </c>
      <c r="M50" s="241">
        <f t="shared" si="28"/>
        <v>3.979584</v>
      </c>
      <c r="N50" s="163">
        <f t="shared" si="29"/>
        <v>189.504</v>
      </c>
      <c r="O50" s="256"/>
      <c r="P50" s="165" t="str">
        <f t="shared" si="34"/>
        <v/>
      </c>
      <c r="Q50" s="172"/>
      <c r="R50" s="243"/>
      <c r="S50" s="165">
        <f t="shared" si="31"/>
        <v>0</v>
      </c>
      <c r="T50" s="244">
        <v>376.0</v>
      </c>
      <c r="U50" s="169">
        <f t="shared" si="32"/>
        <v>2144.995776</v>
      </c>
      <c r="V50" s="38" t="str">
        <f t="shared" si="12"/>
        <v/>
      </c>
      <c r="W50" s="38" t="str">
        <f t="shared" si="13"/>
        <v/>
      </c>
      <c r="X50" s="11"/>
      <c r="Y50" s="11"/>
      <c r="Z50" s="11"/>
      <c r="AA50" s="11"/>
    </row>
    <row r="51" ht="13.5" customHeight="1" outlineLevel="1">
      <c r="A51" s="151"/>
      <c r="B51" s="248"/>
      <c r="C51" s="249">
        <v>0.021</v>
      </c>
      <c r="D51" s="170">
        <v>0.12</v>
      </c>
      <c r="E51" s="155">
        <v>4.8</v>
      </c>
      <c r="F51" s="156">
        <f t="shared" si="23"/>
        <v>0.012096</v>
      </c>
      <c r="G51" s="156">
        <f t="shared" si="24"/>
        <v>0.576</v>
      </c>
      <c r="H51" s="240">
        <v>385.0</v>
      </c>
      <c r="I51" s="158">
        <f t="shared" si="36"/>
        <v>449</v>
      </c>
      <c r="J51" s="159">
        <f t="shared" si="25"/>
        <v>6.519744</v>
      </c>
      <c r="K51" s="160">
        <f t="shared" si="26"/>
        <v>11.319</v>
      </c>
      <c r="L51" s="161">
        <f t="shared" si="27"/>
        <v>17</v>
      </c>
      <c r="M51" s="241">
        <f t="shared" si="28"/>
        <v>0.205632</v>
      </c>
      <c r="N51" s="206">
        <f t="shared" si="29"/>
        <v>9.792</v>
      </c>
      <c r="O51" s="242"/>
      <c r="P51" s="165" t="str">
        <f t="shared" si="34"/>
        <v/>
      </c>
      <c r="Q51" s="166"/>
      <c r="R51" s="243"/>
      <c r="S51" s="165">
        <f t="shared" si="31"/>
        <v>0</v>
      </c>
      <c r="T51" s="244">
        <v>17.0</v>
      </c>
      <c r="U51" s="169">
        <f t="shared" si="32"/>
        <v>110.835648</v>
      </c>
      <c r="V51" s="38" t="str">
        <f t="shared" si="12"/>
        <v/>
      </c>
      <c r="W51" s="38" t="str">
        <f t="shared" si="13"/>
        <v/>
      </c>
      <c r="X51" s="11"/>
      <c r="Y51" s="11"/>
      <c r="Z51" s="11"/>
      <c r="AA51" s="11"/>
    </row>
    <row r="52" ht="13.5" customHeight="1" outlineLevel="1">
      <c r="A52" s="151"/>
      <c r="B52" s="248"/>
      <c r="C52" s="249">
        <v>0.021</v>
      </c>
      <c r="D52" s="170">
        <v>0.12</v>
      </c>
      <c r="E52" s="155">
        <v>5.4</v>
      </c>
      <c r="F52" s="156">
        <f t="shared" si="23"/>
        <v>0.013608</v>
      </c>
      <c r="G52" s="156">
        <f t="shared" si="24"/>
        <v>0.648</v>
      </c>
      <c r="H52" s="240">
        <v>418.25</v>
      </c>
      <c r="I52" s="158">
        <f>ROUND(H52*1.1,0)</f>
        <v>460</v>
      </c>
      <c r="J52" s="159">
        <f t="shared" si="25"/>
        <v>7.511616</v>
      </c>
      <c r="K52" s="160">
        <f t="shared" si="26"/>
        <v>11.592</v>
      </c>
      <c r="L52" s="161">
        <f t="shared" si="27"/>
        <v>68</v>
      </c>
      <c r="M52" s="241">
        <f t="shared" si="28"/>
        <v>0.925344</v>
      </c>
      <c r="N52" s="163">
        <f t="shared" si="29"/>
        <v>44.064</v>
      </c>
      <c r="O52" s="252"/>
      <c r="P52" s="165" t="str">
        <f t="shared" si="34"/>
        <v/>
      </c>
      <c r="Q52" s="172"/>
      <c r="R52" s="243"/>
      <c r="S52" s="165">
        <f t="shared" si="31"/>
        <v>0</v>
      </c>
      <c r="T52" s="244">
        <v>68.0</v>
      </c>
      <c r="U52" s="169">
        <f t="shared" si="32"/>
        <v>510.789888</v>
      </c>
      <c r="V52" s="38" t="str">
        <f t="shared" si="12"/>
        <v/>
      </c>
      <c r="W52" s="38" t="str">
        <f t="shared" si="13"/>
        <v/>
      </c>
      <c r="X52" s="11"/>
      <c r="Y52" s="11"/>
      <c r="Z52" s="11"/>
      <c r="AA52" s="11"/>
    </row>
    <row r="53" ht="13.5" customHeight="1" outlineLevel="1">
      <c r="A53" s="151"/>
      <c r="B53" s="258"/>
      <c r="C53" s="249">
        <v>0.021</v>
      </c>
      <c r="D53" s="170">
        <v>0.145</v>
      </c>
      <c r="E53" s="155">
        <v>5.1</v>
      </c>
      <c r="F53" s="156">
        <f t="shared" si="23"/>
        <v>0.0155295</v>
      </c>
      <c r="G53" s="156">
        <f t="shared" si="24"/>
        <v>0.7395</v>
      </c>
      <c r="H53" s="240">
        <v>380.0</v>
      </c>
      <c r="I53" s="158">
        <f>ROUND(H53*1.1667,0)</f>
        <v>443</v>
      </c>
      <c r="J53" s="159">
        <f t="shared" si="25"/>
        <v>8.261694</v>
      </c>
      <c r="K53" s="160">
        <f t="shared" si="26"/>
        <v>11.172</v>
      </c>
      <c r="L53" s="161">
        <f t="shared" si="27"/>
        <v>52</v>
      </c>
      <c r="M53" s="241">
        <f t="shared" si="28"/>
        <v>0.807534</v>
      </c>
      <c r="N53" s="163">
        <f t="shared" si="29"/>
        <v>38.454</v>
      </c>
      <c r="O53" s="246"/>
      <c r="P53" s="165" t="str">
        <f t="shared" si="34"/>
        <v/>
      </c>
      <c r="Q53" s="166"/>
      <c r="R53" s="243"/>
      <c r="S53" s="165">
        <f t="shared" si="31"/>
        <v>0</v>
      </c>
      <c r="T53" s="244">
        <v>52.0</v>
      </c>
      <c r="U53" s="169">
        <f t="shared" si="32"/>
        <v>429.608088</v>
      </c>
      <c r="V53" s="38" t="str">
        <f t="shared" si="12"/>
        <v/>
      </c>
      <c r="W53" s="38" t="str">
        <f t="shared" si="13"/>
        <v/>
      </c>
      <c r="X53" s="11"/>
      <c r="Y53" s="11"/>
      <c r="Z53" s="11"/>
      <c r="AA53" s="11"/>
    </row>
    <row r="54" ht="13.5" customHeight="1" outlineLevel="1">
      <c r="A54" s="151"/>
      <c r="B54" s="248"/>
      <c r="C54" s="249">
        <v>0.021</v>
      </c>
      <c r="D54" s="170">
        <v>0.146</v>
      </c>
      <c r="E54" s="155">
        <v>4.5</v>
      </c>
      <c r="F54" s="156">
        <f t="shared" si="23"/>
        <v>0.013797</v>
      </c>
      <c r="G54" s="156">
        <f t="shared" si="24"/>
        <v>0.657</v>
      </c>
      <c r="H54" s="259">
        <v>415.85</v>
      </c>
      <c r="I54" s="158">
        <f>ROUND(H54*1.1,0)</f>
        <v>457</v>
      </c>
      <c r="J54" s="159">
        <f t="shared" si="25"/>
        <v>7.574553</v>
      </c>
      <c r="K54" s="160">
        <f t="shared" si="26"/>
        <v>11.529</v>
      </c>
      <c r="L54" s="161">
        <f t="shared" si="27"/>
        <v>31</v>
      </c>
      <c r="M54" s="241">
        <f t="shared" si="28"/>
        <v>0.427707</v>
      </c>
      <c r="N54" s="163">
        <f t="shared" si="29"/>
        <v>20.367</v>
      </c>
      <c r="O54" s="246"/>
      <c r="P54" s="165" t="str">
        <f t="shared" si="34"/>
        <v/>
      </c>
      <c r="Q54" s="166"/>
      <c r="R54" s="243"/>
      <c r="S54" s="165">
        <f t="shared" si="31"/>
        <v>0</v>
      </c>
      <c r="T54" s="244">
        <v>31.0</v>
      </c>
      <c r="U54" s="169">
        <f t="shared" si="32"/>
        <v>234.811143</v>
      </c>
      <c r="V54" s="38" t="str">
        <f t="shared" si="12"/>
        <v/>
      </c>
      <c r="W54" s="38" t="str">
        <f t="shared" si="13"/>
        <v/>
      </c>
      <c r="X54" s="11"/>
      <c r="Y54" s="11"/>
      <c r="Z54" s="11"/>
      <c r="AA54" s="11"/>
    </row>
    <row r="55" ht="13.5" customHeight="1" outlineLevel="1">
      <c r="A55" s="151"/>
      <c r="B55" s="85"/>
      <c r="C55" s="238">
        <v>0.021</v>
      </c>
      <c r="D55" s="239">
        <v>0.17</v>
      </c>
      <c r="E55" s="245">
        <v>6.0</v>
      </c>
      <c r="F55" s="156">
        <f t="shared" si="23"/>
        <v>0.02142</v>
      </c>
      <c r="G55" s="156">
        <f t="shared" si="24"/>
        <v>1.02</v>
      </c>
      <c r="H55" s="157">
        <v>380.0</v>
      </c>
      <c r="I55" s="158">
        <f>ROUND(H55*1.1667,0)</f>
        <v>443</v>
      </c>
      <c r="J55" s="159">
        <f t="shared" si="25"/>
        <v>11.39544</v>
      </c>
      <c r="K55" s="160">
        <f t="shared" si="26"/>
        <v>11.172</v>
      </c>
      <c r="L55" s="161">
        <f t="shared" si="27"/>
        <v>144</v>
      </c>
      <c r="M55" s="241">
        <f t="shared" si="28"/>
        <v>3.08448</v>
      </c>
      <c r="N55" s="163">
        <f t="shared" si="29"/>
        <v>146.88</v>
      </c>
      <c r="O55" s="256"/>
      <c r="P55" s="165" t="str">
        <f t="shared" si="34"/>
        <v/>
      </c>
      <c r="Q55" s="172"/>
      <c r="R55" s="243"/>
      <c r="S55" s="165">
        <f t="shared" si="31"/>
        <v>0</v>
      </c>
      <c r="T55" s="244">
        <v>144.0</v>
      </c>
      <c r="U55" s="169">
        <f t="shared" si="32"/>
        <v>1640.94336</v>
      </c>
      <c r="V55" s="38" t="str">
        <f t="shared" si="12"/>
        <v/>
      </c>
      <c r="W55" s="38" t="str">
        <f t="shared" si="13"/>
        <v/>
      </c>
      <c r="X55" s="11"/>
      <c r="Y55" s="11"/>
      <c r="Z55" s="11"/>
      <c r="AA55" s="11"/>
    </row>
    <row r="56" ht="13.5" customHeight="1" outlineLevel="1">
      <c r="A56" s="151"/>
      <c r="B56" s="85"/>
      <c r="C56" s="238">
        <v>0.025</v>
      </c>
      <c r="D56" s="239">
        <v>0.095</v>
      </c>
      <c r="E56" s="245">
        <v>3.0</v>
      </c>
      <c r="F56" s="156">
        <f t="shared" si="23"/>
        <v>0.007125</v>
      </c>
      <c r="G56" s="156">
        <f t="shared" si="24"/>
        <v>0.285</v>
      </c>
      <c r="H56" s="240">
        <v>411.01</v>
      </c>
      <c r="I56" s="158">
        <f>ROUND(H56*1.08,0)</f>
        <v>444</v>
      </c>
      <c r="J56" s="159">
        <f t="shared" si="25"/>
        <v>3.797625</v>
      </c>
      <c r="K56" s="160">
        <f t="shared" si="26"/>
        <v>13.325</v>
      </c>
      <c r="L56" s="161">
        <f t="shared" si="27"/>
        <v>77</v>
      </c>
      <c r="M56" s="241">
        <f t="shared" si="28"/>
        <v>0.548625</v>
      </c>
      <c r="N56" s="163">
        <f t="shared" si="29"/>
        <v>21.945</v>
      </c>
      <c r="O56" s="256"/>
      <c r="P56" s="165" t="str">
        <f t="shared" si="34"/>
        <v/>
      </c>
      <c r="Q56" s="172"/>
      <c r="R56" s="243"/>
      <c r="S56" s="165">
        <f t="shared" si="31"/>
        <v>0</v>
      </c>
      <c r="T56" s="244">
        <v>77.0</v>
      </c>
      <c r="U56" s="169">
        <f t="shared" si="32"/>
        <v>292.417125</v>
      </c>
      <c r="V56" s="38" t="str">
        <f t="shared" si="12"/>
        <v/>
      </c>
      <c r="W56" s="38" t="str">
        <f t="shared" si="13"/>
        <v/>
      </c>
      <c r="X56" s="11"/>
      <c r="Y56" s="11"/>
      <c r="Z56" s="11"/>
      <c r="AA56" s="11"/>
    </row>
    <row r="57" ht="13.5" customHeight="1" outlineLevel="1">
      <c r="A57" s="151"/>
      <c r="B57" s="85" t="s">
        <v>63</v>
      </c>
      <c r="C57" s="249">
        <v>0.028</v>
      </c>
      <c r="D57" s="170">
        <v>0.145</v>
      </c>
      <c r="E57" s="155">
        <v>4.5</v>
      </c>
      <c r="F57" s="156">
        <f t="shared" si="23"/>
        <v>0.01827</v>
      </c>
      <c r="G57" s="156">
        <f t="shared" si="24"/>
        <v>0.6525</v>
      </c>
      <c r="H57" s="240">
        <v>428.56</v>
      </c>
      <c r="I57" s="158">
        <f>ROUND(H57*1.1667,0)</f>
        <v>500</v>
      </c>
      <c r="J57" s="159">
        <f t="shared" si="25"/>
        <v>10.962</v>
      </c>
      <c r="K57" s="160">
        <f t="shared" si="26"/>
        <v>16.8</v>
      </c>
      <c r="L57" s="161">
        <f t="shared" si="27"/>
        <v>141</v>
      </c>
      <c r="M57" s="241">
        <f t="shared" si="28"/>
        <v>2.57607</v>
      </c>
      <c r="N57" s="163">
        <f t="shared" si="29"/>
        <v>92.0025</v>
      </c>
      <c r="O57" s="246"/>
      <c r="P57" s="165" t="str">
        <f t="shared" si="34"/>
        <v/>
      </c>
      <c r="Q57" s="166"/>
      <c r="R57" s="243"/>
      <c r="S57" s="165">
        <f t="shared" si="31"/>
        <v>0</v>
      </c>
      <c r="T57" s="244">
        <v>141.0</v>
      </c>
      <c r="U57" s="169">
        <f t="shared" si="32"/>
        <v>1545.642</v>
      </c>
      <c r="V57" s="38" t="str">
        <f t="shared" si="12"/>
        <v/>
      </c>
      <c r="W57" s="38" t="str">
        <f t="shared" si="13"/>
        <v/>
      </c>
      <c r="X57" s="11"/>
      <c r="Y57" s="11"/>
      <c r="Z57" s="11"/>
      <c r="AA57" s="11"/>
    </row>
    <row r="58" ht="13.5" customHeight="1">
      <c r="A58" s="151"/>
      <c r="B58" s="210" t="s">
        <v>56</v>
      </c>
      <c r="C58" s="211"/>
      <c r="D58" s="212"/>
      <c r="E58" s="211"/>
      <c r="F58" s="213"/>
      <c r="G58" s="213"/>
      <c r="H58" s="214">
        <f t="shared" ref="H58:I58" si="37">AVERAGE(H31:H57)</f>
        <v>429.5414815</v>
      </c>
      <c r="I58" s="215">
        <f t="shared" si="37"/>
        <v>484.6666667</v>
      </c>
      <c r="J58" s="216"/>
      <c r="K58" s="214">
        <f>AVERAGE(K31:K57)</f>
        <v>10.66859259</v>
      </c>
      <c r="L58" s="217"/>
      <c r="M58" s="218">
        <f>SUM(M31:M57)</f>
        <v>45.3568776</v>
      </c>
      <c r="N58" s="218"/>
      <c r="O58" s="219"/>
      <c r="P58" s="220">
        <f t="shared" ref="P58:Q58" si="38">SUM(P31:P57)</f>
        <v>0</v>
      </c>
      <c r="Q58" s="221">
        <f t="shared" si="38"/>
        <v>0</v>
      </c>
      <c r="R58" s="222"/>
      <c r="S58" s="223">
        <f>SUM(S31:S57)</f>
        <v>0</v>
      </c>
      <c r="T58" s="224"/>
      <c r="U58" s="225">
        <f>SUM(U31:U57)</f>
        <v>26751.59795</v>
      </c>
      <c r="V58" s="38" t="str">
        <f t="shared" si="12"/>
        <v/>
      </c>
      <c r="W58" s="38" t="str">
        <f t="shared" si="13"/>
        <v/>
      </c>
      <c r="X58" s="11"/>
      <c r="Y58" s="11"/>
      <c r="Z58" s="11"/>
      <c r="AA58" s="11"/>
    </row>
    <row r="59" ht="13.5" customHeight="1">
      <c r="A59" s="151"/>
      <c r="B59" s="226" t="s">
        <v>64</v>
      </c>
      <c r="C59" s="226"/>
      <c r="D59" s="226"/>
      <c r="E59" s="226"/>
      <c r="F59" s="226"/>
      <c r="G59" s="226"/>
      <c r="H59" s="226"/>
      <c r="I59" s="230"/>
      <c r="J59" s="231"/>
      <c r="K59" s="226"/>
      <c r="L59" s="226"/>
      <c r="M59" s="226"/>
      <c r="N59" s="232"/>
      <c r="O59" s="260"/>
      <c r="P59" s="226"/>
      <c r="Q59" s="261"/>
      <c r="R59" s="236"/>
      <c r="S59" s="226"/>
      <c r="T59" s="226"/>
      <c r="U59" s="237"/>
      <c r="V59" s="38" t="str">
        <f t="shared" si="12"/>
        <v/>
      </c>
      <c r="W59" s="38" t="str">
        <f t="shared" si="13"/>
        <v/>
      </c>
      <c r="X59" s="11"/>
      <c r="Y59" s="11"/>
      <c r="Z59" s="11"/>
      <c r="AA59" s="11"/>
    </row>
    <row r="60" ht="13.5" customHeight="1" outlineLevel="1">
      <c r="A60" s="151"/>
      <c r="B60" s="248"/>
      <c r="C60" s="249">
        <v>0.02</v>
      </c>
      <c r="D60" s="170">
        <v>0.09</v>
      </c>
      <c r="E60" s="155">
        <v>3.0</v>
      </c>
      <c r="F60" s="156">
        <f t="shared" ref="F60:F63" si="39">C60*D60*E60</f>
        <v>0.0054</v>
      </c>
      <c r="G60" s="156">
        <f t="shared" ref="G60:G63" si="40">D60*E60</f>
        <v>0.27</v>
      </c>
      <c r="H60" s="240">
        <v>426.13</v>
      </c>
      <c r="I60" s="158">
        <f t="shared" ref="I60:I62" si="41">ROUND(H60*1.08,0)</f>
        <v>460</v>
      </c>
      <c r="J60" s="159">
        <f t="shared" ref="J60:J63" si="42">ROUND((I60*0.992)*1.21,0)*(C60*D60*E60)</f>
        <v>2.9808</v>
      </c>
      <c r="K60" s="160">
        <f t="shared" ref="K60:K63" si="43">J60/(D60*E60)</f>
        <v>11.04</v>
      </c>
      <c r="L60" s="161">
        <f t="shared" ref="L60:L63" si="44">T60+R60-O60</f>
        <v>48</v>
      </c>
      <c r="M60" s="241">
        <f t="shared" ref="M60:M63" si="45">L60*F60</f>
        <v>0.2592</v>
      </c>
      <c r="N60" s="163">
        <f t="shared" ref="N60:N63" si="46">L60*G60</f>
        <v>12.96</v>
      </c>
      <c r="O60" s="242"/>
      <c r="P60" s="165" t="str">
        <f t="shared" ref="P60:P63" si="47">IF(O60="","",(O60*F60))</f>
        <v/>
      </c>
      <c r="Q60" s="166"/>
      <c r="R60" s="243"/>
      <c r="S60" s="165">
        <f t="shared" ref="S60:S63" si="48">R60*F60</f>
        <v>0</v>
      </c>
      <c r="T60" s="244">
        <v>48.0</v>
      </c>
      <c r="U60" s="169">
        <f t="shared" ref="U60:U63" si="49">J60*L60</f>
        <v>143.0784</v>
      </c>
      <c r="V60" s="38" t="str">
        <f t="shared" si="12"/>
        <v/>
      </c>
      <c r="W60" s="38" t="str">
        <f t="shared" si="13"/>
        <v/>
      </c>
      <c r="X60" s="11"/>
      <c r="Y60" s="11"/>
      <c r="Z60" s="11"/>
      <c r="AA60" s="11"/>
    </row>
    <row r="61" ht="13.5" customHeight="1" outlineLevel="1">
      <c r="A61" s="151"/>
      <c r="B61" s="248"/>
      <c r="C61" s="249">
        <v>0.02</v>
      </c>
      <c r="D61" s="170">
        <v>0.09</v>
      </c>
      <c r="E61" s="155">
        <v>4.0</v>
      </c>
      <c r="F61" s="156">
        <f t="shared" si="39"/>
        <v>0.0072</v>
      </c>
      <c r="G61" s="156">
        <f t="shared" si="40"/>
        <v>0.36</v>
      </c>
      <c r="H61" s="240">
        <v>426.13</v>
      </c>
      <c r="I61" s="158">
        <f t="shared" si="41"/>
        <v>460</v>
      </c>
      <c r="J61" s="159">
        <f t="shared" si="42"/>
        <v>3.9744</v>
      </c>
      <c r="K61" s="160">
        <f t="shared" si="43"/>
        <v>11.04</v>
      </c>
      <c r="L61" s="161">
        <f t="shared" si="44"/>
        <v>15</v>
      </c>
      <c r="M61" s="241">
        <f t="shared" si="45"/>
        <v>0.108</v>
      </c>
      <c r="N61" s="163">
        <f t="shared" si="46"/>
        <v>5.4</v>
      </c>
      <c r="O61" s="242"/>
      <c r="P61" s="165" t="str">
        <f t="shared" si="47"/>
        <v/>
      </c>
      <c r="Q61" s="166"/>
      <c r="R61" s="243"/>
      <c r="S61" s="165">
        <f t="shared" si="48"/>
        <v>0</v>
      </c>
      <c r="T61" s="244">
        <v>15.0</v>
      </c>
      <c r="U61" s="169">
        <f t="shared" si="49"/>
        <v>59.616</v>
      </c>
      <c r="V61" s="38" t="str">
        <f t="shared" si="12"/>
        <v/>
      </c>
      <c r="W61" s="38" t="str">
        <f t="shared" si="13"/>
        <v/>
      </c>
      <c r="X61" s="11"/>
      <c r="Y61" s="11"/>
      <c r="Z61" s="11"/>
      <c r="AA61" s="11"/>
    </row>
    <row r="62" ht="13.5" customHeight="1" outlineLevel="1">
      <c r="A62" s="151"/>
      <c r="B62" s="248"/>
      <c r="C62" s="249">
        <v>0.02</v>
      </c>
      <c r="D62" s="87">
        <v>0.095</v>
      </c>
      <c r="E62" s="88">
        <v>2.4</v>
      </c>
      <c r="F62" s="156">
        <f t="shared" si="39"/>
        <v>0.00456</v>
      </c>
      <c r="G62" s="156">
        <f t="shared" si="40"/>
        <v>0.228</v>
      </c>
      <c r="H62" s="240">
        <v>426.13</v>
      </c>
      <c r="I62" s="158">
        <f t="shared" si="41"/>
        <v>460</v>
      </c>
      <c r="J62" s="159">
        <f t="shared" si="42"/>
        <v>2.51712</v>
      </c>
      <c r="K62" s="160">
        <f t="shared" si="43"/>
        <v>11.04</v>
      </c>
      <c r="L62" s="161">
        <f t="shared" si="44"/>
        <v>48</v>
      </c>
      <c r="M62" s="241">
        <f t="shared" si="45"/>
        <v>0.21888</v>
      </c>
      <c r="N62" s="163">
        <f t="shared" si="46"/>
        <v>10.944</v>
      </c>
      <c r="O62" s="242"/>
      <c r="P62" s="165" t="str">
        <f t="shared" si="47"/>
        <v/>
      </c>
      <c r="Q62" s="166"/>
      <c r="R62" s="247"/>
      <c r="S62" s="165">
        <f t="shared" si="48"/>
        <v>0</v>
      </c>
      <c r="T62" s="244">
        <v>48.0</v>
      </c>
      <c r="U62" s="169">
        <f t="shared" si="49"/>
        <v>120.82176</v>
      </c>
      <c r="V62" s="38" t="str">
        <f t="shared" si="12"/>
        <v/>
      </c>
      <c r="W62" s="38" t="str">
        <f t="shared" si="13"/>
        <v/>
      </c>
      <c r="X62" s="11"/>
      <c r="Y62" s="11"/>
      <c r="Z62" s="11"/>
      <c r="AA62" s="11"/>
    </row>
    <row r="63" ht="13.5" customHeight="1" outlineLevel="1">
      <c r="A63" s="151"/>
      <c r="B63" s="85"/>
      <c r="C63" s="249">
        <v>0.021</v>
      </c>
      <c r="D63" s="170">
        <v>0.12</v>
      </c>
      <c r="E63" s="155">
        <v>4.2</v>
      </c>
      <c r="F63" s="156">
        <f t="shared" si="39"/>
        <v>0.010584</v>
      </c>
      <c r="G63" s="156">
        <f t="shared" si="40"/>
        <v>0.504</v>
      </c>
      <c r="H63" s="240">
        <v>385.0</v>
      </c>
      <c r="I63" s="158">
        <f>ROUND(H63*1.1,0)</f>
        <v>424</v>
      </c>
      <c r="J63" s="159">
        <f t="shared" si="42"/>
        <v>5.387256</v>
      </c>
      <c r="K63" s="160">
        <f t="shared" si="43"/>
        <v>10.689</v>
      </c>
      <c r="L63" s="161">
        <f t="shared" si="44"/>
        <v>241</v>
      </c>
      <c r="M63" s="241">
        <f t="shared" si="45"/>
        <v>2.550744</v>
      </c>
      <c r="N63" s="163">
        <f t="shared" si="46"/>
        <v>121.464</v>
      </c>
      <c r="O63" s="242"/>
      <c r="P63" s="165" t="str">
        <f t="shared" si="47"/>
        <v/>
      </c>
      <c r="Q63" s="166"/>
      <c r="R63" s="243"/>
      <c r="S63" s="165">
        <f t="shared" si="48"/>
        <v>0</v>
      </c>
      <c r="T63" s="244">
        <v>241.0</v>
      </c>
      <c r="U63" s="169">
        <f t="shared" si="49"/>
        <v>1298.328696</v>
      </c>
      <c r="V63" s="38" t="str">
        <f t="shared" si="12"/>
        <v/>
      </c>
      <c r="W63" s="38" t="str">
        <f t="shared" si="13"/>
        <v/>
      </c>
      <c r="X63" s="11"/>
      <c r="Y63" s="11"/>
      <c r="Z63" s="11"/>
      <c r="AA63" s="11"/>
    </row>
    <row r="64" ht="13.5" customHeight="1">
      <c r="A64" s="151"/>
      <c r="B64" s="210" t="s">
        <v>56</v>
      </c>
      <c r="C64" s="211"/>
      <c r="D64" s="212"/>
      <c r="E64" s="211"/>
      <c r="F64" s="213"/>
      <c r="G64" s="213"/>
      <c r="H64" s="214">
        <f t="shared" ref="H64:I64" si="50">AVERAGE(H60:H63)</f>
        <v>415.8475</v>
      </c>
      <c r="I64" s="215">
        <f t="shared" si="50"/>
        <v>451</v>
      </c>
      <c r="J64" s="216"/>
      <c r="K64" s="214">
        <f>AVERAGE(K60:K63)</f>
        <v>10.95225</v>
      </c>
      <c r="L64" s="217"/>
      <c r="M64" s="218">
        <f>SUM(M60:M63)</f>
        <v>3.136824</v>
      </c>
      <c r="N64" s="218"/>
      <c r="O64" s="219"/>
      <c r="P64" s="220">
        <f>SUM(P60:P62)</f>
        <v>0</v>
      </c>
      <c r="Q64" s="221">
        <f>SUM(Q60:Q63)</f>
        <v>0</v>
      </c>
      <c r="R64" s="262"/>
      <c r="S64" s="223">
        <f>SUM(S60:S63)</f>
        <v>0</v>
      </c>
      <c r="T64" s="224"/>
      <c r="U64" s="225">
        <f>SUM(U60:U63)</f>
        <v>1621.844856</v>
      </c>
      <c r="V64" s="38" t="str">
        <f t="shared" si="12"/>
        <v/>
      </c>
      <c r="W64" s="38" t="str">
        <f t="shared" si="13"/>
        <v/>
      </c>
      <c r="X64" s="11"/>
      <c r="Y64" s="11"/>
      <c r="Z64" s="11"/>
      <c r="AA64" s="11"/>
    </row>
    <row r="65" ht="13.5" customHeight="1">
      <c r="A65" s="151"/>
      <c r="B65" s="226" t="s">
        <v>65</v>
      </c>
      <c r="C65" s="226"/>
      <c r="D65" s="226"/>
      <c r="E65" s="226"/>
      <c r="F65" s="226"/>
      <c r="G65" s="226"/>
      <c r="H65" s="226"/>
      <c r="I65" s="230"/>
      <c r="J65" s="231"/>
      <c r="K65" s="226"/>
      <c r="L65" s="226"/>
      <c r="M65" s="226"/>
      <c r="N65" s="232"/>
      <c r="O65" s="260"/>
      <c r="P65" s="226"/>
      <c r="Q65" s="261"/>
      <c r="R65" s="236"/>
      <c r="S65" s="226"/>
      <c r="T65" s="226"/>
      <c r="U65" s="237"/>
      <c r="V65" s="38" t="str">
        <f t="shared" si="12"/>
        <v/>
      </c>
      <c r="W65" s="38" t="str">
        <f t="shared" si="13"/>
        <v/>
      </c>
      <c r="X65" s="11"/>
      <c r="Y65" s="11"/>
      <c r="Z65" s="11"/>
      <c r="AA65" s="11"/>
    </row>
    <row r="66" ht="13.5" customHeight="1" outlineLevel="1">
      <c r="A66" s="151"/>
      <c r="B66" s="85"/>
      <c r="C66" s="249">
        <v>0.028</v>
      </c>
      <c r="D66" s="170">
        <v>0.095</v>
      </c>
      <c r="E66" s="250">
        <v>3.0</v>
      </c>
      <c r="F66" s="156">
        <f t="shared" ref="F66:F67" si="51">C66*D66*E66</f>
        <v>0.00798</v>
      </c>
      <c r="G66" s="156">
        <f t="shared" ref="G66:G67" si="52">D66*E66</f>
        <v>0.285</v>
      </c>
      <c r="H66" s="240">
        <v>404.93</v>
      </c>
      <c r="I66" s="158">
        <f>ROUND(H66*1.08,0)</f>
        <v>437</v>
      </c>
      <c r="J66" s="159">
        <f t="shared" ref="J66:J67" si="53">ROUND((I66*0.992)*1.21,0)*(C66*D66*E66)</f>
        <v>4.1895</v>
      </c>
      <c r="K66" s="160">
        <f t="shared" ref="K66:K67" si="54">J66/(D66*E66)</f>
        <v>14.7</v>
      </c>
      <c r="L66" s="161">
        <f t="shared" ref="L66:L67" si="55">T66+R66-O66</f>
        <v>708</v>
      </c>
      <c r="M66" s="241">
        <f t="shared" ref="M66:M67" si="56">L66*F66</f>
        <v>5.64984</v>
      </c>
      <c r="N66" s="163">
        <f t="shared" ref="N66:N67" si="57">L66*G66</f>
        <v>201.78</v>
      </c>
      <c r="O66" s="246"/>
      <c r="P66" s="165" t="str">
        <f>IF(O66="","",(O66*F66))</f>
        <v/>
      </c>
      <c r="Q66" s="166"/>
      <c r="R66" s="243"/>
      <c r="S66" s="165">
        <f t="shared" ref="S66:S67" si="58">R66*F66</f>
        <v>0</v>
      </c>
      <c r="T66" s="244">
        <v>708.0</v>
      </c>
      <c r="U66" s="169">
        <f t="shared" ref="U66:U67" si="59">J66*L66</f>
        <v>2966.166</v>
      </c>
      <c r="V66" s="38" t="str">
        <f t="shared" si="12"/>
        <v/>
      </c>
      <c r="W66" s="38" t="str">
        <f t="shared" si="13"/>
        <v/>
      </c>
      <c r="X66" s="11"/>
      <c r="Y66" s="11"/>
      <c r="Z66" s="11"/>
      <c r="AA66" s="11"/>
    </row>
    <row r="67" ht="13.5" customHeight="1" outlineLevel="1">
      <c r="A67" s="151"/>
      <c r="B67" s="85"/>
      <c r="C67" s="249">
        <v>0.028</v>
      </c>
      <c r="D67" s="170">
        <v>0.12</v>
      </c>
      <c r="E67" s="250">
        <v>5.4</v>
      </c>
      <c r="F67" s="156">
        <f t="shared" si="51"/>
        <v>0.018144</v>
      </c>
      <c r="G67" s="156">
        <f t="shared" si="52"/>
        <v>0.648</v>
      </c>
      <c r="H67" s="240">
        <v>401.52</v>
      </c>
      <c r="I67" s="158">
        <f>ROUND(H67*1.1667,0)</f>
        <v>468</v>
      </c>
      <c r="J67" s="159">
        <f t="shared" si="53"/>
        <v>10.196928</v>
      </c>
      <c r="K67" s="160">
        <f t="shared" si="54"/>
        <v>15.736</v>
      </c>
      <c r="L67" s="161">
        <f t="shared" si="55"/>
        <v>200</v>
      </c>
      <c r="M67" s="241">
        <f t="shared" si="56"/>
        <v>3.6288</v>
      </c>
      <c r="N67" s="163">
        <f t="shared" si="57"/>
        <v>129.6</v>
      </c>
      <c r="O67" s="246"/>
      <c r="P67" s="165"/>
      <c r="Q67" s="166"/>
      <c r="R67" s="243"/>
      <c r="S67" s="165">
        <f t="shared" si="58"/>
        <v>0</v>
      </c>
      <c r="T67" s="263">
        <v>200.0</v>
      </c>
      <c r="U67" s="169">
        <f t="shared" si="59"/>
        <v>2039.3856</v>
      </c>
      <c r="V67" s="38" t="str">
        <f t="shared" si="12"/>
        <v/>
      </c>
      <c r="W67" s="38" t="str">
        <f t="shared" si="13"/>
        <v/>
      </c>
      <c r="X67" s="11"/>
      <c r="Y67" s="11"/>
      <c r="Z67" s="11"/>
      <c r="AA67" s="11"/>
    </row>
    <row r="68" ht="13.5" customHeight="1">
      <c r="A68" s="151"/>
      <c r="B68" s="210" t="s">
        <v>56</v>
      </c>
      <c r="C68" s="211"/>
      <c r="D68" s="212"/>
      <c r="E68" s="211"/>
      <c r="F68" s="213"/>
      <c r="G68" s="213"/>
      <c r="H68" s="214">
        <f t="shared" ref="H68:I68" si="60">AVERAGE(H66:H67)</f>
        <v>403.225</v>
      </c>
      <c r="I68" s="215">
        <f t="shared" si="60"/>
        <v>452.5</v>
      </c>
      <c r="J68" s="216"/>
      <c r="K68" s="214">
        <f>AVERAGE(K66:K67)</f>
        <v>15.218</v>
      </c>
      <c r="L68" s="217"/>
      <c r="M68" s="218">
        <f>SUM(M66:M67)</f>
        <v>9.27864</v>
      </c>
      <c r="N68" s="218"/>
      <c r="O68" s="219"/>
      <c r="P68" s="220">
        <f t="shared" ref="P68:Q68" si="61">SUM(P66:P67)</f>
        <v>0</v>
      </c>
      <c r="Q68" s="221">
        <f t="shared" si="61"/>
        <v>0</v>
      </c>
      <c r="R68" s="262"/>
      <c r="S68" s="223">
        <f>SUM(S66:S67)</f>
        <v>0</v>
      </c>
      <c r="T68" s="224"/>
      <c r="U68" s="225">
        <f>SUM(U66:U67)</f>
        <v>5005.5516</v>
      </c>
      <c r="V68" s="38" t="str">
        <f t="shared" si="12"/>
        <v/>
      </c>
      <c r="W68" s="38" t="str">
        <f t="shared" si="13"/>
        <v/>
      </c>
      <c r="X68" s="11"/>
      <c r="Y68" s="11"/>
      <c r="Z68" s="11"/>
      <c r="AA68" s="11"/>
    </row>
    <row r="69" ht="13.5" customHeight="1">
      <c r="A69" s="151"/>
      <c r="B69" s="264" t="s">
        <v>66</v>
      </c>
      <c r="C69" s="226"/>
      <c r="D69" s="226"/>
      <c r="E69" s="226"/>
      <c r="F69" s="226"/>
      <c r="G69" s="226"/>
      <c r="H69" s="226"/>
      <c r="I69" s="230"/>
      <c r="J69" s="231"/>
      <c r="K69" s="226"/>
      <c r="L69" s="226"/>
      <c r="M69" s="226"/>
      <c r="N69" s="232"/>
      <c r="O69" s="260"/>
      <c r="P69" s="226"/>
      <c r="Q69" s="261"/>
      <c r="R69" s="236"/>
      <c r="S69" s="226"/>
      <c r="T69" s="226"/>
      <c r="U69" s="237"/>
      <c r="V69" s="38" t="str">
        <f t="shared" si="12"/>
        <v/>
      </c>
      <c r="W69" s="38" t="str">
        <f t="shared" si="13"/>
        <v/>
      </c>
      <c r="X69" s="11"/>
      <c r="Y69" s="11"/>
      <c r="Z69" s="11"/>
      <c r="AA69" s="11"/>
    </row>
    <row r="70" ht="13.5" customHeight="1" outlineLevel="1">
      <c r="A70" s="151"/>
      <c r="B70" s="114" t="s">
        <v>67</v>
      </c>
      <c r="C70" s="265">
        <v>0.012</v>
      </c>
      <c r="D70" s="182">
        <v>1.525</v>
      </c>
      <c r="E70" s="182">
        <v>1.525</v>
      </c>
      <c r="F70" s="184">
        <f t="shared" ref="F70:F72" si="62">C70*D70*E70</f>
        <v>0.0279075</v>
      </c>
      <c r="G70" s="184">
        <f t="shared" ref="G70:G72" si="63">D70*E70</f>
        <v>2.325625</v>
      </c>
      <c r="H70" s="266">
        <v>550.0</v>
      </c>
      <c r="I70" s="158">
        <f t="shared" ref="I70:I71" si="64">ROUND(H70*1.1667,0)</f>
        <v>642</v>
      </c>
      <c r="J70" s="159">
        <f t="shared" ref="J70:J71" si="65">ROUND((I70*0.992)*1.21,0)*(C70*D70*E70)</f>
        <v>21.5166825</v>
      </c>
      <c r="K70" s="267">
        <f t="shared" ref="K70:K72" si="66">J70/(D70*E70)</f>
        <v>9.252</v>
      </c>
      <c r="L70" s="268">
        <v>3.0</v>
      </c>
      <c r="M70" s="269">
        <f t="shared" ref="M70:M72" si="67">L70*F70</f>
        <v>0.0837225</v>
      </c>
      <c r="N70" s="188">
        <f t="shared" ref="N70:N72" si="68">L70*G70</f>
        <v>6.976875</v>
      </c>
      <c r="O70" s="270"/>
      <c r="P70" s="165" t="str">
        <f t="shared" ref="P70:P72" si="69">IF(O70="","",(O70*F70))</f>
        <v/>
      </c>
      <c r="Q70" s="271"/>
      <c r="R70" s="272"/>
      <c r="S70" s="273">
        <f t="shared" ref="S70:S72" si="70">R70*F70</f>
        <v>0</v>
      </c>
      <c r="T70" s="274">
        <v>3.0</v>
      </c>
      <c r="U70" s="169">
        <f t="shared" ref="U70:U72" si="71">J70*L70</f>
        <v>64.5500475</v>
      </c>
      <c r="V70" s="38" t="str">
        <f t="shared" si="12"/>
        <v/>
      </c>
      <c r="W70" s="38" t="str">
        <f t="shared" si="13"/>
        <v/>
      </c>
      <c r="X70" s="11"/>
      <c r="Y70" s="11"/>
      <c r="Z70" s="11"/>
      <c r="AA70" s="11"/>
    </row>
    <row r="71" ht="13.5" customHeight="1" outlineLevel="1">
      <c r="A71" s="151"/>
      <c r="B71" s="85" t="s">
        <v>67</v>
      </c>
      <c r="C71" s="86">
        <v>0.018</v>
      </c>
      <c r="D71" s="87">
        <v>1.525</v>
      </c>
      <c r="E71" s="87">
        <v>1.525</v>
      </c>
      <c r="F71" s="156">
        <f t="shared" si="62"/>
        <v>0.04186125</v>
      </c>
      <c r="G71" s="156">
        <f t="shared" si="63"/>
        <v>2.325625</v>
      </c>
      <c r="H71" s="240">
        <v>550.0</v>
      </c>
      <c r="I71" s="158">
        <f t="shared" si="64"/>
        <v>642</v>
      </c>
      <c r="J71" s="159">
        <f t="shared" si="65"/>
        <v>32.27502375</v>
      </c>
      <c r="K71" s="160">
        <f t="shared" si="66"/>
        <v>13.878</v>
      </c>
      <c r="L71" s="161">
        <f t="shared" ref="L71:L72" si="72">T71+R71-O71</f>
        <v>0</v>
      </c>
      <c r="M71" s="241">
        <f t="shared" si="67"/>
        <v>0</v>
      </c>
      <c r="N71" s="163">
        <f t="shared" si="68"/>
        <v>0</v>
      </c>
      <c r="O71" s="242"/>
      <c r="P71" s="165" t="str">
        <f t="shared" si="69"/>
        <v/>
      </c>
      <c r="Q71" s="166"/>
      <c r="R71" s="247"/>
      <c r="S71" s="165">
        <f t="shared" si="70"/>
        <v>0</v>
      </c>
      <c r="T71" s="244">
        <v>0.0</v>
      </c>
      <c r="U71" s="169">
        <f t="shared" si="71"/>
        <v>0</v>
      </c>
      <c r="V71" s="38" t="str">
        <f t="shared" si="12"/>
        <v/>
      </c>
      <c r="W71" s="38" t="str">
        <f t="shared" si="13"/>
        <v/>
      </c>
      <c r="X71" s="11"/>
      <c r="Y71" s="11"/>
      <c r="Z71" s="11"/>
      <c r="AA71" s="11"/>
    </row>
    <row r="72" ht="13.5" customHeight="1" outlineLevel="1">
      <c r="A72" s="151"/>
      <c r="B72" s="248"/>
      <c r="C72" s="86">
        <v>0.045</v>
      </c>
      <c r="D72" s="87">
        <v>0.22</v>
      </c>
      <c r="E72" s="88">
        <v>4.8</v>
      </c>
      <c r="F72" s="156">
        <f t="shared" si="62"/>
        <v>0.04752</v>
      </c>
      <c r="G72" s="156">
        <f t="shared" si="63"/>
        <v>1.056</v>
      </c>
      <c r="H72" s="240">
        <v>376.95</v>
      </c>
      <c r="I72" s="158">
        <f>ROUND(H72*1.06,0)</f>
        <v>400</v>
      </c>
      <c r="J72" s="159">
        <f>ROUND((I72*0.88)*1.21,0)*(C72*D72*E72)</f>
        <v>20.24352</v>
      </c>
      <c r="K72" s="160">
        <f t="shared" si="66"/>
        <v>19.17</v>
      </c>
      <c r="L72" s="161">
        <f t="shared" si="72"/>
        <v>375</v>
      </c>
      <c r="M72" s="241">
        <f t="shared" si="67"/>
        <v>17.82</v>
      </c>
      <c r="N72" s="163">
        <f t="shared" si="68"/>
        <v>396</v>
      </c>
      <c r="O72" s="246"/>
      <c r="P72" s="165" t="str">
        <f t="shared" si="69"/>
        <v/>
      </c>
      <c r="Q72" s="166"/>
      <c r="R72" s="247"/>
      <c r="S72" s="165">
        <f t="shared" si="70"/>
        <v>0</v>
      </c>
      <c r="T72" s="244">
        <v>375.0</v>
      </c>
      <c r="U72" s="169">
        <f t="shared" si="71"/>
        <v>7591.32</v>
      </c>
      <c r="V72" s="38" t="str">
        <f t="shared" si="12"/>
        <v/>
      </c>
      <c r="W72" s="38" t="str">
        <f t="shared" si="13"/>
        <v/>
      </c>
      <c r="X72" s="11"/>
      <c r="Y72" s="11"/>
      <c r="Z72" s="11"/>
      <c r="AA72" s="11"/>
    </row>
    <row r="73" ht="13.5" customHeight="1">
      <c r="A73" s="151"/>
      <c r="B73" s="210" t="s">
        <v>56</v>
      </c>
      <c r="C73" s="211"/>
      <c r="D73" s="212"/>
      <c r="E73" s="211"/>
      <c r="F73" s="213"/>
      <c r="G73" s="213"/>
      <c r="H73" s="214">
        <f t="shared" ref="H73:I73" si="73">AVERAGE(H70:H72)</f>
        <v>492.3166667</v>
      </c>
      <c r="I73" s="215">
        <f t="shared" si="73"/>
        <v>561.3333333</v>
      </c>
      <c r="J73" s="216"/>
      <c r="K73" s="214">
        <f>AVERAGE(K70:K72)</f>
        <v>14.1</v>
      </c>
      <c r="L73" s="217"/>
      <c r="M73" s="218">
        <f>SUM(M70:M72)</f>
        <v>17.9037225</v>
      </c>
      <c r="N73" s="218"/>
      <c r="O73" s="219"/>
      <c r="P73" s="220">
        <f t="shared" ref="P73:Q73" si="74">SUM(P70:P72)</f>
        <v>0</v>
      </c>
      <c r="Q73" s="221">
        <f t="shared" si="74"/>
        <v>0</v>
      </c>
      <c r="R73" s="262"/>
      <c r="S73" s="223">
        <f>SUM(S70:S72)</f>
        <v>0</v>
      </c>
      <c r="T73" s="224"/>
      <c r="U73" s="225">
        <f>SUM(U70:U72)</f>
        <v>7655.870048</v>
      </c>
      <c r="V73" s="38" t="str">
        <f t="shared" si="12"/>
        <v/>
      </c>
      <c r="W73" s="38" t="str">
        <f t="shared" si="13"/>
        <v/>
      </c>
      <c r="X73" s="11"/>
      <c r="Y73" s="11"/>
      <c r="Z73" s="11"/>
      <c r="AA73" s="11"/>
    </row>
    <row r="74" ht="13.5" customHeight="1">
      <c r="A74" s="151"/>
      <c r="B74" s="226" t="s">
        <v>68</v>
      </c>
      <c r="C74" s="226"/>
      <c r="D74" s="226"/>
      <c r="E74" s="226"/>
      <c r="F74" s="226"/>
      <c r="G74" s="226"/>
      <c r="H74" s="226"/>
      <c r="I74" s="230"/>
      <c r="J74" s="231"/>
      <c r="K74" s="226"/>
      <c r="L74" s="226"/>
      <c r="M74" s="226"/>
      <c r="N74" s="232"/>
      <c r="O74" s="260"/>
      <c r="P74" s="226"/>
      <c r="Q74" s="261"/>
      <c r="R74" s="236"/>
      <c r="S74" s="226"/>
      <c r="T74" s="226"/>
      <c r="U74" s="237"/>
      <c r="V74" s="38" t="str">
        <f t="shared" si="12"/>
        <v/>
      </c>
      <c r="W74" s="38" t="str">
        <f t="shared" si="13"/>
        <v/>
      </c>
      <c r="X74" s="11"/>
      <c r="Y74" s="11"/>
      <c r="Z74" s="11"/>
      <c r="AA74" s="11"/>
    </row>
    <row r="75" ht="13.5" customHeight="1" outlineLevel="1">
      <c r="A75" s="151"/>
      <c r="B75" s="85" t="s">
        <v>69</v>
      </c>
      <c r="C75" s="249">
        <v>0.018</v>
      </c>
      <c r="D75" s="170">
        <v>0.093</v>
      </c>
      <c r="E75" s="88">
        <v>3.1</v>
      </c>
      <c r="F75" s="156">
        <f t="shared" ref="F75:F81" si="75">C75*D75*E75</f>
        <v>0.0051894</v>
      </c>
      <c r="G75" s="156">
        <f t="shared" ref="G75:G81" si="76">D75*E75</f>
        <v>0.2883</v>
      </c>
      <c r="H75" s="240">
        <v>800.0</v>
      </c>
      <c r="I75" s="158">
        <f t="shared" ref="I75:I81" si="77">ROUND(H75*1.1667,0)</f>
        <v>933</v>
      </c>
      <c r="J75" s="159">
        <f t="shared" ref="J75:J81" si="78">ROUND((I75*0.992)*1.21,0)*(C75*D75*E75)</f>
        <v>5.812128</v>
      </c>
      <c r="K75" s="160">
        <f t="shared" ref="K75:K81" si="79">J75/(D75*E75)</f>
        <v>20.16</v>
      </c>
      <c r="L75" s="161">
        <f t="shared" ref="L75:L81" si="80">T75+R75-O75</f>
        <v>297</v>
      </c>
      <c r="M75" s="241">
        <f t="shared" ref="M75:M81" si="81">L75*F75</f>
        <v>1.5412518</v>
      </c>
      <c r="N75" s="163">
        <f t="shared" ref="N75:N81" si="82">L75*G75</f>
        <v>85.6251</v>
      </c>
      <c r="O75" s="252"/>
      <c r="P75" s="165" t="str">
        <f t="shared" ref="P75:P81" si="83">IF(O75="","",(O75*F75))</f>
        <v/>
      </c>
      <c r="Q75" s="172"/>
      <c r="R75" s="243"/>
      <c r="S75" s="165">
        <f t="shared" ref="S75:S81" si="84">R75*F75</f>
        <v>0</v>
      </c>
      <c r="T75" s="244">
        <v>297.0</v>
      </c>
      <c r="U75" s="169">
        <f t="shared" ref="U75:U81" si="85">J75*L75</f>
        <v>1726.202016</v>
      </c>
      <c r="V75" s="38" t="str">
        <f t="shared" si="12"/>
        <v/>
      </c>
      <c r="W75" s="38" t="str">
        <f t="shared" si="13"/>
        <v/>
      </c>
      <c r="X75" s="11"/>
      <c r="Y75" s="11"/>
      <c r="Z75" s="11"/>
      <c r="AA75" s="11"/>
    </row>
    <row r="76" ht="13.5" customHeight="1" outlineLevel="1">
      <c r="A76" s="151"/>
      <c r="B76" s="85" t="s">
        <v>70</v>
      </c>
      <c r="C76" s="254">
        <v>0.02</v>
      </c>
      <c r="D76" s="255">
        <v>0.045</v>
      </c>
      <c r="E76" s="165">
        <v>3.0</v>
      </c>
      <c r="F76" s="156">
        <f t="shared" si="75"/>
        <v>0.0027</v>
      </c>
      <c r="G76" s="156">
        <f t="shared" si="76"/>
        <v>0.135</v>
      </c>
      <c r="H76" s="240">
        <v>800.0</v>
      </c>
      <c r="I76" s="158">
        <f t="shared" si="77"/>
        <v>933</v>
      </c>
      <c r="J76" s="159">
        <f t="shared" si="78"/>
        <v>3.024</v>
      </c>
      <c r="K76" s="160">
        <f t="shared" si="79"/>
        <v>22.4</v>
      </c>
      <c r="L76" s="161">
        <f t="shared" si="80"/>
        <v>18</v>
      </c>
      <c r="M76" s="241">
        <f t="shared" si="81"/>
        <v>0.0486</v>
      </c>
      <c r="N76" s="163">
        <f t="shared" si="82"/>
        <v>2.43</v>
      </c>
      <c r="O76" s="246"/>
      <c r="P76" s="165" t="str">
        <f t="shared" si="83"/>
        <v/>
      </c>
      <c r="Q76" s="166"/>
      <c r="R76" s="243"/>
      <c r="S76" s="165">
        <f t="shared" si="84"/>
        <v>0</v>
      </c>
      <c r="T76" s="244">
        <v>18.0</v>
      </c>
      <c r="U76" s="169">
        <f t="shared" si="85"/>
        <v>54.432</v>
      </c>
      <c r="V76" s="38" t="str">
        <f t="shared" si="12"/>
        <v/>
      </c>
      <c r="W76" s="38" t="str">
        <f t="shared" si="13"/>
        <v/>
      </c>
      <c r="X76" s="11"/>
      <c r="Y76" s="11"/>
      <c r="Z76" s="11"/>
      <c r="AA76" s="11"/>
    </row>
    <row r="77" ht="13.5" customHeight="1" outlineLevel="1">
      <c r="A77" s="151"/>
      <c r="B77" s="85" t="s">
        <v>69</v>
      </c>
      <c r="C77" s="249">
        <v>0.02</v>
      </c>
      <c r="D77" s="170">
        <v>0.045</v>
      </c>
      <c r="E77" s="155">
        <v>3.1</v>
      </c>
      <c r="F77" s="156">
        <f t="shared" si="75"/>
        <v>0.00279</v>
      </c>
      <c r="G77" s="156">
        <f t="shared" si="76"/>
        <v>0.1395</v>
      </c>
      <c r="H77" s="240">
        <v>800.0</v>
      </c>
      <c r="I77" s="158">
        <f t="shared" si="77"/>
        <v>933</v>
      </c>
      <c r="J77" s="159">
        <f t="shared" si="78"/>
        <v>3.1248</v>
      </c>
      <c r="K77" s="160">
        <f t="shared" si="79"/>
        <v>22.4</v>
      </c>
      <c r="L77" s="161">
        <f t="shared" si="80"/>
        <v>142</v>
      </c>
      <c r="M77" s="241">
        <f t="shared" si="81"/>
        <v>0.39618</v>
      </c>
      <c r="N77" s="163">
        <f t="shared" si="82"/>
        <v>19.809</v>
      </c>
      <c r="O77" s="246"/>
      <c r="P77" s="165" t="str">
        <f t="shared" si="83"/>
        <v/>
      </c>
      <c r="Q77" s="166"/>
      <c r="R77" s="243"/>
      <c r="S77" s="165">
        <f t="shared" si="84"/>
        <v>0</v>
      </c>
      <c r="T77" s="244">
        <v>142.0</v>
      </c>
      <c r="U77" s="169">
        <f t="shared" si="85"/>
        <v>443.7216</v>
      </c>
      <c r="V77" s="38" t="str">
        <f t="shared" si="12"/>
        <v/>
      </c>
      <c r="W77" s="38" t="str">
        <f t="shared" si="13"/>
        <v/>
      </c>
      <c r="X77" s="11"/>
      <c r="Y77" s="11"/>
      <c r="Z77" s="11"/>
      <c r="AA77" s="11"/>
    </row>
    <row r="78" ht="13.5" customHeight="1" outlineLevel="1">
      <c r="A78" s="151"/>
      <c r="B78" s="85" t="s">
        <v>70</v>
      </c>
      <c r="C78" s="249">
        <v>0.04</v>
      </c>
      <c r="D78" s="170">
        <v>0.095</v>
      </c>
      <c r="E78" s="155">
        <v>2.4</v>
      </c>
      <c r="F78" s="156">
        <f t="shared" si="75"/>
        <v>0.00912</v>
      </c>
      <c r="G78" s="156">
        <f t="shared" si="76"/>
        <v>0.228</v>
      </c>
      <c r="H78" s="240">
        <v>800.0</v>
      </c>
      <c r="I78" s="158">
        <f t="shared" si="77"/>
        <v>933</v>
      </c>
      <c r="J78" s="159">
        <f t="shared" si="78"/>
        <v>10.2144</v>
      </c>
      <c r="K78" s="160">
        <f t="shared" si="79"/>
        <v>44.8</v>
      </c>
      <c r="L78" s="161">
        <f t="shared" si="80"/>
        <v>100</v>
      </c>
      <c r="M78" s="241">
        <f t="shared" si="81"/>
        <v>0.912</v>
      </c>
      <c r="N78" s="163">
        <f t="shared" si="82"/>
        <v>22.8</v>
      </c>
      <c r="O78" s="275"/>
      <c r="P78" s="165" t="str">
        <f t="shared" si="83"/>
        <v/>
      </c>
      <c r="Q78" s="172"/>
      <c r="R78" s="243"/>
      <c r="S78" s="165">
        <f t="shared" si="84"/>
        <v>0</v>
      </c>
      <c r="T78" s="244">
        <v>100.0</v>
      </c>
      <c r="U78" s="169">
        <f t="shared" si="85"/>
        <v>1021.44</v>
      </c>
      <c r="V78" s="38" t="str">
        <f t="shared" si="12"/>
        <v/>
      </c>
      <c r="W78" s="38" t="str">
        <f t="shared" si="13"/>
        <v/>
      </c>
      <c r="X78" s="11"/>
      <c r="Y78" s="11"/>
      <c r="Z78" s="11"/>
      <c r="AA78" s="11"/>
    </row>
    <row r="79" ht="13.5" customHeight="1" outlineLevel="1">
      <c r="A79" s="151"/>
      <c r="B79" s="85" t="s">
        <v>69</v>
      </c>
      <c r="C79" s="249">
        <v>0.045</v>
      </c>
      <c r="D79" s="170">
        <v>0.045</v>
      </c>
      <c r="E79" s="88">
        <v>3.1</v>
      </c>
      <c r="F79" s="156">
        <f t="shared" si="75"/>
        <v>0.0062775</v>
      </c>
      <c r="G79" s="156">
        <f t="shared" si="76"/>
        <v>0.1395</v>
      </c>
      <c r="H79" s="240">
        <v>800.0</v>
      </c>
      <c r="I79" s="158">
        <f t="shared" si="77"/>
        <v>933</v>
      </c>
      <c r="J79" s="159">
        <f t="shared" si="78"/>
        <v>7.0308</v>
      </c>
      <c r="K79" s="160">
        <f t="shared" si="79"/>
        <v>50.4</v>
      </c>
      <c r="L79" s="161">
        <f t="shared" si="80"/>
        <v>42</v>
      </c>
      <c r="M79" s="241">
        <f t="shared" si="81"/>
        <v>0.263655</v>
      </c>
      <c r="N79" s="163">
        <f t="shared" si="82"/>
        <v>5.859</v>
      </c>
      <c r="O79" s="275"/>
      <c r="P79" s="165" t="str">
        <f t="shared" si="83"/>
        <v/>
      </c>
      <c r="Q79" s="172"/>
      <c r="R79" s="243"/>
      <c r="S79" s="165">
        <f t="shared" si="84"/>
        <v>0</v>
      </c>
      <c r="T79" s="244">
        <v>42.0</v>
      </c>
      <c r="U79" s="169">
        <f t="shared" si="85"/>
        <v>295.2936</v>
      </c>
      <c r="V79" s="38" t="str">
        <f t="shared" si="12"/>
        <v/>
      </c>
      <c r="W79" s="38" t="str">
        <f t="shared" si="13"/>
        <v/>
      </c>
      <c r="X79" s="11"/>
      <c r="Y79" s="11"/>
      <c r="Z79" s="11"/>
      <c r="AA79" s="11"/>
    </row>
    <row r="80" ht="13.5" customHeight="1" outlineLevel="1">
      <c r="A80" s="151"/>
      <c r="B80" s="85" t="s">
        <v>69</v>
      </c>
      <c r="C80" s="249">
        <v>0.045</v>
      </c>
      <c r="D80" s="170">
        <v>0.095</v>
      </c>
      <c r="E80" s="88">
        <v>3.1</v>
      </c>
      <c r="F80" s="156">
        <f t="shared" si="75"/>
        <v>0.0132525</v>
      </c>
      <c r="G80" s="156">
        <f t="shared" si="76"/>
        <v>0.2945</v>
      </c>
      <c r="H80" s="240">
        <v>800.0</v>
      </c>
      <c r="I80" s="158">
        <f t="shared" si="77"/>
        <v>933</v>
      </c>
      <c r="J80" s="159">
        <f t="shared" si="78"/>
        <v>14.8428</v>
      </c>
      <c r="K80" s="160">
        <f t="shared" si="79"/>
        <v>50.4</v>
      </c>
      <c r="L80" s="161">
        <f t="shared" si="80"/>
        <v>113</v>
      </c>
      <c r="M80" s="241">
        <f t="shared" si="81"/>
        <v>1.4975325</v>
      </c>
      <c r="N80" s="163">
        <f t="shared" si="82"/>
        <v>33.2785</v>
      </c>
      <c r="O80" s="275"/>
      <c r="P80" s="165" t="str">
        <f t="shared" si="83"/>
        <v/>
      </c>
      <c r="Q80" s="172"/>
      <c r="R80" s="243"/>
      <c r="S80" s="165">
        <f t="shared" si="84"/>
        <v>0</v>
      </c>
      <c r="T80" s="244">
        <v>113.0</v>
      </c>
      <c r="U80" s="169">
        <f t="shared" si="85"/>
        <v>1677.2364</v>
      </c>
      <c r="V80" s="38" t="str">
        <f t="shared" si="12"/>
        <v/>
      </c>
      <c r="W80" s="38" t="str">
        <f t="shared" si="13"/>
        <v/>
      </c>
      <c r="X80" s="11"/>
      <c r="Y80" s="11"/>
      <c r="Z80" s="11"/>
      <c r="AA80" s="11"/>
    </row>
    <row r="81" ht="13.5" customHeight="1" outlineLevel="1">
      <c r="A81" s="151"/>
      <c r="B81" s="85" t="s">
        <v>69</v>
      </c>
      <c r="C81" s="249">
        <v>0.045</v>
      </c>
      <c r="D81" s="87">
        <v>0.15</v>
      </c>
      <c r="E81" s="88">
        <v>3.1</v>
      </c>
      <c r="F81" s="156">
        <f t="shared" si="75"/>
        <v>0.020925</v>
      </c>
      <c r="G81" s="156">
        <f t="shared" si="76"/>
        <v>0.465</v>
      </c>
      <c r="H81" s="240">
        <v>800.0</v>
      </c>
      <c r="I81" s="158">
        <f t="shared" si="77"/>
        <v>933</v>
      </c>
      <c r="J81" s="159">
        <f t="shared" si="78"/>
        <v>23.436</v>
      </c>
      <c r="K81" s="160">
        <f t="shared" si="79"/>
        <v>50.4</v>
      </c>
      <c r="L81" s="161">
        <f t="shared" si="80"/>
        <v>33</v>
      </c>
      <c r="M81" s="241">
        <f t="shared" si="81"/>
        <v>0.690525</v>
      </c>
      <c r="N81" s="163">
        <f t="shared" si="82"/>
        <v>15.345</v>
      </c>
      <c r="O81" s="252"/>
      <c r="P81" s="165" t="str">
        <f t="shared" si="83"/>
        <v/>
      </c>
      <c r="Q81" s="172"/>
      <c r="R81" s="243"/>
      <c r="S81" s="165">
        <f t="shared" si="84"/>
        <v>0</v>
      </c>
      <c r="T81" s="244">
        <v>33.0</v>
      </c>
      <c r="U81" s="169">
        <f t="shared" si="85"/>
        <v>773.388</v>
      </c>
      <c r="V81" s="38" t="str">
        <f t="shared" si="12"/>
        <v/>
      </c>
      <c r="W81" s="38" t="str">
        <f t="shared" si="13"/>
        <v/>
      </c>
      <c r="X81" s="11"/>
      <c r="Y81" s="11"/>
      <c r="Z81" s="11"/>
      <c r="AA81" s="11"/>
    </row>
    <row r="82" ht="13.5" customHeight="1">
      <c r="A82" s="151"/>
      <c r="B82" s="210" t="s">
        <v>56</v>
      </c>
      <c r="C82" s="211"/>
      <c r="D82" s="212"/>
      <c r="E82" s="276" t="s">
        <v>34</v>
      </c>
      <c r="F82" s="213"/>
      <c r="G82" s="213"/>
      <c r="H82" s="214">
        <f t="shared" ref="H82:I82" si="86">AVERAGE(H75:H81)</f>
        <v>800</v>
      </c>
      <c r="I82" s="215">
        <f t="shared" si="86"/>
        <v>933</v>
      </c>
      <c r="J82" s="216"/>
      <c r="K82" s="214">
        <f>AVERAGE(K75:K81)</f>
        <v>37.28</v>
      </c>
      <c r="L82" s="217"/>
      <c r="M82" s="218">
        <f>SUM(M75:M81)</f>
        <v>5.3497443</v>
      </c>
      <c r="N82" s="218"/>
      <c r="O82" s="219"/>
      <c r="P82" s="220">
        <f t="shared" ref="P82:Q82" si="87">SUM(P75:P81)</f>
        <v>0</v>
      </c>
      <c r="Q82" s="221">
        <f t="shared" si="87"/>
        <v>0</v>
      </c>
      <c r="R82" s="262"/>
      <c r="S82" s="223">
        <f>SUM(S75:S81)</f>
        <v>0</v>
      </c>
      <c r="T82" s="224"/>
      <c r="U82" s="225">
        <f>SUM(U75:U81)</f>
        <v>5991.713616</v>
      </c>
      <c r="V82" s="38" t="str">
        <f t="shared" si="12"/>
        <v/>
      </c>
      <c r="W82" s="38" t="str">
        <f t="shared" si="13"/>
        <v/>
      </c>
      <c r="X82" s="11"/>
      <c r="Y82" s="11"/>
      <c r="Z82" s="11"/>
      <c r="AA82" s="11"/>
    </row>
    <row r="83" ht="13.5" customHeight="1">
      <c r="A83" s="151"/>
      <c r="B83" s="226" t="s">
        <v>71</v>
      </c>
      <c r="C83" s="226"/>
      <c r="D83" s="226"/>
      <c r="E83" s="226"/>
      <c r="F83" s="226"/>
      <c r="G83" s="226"/>
      <c r="H83" s="226"/>
      <c r="I83" s="230"/>
      <c r="J83" s="231"/>
      <c r="K83" s="226"/>
      <c r="L83" s="226"/>
      <c r="M83" s="226"/>
      <c r="N83" s="232"/>
      <c r="O83" s="260"/>
      <c r="P83" s="226"/>
      <c r="Q83" s="261"/>
      <c r="R83" s="236"/>
      <c r="S83" s="226"/>
      <c r="T83" s="226"/>
      <c r="U83" s="237"/>
      <c r="V83" s="38" t="str">
        <f t="shared" si="12"/>
        <v/>
      </c>
      <c r="W83" s="38" t="str">
        <f t="shared" si="13"/>
        <v/>
      </c>
      <c r="X83" s="11"/>
      <c r="Y83" s="11"/>
      <c r="Z83" s="11"/>
      <c r="AA83" s="11"/>
    </row>
    <row r="84" ht="13.5" customHeight="1" outlineLevel="1">
      <c r="A84" s="151"/>
      <c r="B84" s="248" t="s">
        <v>72</v>
      </c>
      <c r="C84" s="249">
        <v>0.045</v>
      </c>
      <c r="D84" s="170">
        <v>0.045</v>
      </c>
      <c r="E84" s="250">
        <v>6.0</v>
      </c>
      <c r="F84" s="156">
        <f t="shared" ref="F84:F85" si="88">C84*D84*E84</f>
        <v>0.01215</v>
      </c>
      <c r="G84" s="156">
        <f t="shared" ref="G84:G85" si="89">D84*E84</f>
        <v>0.27</v>
      </c>
      <c r="H84" s="240">
        <v>403.13</v>
      </c>
      <c r="I84" s="158">
        <f>ROUND(H84*1.125,0)</f>
        <v>454</v>
      </c>
      <c r="J84" s="159">
        <f t="shared" ref="J84:J85" si="90">ROUND((I84*0.992)*1.21,0)*(C84*D84*E84)</f>
        <v>6.62175</v>
      </c>
      <c r="K84" s="160">
        <f t="shared" ref="K84:K85" si="91">J84/(D84*E84)</f>
        <v>24.525</v>
      </c>
      <c r="L84" s="161">
        <f t="shared" ref="L84:L85" si="92">T84+R84-O84</f>
        <v>272</v>
      </c>
      <c r="M84" s="241">
        <f t="shared" ref="M84:M85" si="93">L84*F84</f>
        <v>3.3048</v>
      </c>
      <c r="N84" s="163">
        <f t="shared" ref="N84:N85" si="94">L84*G84</f>
        <v>73.44</v>
      </c>
      <c r="O84" s="242"/>
      <c r="P84" s="165" t="str">
        <f t="shared" ref="P84:P85" si="95">IF(O84="","",(O84*F84))</f>
        <v/>
      </c>
      <c r="Q84" s="166"/>
      <c r="R84" s="243"/>
      <c r="S84" s="165">
        <f t="shared" ref="S84:S85" si="96">R84*F84</f>
        <v>0</v>
      </c>
      <c r="T84" s="263">
        <v>272.0</v>
      </c>
      <c r="U84" s="169">
        <f t="shared" ref="U84:U85" si="97">J84*L84</f>
        <v>1801.116</v>
      </c>
      <c r="V84" s="38" t="str">
        <f t="shared" si="12"/>
        <v/>
      </c>
      <c r="W84" s="38" t="str">
        <f t="shared" si="13"/>
        <v/>
      </c>
      <c r="X84" s="11"/>
      <c r="Y84" s="11"/>
      <c r="Z84" s="11"/>
      <c r="AA84" s="11"/>
    </row>
    <row r="85" ht="13.5" customHeight="1" outlineLevel="1">
      <c r="A85" s="151"/>
      <c r="B85" s="248" t="s">
        <v>72</v>
      </c>
      <c r="C85" s="86">
        <v>0.095</v>
      </c>
      <c r="D85" s="87">
        <v>0.095</v>
      </c>
      <c r="E85" s="277">
        <v>2.4</v>
      </c>
      <c r="F85" s="156">
        <f t="shared" si="88"/>
        <v>0.02166</v>
      </c>
      <c r="G85" s="156">
        <f t="shared" si="89"/>
        <v>0.228</v>
      </c>
      <c r="H85" s="240">
        <v>369.23</v>
      </c>
      <c r="I85" s="158">
        <f>ROUND(H85*0.9546,0)</f>
        <v>352</v>
      </c>
      <c r="J85" s="159">
        <f t="shared" si="90"/>
        <v>9.16218</v>
      </c>
      <c r="K85" s="160">
        <f t="shared" si="91"/>
        <v>40.185</v>
      </c>
      <c r="L85" s="161">
        <f t="shared" si="92"/>
        <v>69</v>
      </c>
      <c r="M85" s="241">
        <f t="shared" si="93"/>
        <v>1.49454</v>
      </c>
      <c r="N85" s="163">
        <f t="shared" si="94"/>
        <v>15.732</v>
      </c>
      <c r="O85" s="246"/>
      <c r="P85" s="165" t="str">
        <f t="shared" si="95"/>
        <v/>
      </c>
      <c r="Q85" s="166"/>
      <c r="R85" s="243"/>
      <c r="S85" s="165">
        <f t="shared" si="96"/>
        <v>0</v>
      </c>
      <c r="T85" s="244">
        <v>69.0</v>
      </c>
      <c r="U85" s="169">
        <f t="shared" si="97"/>
        <v>632.19042</v>
      </c>
      <c r="V85" s="38" t="str">
        <f t="shared" si="12"/>
        <v/>
      </c>
      <c r="W85" s="38" t="str">
        <f t="shared" si="13"/>
        <v/>
      </c>
      <c r="X85" s="11"/>
      <c r="Y85" s="11"/>
      <c r="Z85" s="11"/>
      <c r="AA85" s="11"/>
    </row>
    <row r="86" ht="13.5" customHeight="1">
      <c r="A86" s="151"/>
      <c r="B86" s="210" t="s">
        <v>56</v>
      </c>
      <c r="C86" s="211"/>
      <c r="D86" s="212"/>
      <c r="E86" s="211"/>
      <c r="F86" s="213"/>
      <c r="G86" s="213"/>
      <c r="H86" s="214">
        <f t="shared" ref="H86:I86" si="98">AVERAGE(H84:H85)</f>
        <v>386.18</v>
      </c>
      <c r="I86" s="215">
        <f t="shared" si="98"/>
        <v>403</v>
      </c>
      <c r="J86" s="216"/>
      <c r="K86" s="214">
        <f>AVERAGE(K84:K85)</f>
        <v>32.355</v>
      </c>
      <c r="L86" s="217"/>
      <c r="M86" s="278">
        <f>SUM(M84+M85)</f>
        <v>4.79934</v>
      </c>
      <c r="N86" s="218"/>
      <c r="O86" s="219"/>
      <c r="P86" s="220">
        <f t="shared" ref="P86:Q86" si="99">SUM(P84+P85)</f>
        <v>0</v>
      </c>
      <c r="Q86" s="216">
        <f t="shared" si="99"/>
        <v>0</v>
      </c>
      <c r="R86" s="262"/>
      <c r="S86" s="223">
        <f>SUM(S84+S85)</f>
        <v>0</v>
      </c>
      <c r="T86" s="224"/>
      <c r="U86" s="225">
        <f>SUM(U84:U85)</f>
        <v>2433.30642</v>
      </c>
      <c r="V86" s="38" t="str">
        <f t="shared" si="12"/>
        <v/>
      </c>
      <c r="W86" s="38" t="str">
        <f t="shared" si="13"/>
        <v/>
      </c>
      <c r="X86" s="11"/>
      <c r="Y86" s="11"/>
      <c r="Z86" s="11"/>
      <c r="AA86" s="11"/>
    </row>
    <row r="87" ht="13.5" customHeight="1">
      <c r="A87" s="151"/>
      <c r="B87" s="264" t="s">
        <v>73</v>
      </c>
      <c r="C87" s="226"/>
      <c r="D87" s="226"/>
      <c r="E87" s="226"/>
      <c r="F87" s="226"/>
      <c r="G87" s="226"/>
      <c r="H87" s="226"/>
      <c r="I87" s="230"/>
      <c r="J87" s="231"/>
      <c r="K87" s="226"/>
      <c r="L87" s="226"/>
      <c r="M87" s="226"/>
      <c r="N87" s="232"/>
      <c r="O87" s="260"/>
      <c r="P87" s="226"/>
      <c r="Q87" s="261"/>
      <c r="R87" s="236"/>
      <c r="S87" s="226"/>
      <c r="T87" s="226"/>
      <c r="U87" s="237"/>
      <c r="V87" s="38" t="str">
        <f t="shared" si="12"/>
        <v/>
      </c>
      <c r="W87" s="38" t="str">
        <f t="shared" si="13"/>
        <v/>
      </c>
      <c r="X87" s="11"/>
      <c r="Y87" s="11"/>
      <c r="Z87" s="11"/>
      <c r="AA87" s="11"/>
    </row>
    <row r="88" ht="13.5" customHeight="1" outlineLevel="1">
      <c r="A88" s="151"/>
      <c r="B88" s="248" t="s">
        <v>74</v>
      </c>
      <c r="C88" s="254">
        <v>0.01</v>
      </c>
      <c r="D88" s="255">
        <v>0.02</v>
      </c>
      <c r="E88" s="165">
        <v>1.6</v>
      </c>
      <c r="F88" s="156">
        <f>C88*D88*E88</f>
        <v>0.00032</v>
      </c>
      <c r="G88" s="156">
        <f>D88*E88</f>
        <v>0.032</v>
      </c>
      <c r="H88" s="240">
        <v>571.2</v>
      </c>
      <c r="I88" s="158">
        <f>ROUND(H88*1.35,0)</f>
        <v>771</v>
      </c>
      <c r="J88" s="159">
        <f>ROUND((I88*0.992)*1.21,0)*(C88*D88*E88)</f>
        <v>0.296</v>
      </c>
      <c r="K88" s="160">
        <f>J88/(D88*E88)</f>
        <v>9.25</v>
      </c>
      <c r="L88" s="161">
        <f>T88+R88-O88</f>
        <v>568</v>
      </c>
      <c r="M88" s="241">
        <f>L88*F88</f>
        <v>0.18176</v>
      </c>
      <c r="N88" s="163">
        <f>L88*G88</f>
        <v>18.176</v>
      </c>
      <c r="O88" s="252"/>
      <c r="P88" s="165" t="str">
        <f>IF(O88="","",(O88*F88))</f>
        <v/>
      </c>
      <c r="Q88" s="172"/>
      <c r="R88" s="243"/>
      <c r="S88" s="165">
        <f>R88*F88</f>
        <v>0</v>
      </c>
      <c r="T88" s="244">
        <v>568.0</v>
      </c>
      <c r="U88" s="169">
        <f>J88*L88</f>
        <v>168.128</v>
      </c>
      <c r="V88" s="38" t="str">
        <f t="shared" si="12"/>
        <v/>
      </c>
      <c r="W88" s="38" t="str">
        <f t="shared" si="13"/>
        <v/>
      </c>
      <c r="X88" s="11"/>
      <c r="Y88" s="11"/>
      <c r="Z88" s="11"/>
      <c r="AA88" s="11"/>
    </row>
    <row r="89" ht="13.5" customHeight="1">
      <c r="A89" s="151"/>
      <c r="B89" s="210" t="s">
        <v>56</v>
      </c>
      <c r="C89" s="211"/>
      <c r="D89" s="212"/>
      <c r="E89" s="211"/>
      <c r="F89" s="213"/>
      <c r="G89" s="213"/>
      <c r="H89" s="214">
        <f t="shared" ref="H89:I89" si="100">AVERAGE(H88)</f>
        <v>571.2</v>
      </c>
      <c r="I89" s="215">
        <f t="shared" si="100"/>
        <v>771</v>
      </c>
      <c r="J89" s="216"/>
      <c r="K89" s="214">
        <f>AVERAGE(K88)</f>
        <v>9.25</v>
      </c>
      <c r="L89" s="217"/>
      <c r="M89" s="218">
        <f>SUM(M88)</f>
        <v>0.18176</v>
      </c>
      <c r="N89" s="218"/>
      <c r="O89" s="219"/>
      <c r="P89" s="220">
        <f t="shared" ref="P89:Q89" si="101">SUM(P88)</f>
        <v>0</v>
      </c>
      <c r="Q89" s="221">
        <f t="shared" si="101"/>
        <v>0</v>
      </c>
      <c r="R89" s="262"/>
      <c r="S89" s="223">
        <f>SUM(S88)</f>
        <v>0</v>
      </c>
      <c r="T89" s="224"/>
      <c r="U89" s="225">
        <f>SUM(U88)</f>
        <v>168.128</v>
      </c>
      <c r="V89" s="38" t="str">
        <f t="shared" si="12"/>
        <v/>
      </c>
      <c r="W89" s="38" t="str">
        <f t="shared" si="13"/>
        <v/>
      </c>
      <c r="X89" s="11"/>
      <c r="Y89" s="11"/>
      <c r="Z89" s="11"/>
      <c r="AA89" s="11"/>
    </row>
    <row r="90" ht="13.5" customHeight="1">
      <c r="A90" s="151"/>
      <c r="B90" s="226" t="s">
        <v>75</v>
      </c>
      <c r="C90" s="226"/>
      <c r="D90" s="226"/>
      <c r="E90" s="226"/>
      <c r="F90" s="226"/>
      <c r="G90" s="226"/>
      <c r="H90" s="226"/>
      <c r="I90" s="230"/>
      <c r="J90" s="231"/>
      <c r="K90" s="226"/>
      <c r="L90" s="226"/>
      <c r="M90" s="226"/>
      <c r="N90" s="232"/>
      <c r="O90" s="260"/>
      <c r="P90" s="226"/>
      <c r="Q90" s="261"/>
      <c r="R90" s="236"/>
      <c r="S90" s="226"/>
      <c r="T90" s="226"/>
      <c r="U90" s="237"/>
      <c r="V90" s="38" t="str">
        <f t="shared" si="12"/>
        <v/>
      </c>
      <c r="W90" s="38" t="str">
        <f t="shared" si="13"/>
        <v/>
      </c>
      <c r="X90" s="11"/>
      <c r="Y90" s="11"/>
      <c r="Z90" s="11"/>
      <c r="AA90" s="11"/>
    </row>
    <row r="91" ht="13.5" customHeight="1" outlineLevel="1">
      <c r="A91" s="151"/>
      <c r="B91" s="248" t="s">
        <v>76</v>
      </c>
      <c r="C91" s="248">
        <v>0.9</v>
      </c>
      <c r="D91" s="155">
        <v>0.36</v>
      </c>
      <c r="E91" s="250">
        <v>1.04</v>
      </c>
      <c r="F91" s="279"/>
      <c r="G91" s="280"/>
      <c r="H91" s="280"/>
      <c r="I91" s="281"/>
      <c r="J91" s="282">
        <v>66.55</v>
      </c>
      <c r="K91" s="248"/>
      <c r="L91" s="161">
        <f t="shared" ref="L91:L98" si="102">T91+R91-O91</f>
        <v>1</v>
      </c>
      <c r="M91" s="283"/>
      <c r="N91" s="284"/>
      <c r="O91" s="285"/>
      <c r="P91" s="283"/>
      <c r="Q91" s="172"/>
      <c r="R91" s="286"/>
      <c r="S91" s="155"/>
      <c r="T91" s="168">
        <v>1.0</v>
      </c>
      <c r="U91" s="169">
        <f t="shared" ref="U91:U98" si="103">J91*L91</f>
        <v>66.55</v>
      </c>
      <c r="V91" s="38" t="str">
        <f t="shared" si="12"/>
        <v/>
      </c>
      <c r="W91" s="38" t="str">
        <f t="shared" si="13"/>
        <v/>
      </c>
      <c r="X91" s="11"/>
      <c r="Y91" s="11"/>
      <c r="Z91" s="11"/>
      <c r="AA91" s="11"/>
    </row>
    <row r="92" ht="13.5" customHeight="1" outlineLevel="1">
      <c r="A92" s="151"/>
      <c r="B92" s="248" t="s">
        <v>77</v>
      </c>
      <c r="C92" s="248">
        <v>0.35</v>
      </c>
      <c r="D92" s="155">
        <v>0.35</v>
      </c>
      <c r="E92" s="250">
        <v>1.0</v>
      </c>
      <c r="F92" s="279"/>
      <c r="G92" s="280"/>
      <c r="H92" s="280"/>
      <c r="I92" s="281"/>
      <c r="J92" s="282">
        <v>42.35</v>
      </c>
      <c r="K92" s="248"/>
      <c r="L92" s="161">
        <f t="shared" si="102"/>
        <v>1</v>
      </c>
      <c r="M92" s="283"/>
      <c r="N92" s="284"/>
      <c r="O92" s="285"/>
      <c r="P92" s="283"/>
      <c r="Q92" s="172"/>
      <c r="R92" s="286"/>
      <c r="S92" s="155"/>
      <c r="T92" s="168">
        <v>1.0</v>
      </c>
      <c r="U92" s="169">
        <f t="shared" si="103"/>
        <v>42.35</v>
      </c>
      <c r="V92" s="38" t="str">
        <f t="shared" si="12"/>
        <v/>
      </c>
      <c r="W92" s="38" t="str">
        <f t="shared" si="13"/>
        <v/>
      </c>
      <c r="X92" s="11"/>
      <c r="Y92" s="11"/>
      <c r="Z92" s="11"/>
      <c r="AA92" s="11"/>
    </row>
    <row r="93" ht="13.5" customHeight="1" outlineLevel="1">
      <c r="A93" s="151"/>
      <c r="B93" s="248" t="s">
        <v>78</v>
      </c>
      <c r="C93" s="248">
        <v>0.38</v>
      </c>
      <c r="D93" s="155">
        <v>0.38</v>
      </c>
      <c r="E93" s="250">
        <v>0.4</v>
      </c>
      <c r="F93" s="279"/>
      <c r="G93" s="280"/>
      <c r="H93" s="280"/>
      <c r="I93" s="281"/>
      <c r="J93" s="282">
        <v>36.3</v>
      </c>
      <c r="K93" s="248"/>
      <c r="L93" s="161">
        <f t="shared" si="102"/>
        <v>1</v>
      </c>
      <c r="M93" s="283"/>
      <c r="N93" s="284"/>
      <c r="O93" s="285"/>
      <c r="P93" s="283"/>
      <c r="Q93" s="172"/>
      <c r="R93" s="286"/>
      <c r="S93" s="155"/>
      <c r="T93" s="168">
        <v>1.0</v>
      </c>
      <c r="U93" s="169">
        <f t="shared" si="103"/>
        <v>36.3</v>
      </c>
      <c r="V93" s="38" t="str">
        <f t="shared" si="12"/>
        <v/>
      </c>
      <c r="W93" s="38" t="str">
        <f t="shared" si="13"/>
        <v/>
      </c>
      <c r="X93" s="11"/>
      <c r="Y93" s="11"/>
      <c r="Z93" s="11"/>
      <c r="AA93" s="11"/>
    </row>
    <row r="94" ht="13.5" customHeight="1" outlineLevel="1">
      <c r="A94" s="151"/>
      <c r="B94" s="248" t="s">
        <v>79</v>
      </c>
      <c r="C94" s="248">
        <v>0.9</v>
      </c>
      <c r="D94" s="155">
        <v>0.59</v>
      </c>
      <c r="E94" s="250">
        <v>1.2</v>
      </c>
      <c r="F94" s="279"/>
      <c r="G94" s="280"/>
      <c r="H94" s="280"/>
      <c r="I94" s="281"/>
      <c r="J94" s="282">
        <v>72.6</v>
      </c>
      <c r="K94" s="248"/>
      <c r="L94" s="161">
        <f t="shared" si="102"/>
        <v>1</v>
      </c>
      <c r="M94" s="283"/>
      <c r="N94" s="284"/>
      <c r="O94" s="287"/>
      <c r="P94" s="283"/>
      <c r="Q94" s="166"/>
      <c r="R94" s="286"/>
      <c r="S94" s="155"/>
      <c r="T94" s="168">
        <v>1.0</v>
      </c>
      <c r="U94" s="169">
        <f t="shared" si="103"/>
        <v>72.6</v>
      </c>
      <c r="V94" s="38" t="str">
        <f t="shared" si="12"/>
        <v/>
      </c>
      <c r="W94" s="38" t="str">
        <f t="shared" si="13"/>
        <v/>
      </c>
      <c r="X94" s="11"/>
      <c r="Y94" s="11"/>
      <c r="Z94" s="11"/>
      <c r="AA94" s="11"/>
    </row>
    <row r="95" ht="13.5" customHeight="1" outlineLevel="1">
      <c r="A95" s="151"/>
      <c r="B95" s="85" t="s">
        <v>80</v>
      </c>
      <c r="C95" s="248">
        <v>0.96</v>
      </c>
      <c r="D95" s="155">
        <v>0.8</v>
      </c>
      <c r="E95" s="250">
        <v>1.7</v>
      </c>
      <c r="F95" s="279"/>
      <c r="G95" s="280"/>
      <c r="H95" s="280"/>
      <c r="I95" s="281"/>
      <c r="J95" s="288">
        <v>170.0</v>
      </c>
      <c r="K95" s="248"/>
      <c r="L95" s="161">
        <f t="shared" si="102"/>
        <v>1</v>
      </c>
      <c r="M95" s="283"/>
      <c r="N95" s="284"/>
      <c r="O95" s="285"/>
      <c r="P95" s="283"/>
      <c r="Q95" s="172"/>
      <c r="R95" s="286"/>
      <c r="S95" s="155"/>
      <c r="T95" s="168">
        <v>1.0</v>
      </c>
      <c r="U95" s="169">
        <f t="shared" si="103"/>
        <v>170</v>
      </c>
      <c r="V95" s="38" t="str">
        <f t="shared" si="12"/>
        <v/>
      </c>
      <c r="W95" s="38" t="str">
        <f t="shared" si="13"/>
        <v/>
      </c>
      <c r="X95" s="11"/>
      <c r="Y95" s="11"/>
      <c r="Z95" s="11"/>
      <c r="AA95" s="11"/>
    </row>
    <row r="96" ht="13.5" customHeight="1" outlineLevel="1">
      <c r="A96" s="151"/>
      <c r="B96" s="85" t="s">
        <v>81</v>
      </c>
      <c r="C96" s="248">
        <v>0.96</v>
      </c>
      <c r="D96" s="155">
        <v>0.8</v>
      </c>
      <c r="E96" s="250">
        <v>1.7</v>
      </c>
      <c r="F96" s="279"/>
      <c r="G96" s="280"/>
      <c r="H96" s="280"/>
      <c r="I96" s="281"/>
      <c r="J96" s="288">
        <v>150.0</v>
      </c>
      <c r="K96" s="248"/>
      <c r="L96" s="161">
        <f t="shared" si="102"/>
        <v>1</v>
      </c>
      <c r="M96" s="283"/>
      <c r="N96" s="284"/>
      <c r="O96" s="285"/>
      <c r="P96" s="283"/>
      <c r="Q96" s="172"/>
      <c r="R96" s="286"/>
      <c r="S96" s="155"/>
      <c r="T96" s="168">
        <v>1.0</v>
      </c>
      <c r="U96" s="169">
        <f t="shared" si="103"/>
        <v>150</v>
      </c>
      <c r="V96" s="38" t="str">
        <f t="shared" si="12"/>
        <v/>
      </c>
      <c r="W96" s="38" t="str">
        <f t="shared" si="13"/>
        <v/>
      </c>
      <c r="X96" s="11"/>
      <c r="Y96" s="11"/>
      <c r="Z96" s="11"/>
      <c r="AA96" s="11"/>
    </row>
    <row r="97" ht="13.5" customHeight="1" outlineLevel="1">
      <c r="A97" s="151"/>
      <c r="B97" s="248" t="s">
        <v>82</v>
      </c>
      <c r="C97" s="248">
        <v>0.96</v>
      </c>
      <c r="D97" s="155">
        <v>0.8</v>
      </c>
      <c r="E97" s="250">
        <v>1.7</v>
      </c>
      <c r="F97" s="279"/>
      <c r="G97" s="280"/>
      <c r="H97" s="280"/>
      <c r="I97" s="281"/>
      <c r="J97" s="288">
        <v>150.0</v>
      </c>
      <c r="K97" s="248"/>
      <c r="L97" s="161">
        <f t="shared" si="102"/>
        <v>1</v>
      </c>
      <c r="M97" s="283"/>
      <c r="N97" s="284"/>
      <c r="O97" s="285"/>
      <c r="P97" s="283"/>
      <c r="Q97" s="172"/>
      <c r="R97" s="286"/>
      <c r="S97" s="155"/>
      <c r="T97" s="168">
        <v>1.0</v>
      </c>
      <c r="U97" s="169">
        <f t="shared" si="103"/>
        <v>150</v>
      </c>
      <c r="V97" s="38" t="str">
        <f t="shared" si="12"/>
        <v/>
      </c>
      <c r="W97" s="38" t="str">
        <f t="shared" si="13"/>
        <v/>
      </c>
      <c r="X97" s="11"/>
      <c r="Y97" s="11"/>
      <c r="Z97" s="11"/>
      <c r="AA97" s="11"/>
    </row>
    <row r="98" ht="13.5" customHeight="1" outlineLevel="1">
      <c r="A98" s="151"/>
      <c r="B98" s="258" t="s">
        <v>83</v>
      </c>
      <c r="C98" s="258">
        <v>0.14</v>
      </c>
      <c r="D98" s="197">
        <v>0.35</v>
      </c>
      <c r="E98" s="289">
        <v>0.91</v>
      </c>
      <c r="F98" s="290"/>
      <c r="G98" s="291"/>
      <c r="H98" s="291"/>
      <c r="I98" s="292"/>
      <c r="J98" s="293"/>
      <c r="K98" s="258"/>
      <c r="L98" s="161">
        <f t="shared" si="102"/>
        <v>1</v>
      </c>
      <c r="M98" s="294"/>
      <c r="N98" s="295"/>
      <c r="O98" s="296"/>
      <c r="P98" s="294"/>
      <c r="Q98" s="172"/>
      <c r="R98" s="297"/>
      <c r="S98" s="197"/>
      <c r="T98" s="168">
        <v>1.0</v>
      </c>
      <c r="U98" s="169">
        <f t="shared" si="103"/>
        <v>0</v>
      </c>
      <c r="V98" s="38" t="str">
        <f t="shared" si="12"/>
        <v/>
      </c>
      <c r="W98" s="38" t="str">
        <f t="shared" si="13"/>
        <v/>
      </c>
      <c r="X98" s="11"/>
      <c r="Y98" s="11"/>
      <c r="Z98" s="11"/>
      <c r="AA98" s="11"/>
    </row>
    <row r="99" ht="15.0" customHeight="1">
      <c r="A99" s="151"/>
      <c r="B99" s="211" t="s">
        <v>56</v>
      </c>
      <c r="C99" s="298"/>
      <c r="D99" s="298"/>
      <c r="E99" s="298"/>
      <c r="F99" s="298"/>
      <c r="G99" s="298"/>
      <c r="H99" s="298"/>
      <c r="I99" s="299"/>
      <c r="J99" s="300"/>
      <c r="K99" s="211"/>
      <c r="L99" s="217"/>
      <c r="M99" s="218"/>
      <c r="N99" s="301"/>
      <c r="O99" s="300"/>
      <c r="P99" s="220"/>
      <c r="Q99" s="221">
        <f>SUM(Q91:Q98)</f>
        <v>0</v>
      </c>
      <c r="R99" s="262"/>
      <c r="S99" s="223">
        <f>SUM(S91:S98)</f>
        <v>0</v>
      </c>
      <c r="T99" s="224"/>
      <c r="U99" s="225">
        <f>SUM(U91:U98)</f>
        <v>687.8</v>
      </c>
      <c r="V99" s="38" t="str">
        <f t="shared" si="12"/>
        <v/>
      </c>
      <c r="W99" s="38" t="str">
        <f t="shared" si="13"/>
        <v/>
      </c>
      <c r="X99" s="11"/>
      <c r="Y99" s="11"/>
      <c r="Z99" s="11"/>
      <c r="AA99" s="11"/>
    </row>
    <row r="100" ht="15.0" customHeight="1">
      <c r="A100" s="29"/>
      <c r="B100" s="302" t="s">
        <v>84</v>
      </c>
      <c r="C100" s="303"/>
      <c r="D100" s="303"/>
      <c r="E100" s="303"/>
      <c r="F100" s="303"/>
      <c r="G100" s="303"/>
      <c r="H100" s="304">
        <f t="shared" ref="H100:I100" si="104">AVERAGE(H29:H58:H64:H68:H73:H82:H86:H89)</f>
        <v>489.0737705</v>
      </c>
      <c r="I100" s="305">
        <f t="shared" si="104"/>
        <v>557.4480057</v>
      </c>
      <c r="J100" s="306"/>
      <c r="K100" s="304">
        <f>AVERAGE(K29:K58:K64:K68:K73:K82:K86:K89)</f>
        <v>16.39174709</v>
      </c>
      <c r="L100" s="307"/>
      <c r="M100" s="303">
        <f>SUM(M29+M58+M64+M68+M73+M82+M86+M89)</f>
        <v>166.3814684</v>
      </c>
      <c r="N100" s="308"/>
      <c r="O100" s="309"/>
      <c r="P100" s="304">
        <f>SUM(P29+P58+P64+P68+P73+P82+P86+P89)</f>
        <v>0</v>
      </c>
      <c r="Q100" s="310">
        <f>SUM(Q29+Q58+Q64+Q68+Q73+Q82+Q86+Q89+Q99)</f>
        <v>0</v>
      </c>
      <c r="R100" s="311"/>
      <c r="S100" s="304">
        <f>SUM(S29+S58+S64+S68+S73+S82+S86+S89+S99)</f>
        <v>0</v>
      </c>
      <c r="T100" s="312"/>
      <c r="U100" s="313">
        <f>SUM(U29+U58+U64+U68+U73+U82+U86+U89+U99)</f>
        <v>98115.5236</v>
      </c>
      <c r="V100" s="38" t="str">
        <f t="shared" si="12"/>
        <v/>
      </c>
      <c r="W100" s="38" t="str">
        <f t="shared" si="13"/>
        <v/>
      </c>
      <c r="X100" s="11"/>
      <c r="Y100" s="11"/>
      <c r="Z100" s="11"/>
      <c r="AA100" s="11"/>
    </row>
    <row r="101" ht="13.5" customHeight="1">
      <c r="A101" s="314" t="s">
        <v>85</v>
      </c>
      <c r="B101" s="264" t="s">
        <v>86</v>
      </c>
      <c r="C101" s="226"/>
      <c r="D101" s="226"/>
      <c r="E101" s="226"/>
      <c r="F101" s="226"/>
      <c r="G101" s="226"/>
      <c r="H101" s="226"/>
      <c r="I101" s="230"/>
      <c r="J101" s="231"/>
      <c r="K101" s="226"/>
      <c r="L101" s="226"/>
      <c r="M101" s="226"/>
      <c r="N101" s="232"/>
      <c r="O101" s="260"/>
      <c r="P101" s="226"/>
      <c r="Q101" s="261"/>
      <c r="R101" s="236"/>
      <c r="S101" s="226"/>
      <c r="T101" s="226"/>
      <c r="U101" s="237"/>
      <c r="V101" s="38" t="str">
        <f t="shared" si="12"/>
        <v/>
      </c>
      <c r="W101" s="38" t="str">
        <f t="shared" si="13"/>
        <v/>
      </c>
      <c r="X101" s="11"/>
      <c r="Y101" s="11"/>
      <c r="Z101" s="11"/>
      <c r="AA101" s="11"/>
    </row>
    <row r="102" ht="13.5" customHeight="1" outlineLevel="1">
      <c r="A102" s="315"/>
      <c r="B102" s="85" t="s">
        <v>87</v>
      </c>
      <c r="C102" s="238">
        <v>0.045</v>
      </c>
      <c r="D102" s="239">
        <v>0.12</v>
      </c>
      <c r="E102" s="245">
        <v>3.9</v>
      </c>
      <c r="F102" s="156">
        <f t="shared" ref="F102:F107" si="105">C102*D102*E102</f>
        <v>0.02106</v>
      </c>
      <c r="G102" s="156">
        <f t="shared" ref="G102:G107" si="106">D102*E102</f>
        <v>0.468</v>
      </c>
      <c r="H102" s="240">
        <v>210.0</v>
      </c>
      <c r="I102" s="316">
        <v>300.0</v>
      </c>
      <c r="J102" s="159">
        <f t="shared" ref="J102:J106" si="107">I102*F102</f>
        <v>6.318</v>
      </c>
      <c r="K102" s="160">
        <f t="shared" ref="K102:K107" si="108">J102/(D102*E102)</f>
        <v>13.5</v>
      </c>
      <c r="L102" s="161">
        <f t="shared" ref="L102:L107" si="109">T102+R102-O102</f>
        <v>160</v>
      </c>
      <c r="M102" s="241">
        <f t="shared" ref="M102:M107" si="110">L102*F102</f>
        <v>3.3696</v>
      </c>
      <c r="N102" s="163">
        <f t="shared" ref="N102:N107" si="111">L102*G102</f>
        <v>74.88</v>
      </c>
      <c r="O102" s="246"/>
      <c r="P102" s="165" t="str">
        <f t="shared" ref="P102:P107" si="112">IF(O102="","",(O102*F102))</f>
        <v/>
      </c>
      <c r="Q102" s="166"/>
      <c r="R102" s="243"/>
      <c r="S102" s="165">
        <f t="shared" ref="S102:S107" si="113">R102*F102</f>
        <v>0</v>
      </c>
      <c r="T102" s="263">
        <v>160.0</v>
      </c>
      <c r="U102" s="169">
        <f t="shared" ref="U102:U107" si="114">J102*L102</f>
        <v>1010.88</v>
      </c>
      <c r="V102" s="38" t="str">
        <f t="shared" si="12"/>
        <v/>
      </c>
      <c r="W102" s="38" t="str">
        <f t="shared" si="13"/>
        <v/>
      </c>
      <c r="X102" s="11"/>
      <c r="Y102" s="11"/>
      <c r="Z102" s="11"/>
      <c r="AA102" s="11"/>
    </row>
    <row r="103" ht="13.5" customHeight="1" outlineLevel="1">
      <c r="A103" s="315"/>
      <c r="B103" s="85" t="s">
        <v>87</v>
      </c>
      <c r="C103" s="238">
        <v>0.045</v>
      </c>
      <c r="D103" s="239">
        <v>0.12</v>
      </c>
      <c r="E103" s="245">
        <v>4.2</v>
      </c>
      <c r="F103" s="156">
        <f t="shared" si="105"/>
        <v>0.02268</v>
      </c>
      <c r="G103" s="156">
        <f t="shared" si="106"/>
        <v>0.504</v>
      </c>
      <c r="H103" s="240">
        <v>210.0</v>
      </c>
      <c r="I103" s="316">
        <v>300.0</v>
      </c>
      <c r="J103" s="159">
        <f t="shared" si="107"/>
        <v>6.804</v>
      </c>
      <c r="K103" s="160">
        <f t="shared" si="108"/>
        <v>13.5</v>
      </c>
      <c r="L103" s="161">
        <f t="shared" si="109"/>
        <v>1280</v>
      </c>
      <c r="M103" s="241">
        <f t="shared" si="110"/>
        <v>29.0304</v>
      </c>
      <c r="N103" s="163">
        <f t="shared" si="111"/>
        <v>645.12</v>
      </c>
      <c r="O103" s="252"/>
      <c r="P103" s="165" t="str">
        <f t="shared" si="112"/>
        <v/>
      </c>
      <c r="Q103" s="172"/>
      <c r="R103" s="243"/>
      <c r="S103" s="165">
        <f t="shared" si="113"/>
        <v>0</v>
      </c>
      <c r="T103" s="244">
        <v>1280.0</v>
      </c>
      <c r="U103" s="169">
        <f t="shared" si="114"/>
        <v>8709.12</v>
      </c>
      <c r="V103" s="38" t="str">
        <f t="shared" si="12"/>
        <v/>
      </c>
      <c r="W103" s="38" t="str">
        <f t="shared" si="13"/>
        <v/>
      </c>
      <c r="X103" s="11"/>
      <c r="Y103" s="11"/>
      <c r="Z103" s="11"/>
      <c r="AA103" s="11"/>
    </row>
    <row r="104" ht="13.5" customHeight="1" outlineLevel="1">
      <c r="A104" s="315"/>
      <c r="B104" s="449" t="s">
        <v>88</v>
      </c>
      <c r="C104" s="238">
        <v>0.045</v>
      </c>
      <c r="D104" s="239">
        <v>0.145</v>
      </c>
      <c r="E104" s="245">
        <v>4.8</v>
      </c>
      <c r="F104" s="156">
        <f t="shared" si="105"/>
        <v>0.03132</v>
      </c>
      <c r="G104" s="156">
        <f t="shared" si="106"/>
        <v>0.696</v>
      </c>
      <c r="H104" s="240">
        <f>345+2.7</f>
        <v>347.7</v>
      </c>
      <c r="I104" s="158">
        <f>H104*1.05838</f>
        <v>367.998726</v>
      </c>
      <c r="J104" s="159">
        <f t="shared" si="107"/>
        <v>11.5257201</v>
      </c>
      <c r="K104" s="160">
        <f t="shared" si="108"/>
        <v>16.55994267</v>
      </c>
      <c r="L104" s="161">
        <f t="shared" si="109"/>
        <v>336</v>
      </c>
      <c r="M104" s="241">
        <f t="shared" si="110"/>
        <v>10.52352</v>
      </c>
      <c r="N104" s="163">
        <f t="shared" si="111"/>
        <v>233.856</v>
      </c>
      <c r="O104" s="252"/>
      <c r="P104" s="165" t="str">
        <f t="shared" si="112"/>
        <v/>
      </c>
      <c r="Q104" s="172"/>
      <c r="R104" s="243"/>
      <c r="S104" s="165">
        <f t="shared" si="113"/>
        <v>0</v>
      </c>
      <c r="T104" s="244">
        <v>336.0</v>
      </c>
      <c r="U104" s="169">
        <f t="shared" si="114"/>
        <v>3872.641953</v>
      </c>
      <c r="V104" s="38" t="str">
        <f t="shared" si="12"/>
        <v/>
      </c>
      <c r="W104" s="38" t="str">
        <f t="shared" si="13"/>
        <v/>
      </c>
      <c r="X104" s="11"/>
      <c r="Y104" s="11"/>
      <c r="Z104" s="11"/>
      <c r="AA104" s="11"/>
    </row>
    <row r="105" ht="13.5" customHeight="1" outlineLevel="1">
      <c r="A105" s="315"/>
      <c r="B105" s="449" t="s">
        <v>88</v>
      </c>
      <c r="C105" s="238">
        <v>0.045</v>
      </c>
      <c r="D105" s="239">
        <v>0.145</v>
      </c>
      <c r="E105" s="245">
        <v>6.0</v>
      </c>
      <c r="F105" s="156">
        <f t="shared" si="105"/>
        <v>0.03915</v>
      </c>
      <c r="G105" s="156">
        <f t="shared" si="106"/>
        <v>0.87</v>
      </c>
      <c r="H105" s="240">
        <f>370+2.9</f>
        <v>372.9</v>
      </c>
      <c r="I105" s="158">
        <f>H105*1.0539</f>
        <v>392.99931</v>
      </c>
      <c r="J105" s="159">
        <f t="shared" si="107"/>
        <v>15.38592299</v>
      </c>
      <c r="K105" s="160">
        <f t="shared" si="108"/>
        <v>17.68496895</v>
      </c>
      <c r="L105" s="161">
        <f t="shared" si="109"/>
        <v>315</v>
      </c>
      <c r="M105" s="241">
        <f t="shared" si="110"/>
        <v>12.33225</v>
      </c>
      <c r="N105" s="163">
        <f t="shared" si="111"/>
        <v>274.05</v>
      </c>
      <c r="O105" s="252"/>
      <c r="P105" s="165" t="str">
        <f t="shared" si="112"/>
        <v/>
      </c>
      <c r="Q105" s="172"/>
      <c r="R105" s="243"/>
      <c r="S105" s="165">
        <f t="shared" si="113"/>
        <v>0</v>
      </c>
      <c r="T105" s="244">
        <v>315.0</v>
      </c>
      <c r="U105" s="169">
        <f t="shared" si="114"/>
        <v>4846.565741</v>
      </c>
      <c r="V105" s="38" t="str">
        <f t="shared" si="12"/>
        <v/>
      </c>
      <c r="W105" s="38" t="str">
        <f t="shared" si="13"/>
        <v/>
      </c>
      <c r="X105" s="11"/>
      <c r="Y105" s="11"/>
      <c r="Z105" s="11"/>
      <c r="AA105" s="11"/>
    </row>
    <row r="106" ht="13.5" customHeight="1" outlineLevel="1">
      <c r="A106" s="315"/>
      <c r="B106" s="449" t="s">
        <v>88</v>
      </c>
      <c r="C106" s="86">
        <v>0.045</v>
      </c>
      <c r="D106" s="87">
        <v>0.195</v>
      </c>
      <c r="E106" s="88">
        <v>4.8</v>
      </c>
      <c r="F106" s="156">
        <f t="shared" si="105"/>
        <v>0.04212</v>
      </c>
      <c r="G106" s="156">
        <f t="shared" si="106"/>
        <v>0.936</v>
      </c>
      <c r="H106" s="240">
        <f>345+2.7</f>
        <v>347.7</v>
      </c>
      <c r="I106" s="158">
        <f>H106*1.05838</f>
        <v>367.998726</v>
      </c>
      <c r="J106" s="159">
        <f t="shared" si="107"/>
        <v>15.50010634</v>
      </c>
      <c r="K106" s="160">
        <f t="shared" si="108"/>
        <v>16.55994267</v>
      </c>
      <c r="L106" s="161">
        <f t="shared" si="109"/>
        <v>180</v>
      </c>
      <c r="M106" s="241">
        <f t="shared" si="110"/>
        <v>7.5816</v>
      </c>
      <c r="N106" s="163">
        <f t="shared" si="111"/>
        <v>168.48</v>
      </c>
      <c r="O106" s="252"/>
      <c r="P106" s="165" t="str">
        <f t="shared" si="112"/>
        <v/>
      </c>
      <c r="Q106" s="172"/>
      <c r="R106" s="243"/>
      <c r="S106" s="165">
        <f t="shared" si="113"/>
        <v>0</v>
      </c>
      <c r="T106" s="244">
        <v>180.0</v>
      </c>
      <c r="U106" s="169">
        <f t="shared" si="114"/>
        <v>2790.019141</v>
      </c>
      <c r="V106" s="38" t="str">
        <f t="shared" si="12"/>
        <v/>
      </c>
      <c r="W106" s="38" t="str">
        <f t="shared" si="13"/>
        <v/>
      </c>
      <c r="X106" s="11"/>
      <c r="Y106" s="11"/>
      <c r="Z106" s="11"/>
      <c r="AA106" s="11"/>
    </row>
    <row r="107" ht="13.5" customHeight="1" outlineLevel="1">
      <c r="A107" s="315"/>
      <c r="B107" s="449" t="s">
        <v>89</v>
      </c>
      <c r="C107" s="238">
        <v>0.045</v>
      </c>
      <c r="D107" s="239">
        <v>0.195</v>
      </c>
      <c r="E107" s="245">
        <v>6.0</v>
      </c>
      <c r="F107" s="156">
        <f t="shared" si="105"/>
        <v>0.05265</v>
      </c>
      <c r="G107" s="156">
        <f t="shared" si="106"/>
        <v>1.17</v>
      </c>
      <c r="H107" s="240">
        <f>370+2.9</f>
        <v>372.9</v>
      </c>
      <c r="I107" s="158">
        <f>ROUND(H107*1.1667,0)</f>
        <v>435</v>
      </c>
      <c r="J107" s="159">
        <f>ROUND((I107*0.992)*1.21,0)*(C107*D107*E107)</f>
        <v>27.4833</v>
      </c>
      <c r="K107" s="160">
        <f t="shared" si="108"/>
        <v>23.49</v>
      </c>
      <c r="L107" s="161">
        <f t="shared" si="109"/>
        <v>83</v>
      </c>
      <c r="M107" s="241">
        <f t="shared" si="110"/>
        <v>4.36995</v>
      </c>
      <c r="N107" s="163">
        <f t="shared" si="111"/>
        <v>97.11</v>
      </c>
      <c r="O107" s="246"/>
      <c r="P107" s="165" t="str">
        <f t="shared" si="112"/>
        <v/>
      </c>
      <c r="Q107" s="166"/>
      <c r="R107" s="243"/>
      <c r="S107" s="165">
        <f t="shared" si="113"/>
        <v>0</v>
      </c>
      <c r="T107" s="263">
        <v>83.0</v>
      </c>
      <c r="U107" s="169">
        <f t="shared" si="114"/>
        <v>2281.1139</v>
      </c>
      <c r="V107" s="38" t="str">
        <f t="shared" si="12"/>
        <v/>
      </c>
      <c r="W107" s="38" t="str">
        <f t="shared" si="13"/>
        <v/>
      </c>
      <c r="X107" s="11"/>
      <c r="Y107" s="11"/>
      <c r="Z107" s="11"/>
      <c r="AA107" s="11"/>
    </row>
    <row r="108" ht="15.0" customHeight="1">
      <c r="A108" s="315"/>
      <c r="B108" s="317" t="s">
        <v>90</v>
      </c>
      <c r="C108" s="318"/>
      <c r="D108" s="318"/>
      <c r="E108" s="318"/>
      <c r="F108" s="318"/>
      <c r="G108" s="318"/>
      <c r="H108" s="319">
        <f t="shared" ref="H108:I108" si="115">AVERAGE(H102:H107)</f>
        <v>310.2</v>
      </c>
      <c r="I108" s="320">
        <f t="shared" si="115"/>
        <v>360.666127</v>
      </c>
      <c r="J108" s="321"/>
      <c r="K108" s="319">
        <f>AVERAGE(K102:K107)</f>
        <v>16.88247572</v>
      </c>
      <c r="L108" s="322"/>
      <c r="M108" s="323">
        <f>SUM(M102:M107)</f>
        <v>67.20732</v>
      </c>
      <c r="N108" s="324"/>
      <c r="O108" s="325"/>
      <c r="P108" s="323">
        <f t="shared" ref="P108:Q108" si="116">SUM(P102:P107)</f>
        <v>0</v>
      </c>
      <c r="Q108" s="326">
        <f t="shared" si="116"/>
        <v>0</v>
      </c>
      <c r="R108" s="327"/>
      <c r="S108" s="328">
        <f>SUM(S104:S107)</f>
        <v>0</v>
      </c>
      <c r="T108" s="329"/>
      <c r="U108" s="330">
        <f>SUM(U102:U107)</f>
        <v>23510.34073</v>
      </c>
      <c r="V108" s="38" t="str">
        <f t="shared" si="12"/>
        <v/>
      </c>
      <c r="W108" s="38" t="str">
        <f t="shared" si="13"/>
        <v/>
      </c>
      <c r="X108" s="11"/>
      <c r="Y108" s="11"/>
      <c r="Z108" s="11"/>
      <c r="AA108" s="11"/>
    </row>
    <row r="109" ht="13.5" customHeight="1">
      <c r="A109" s="331" t="s">
        <v>34</v>
      </c>
      <c r="B109" s="264" t="s">
        <v>92</v>
      </c>
      <c r="C109" s="226"/>
      <c r="D109" s="226"/>
      <c r="E109" s="226"/>
      <c r="F109" s="226"/>
      <c r="G109" s="226"/>
      <c r="H109" s="226"/>
      <c r="I109" s="230"/>
      <c r="J109" s="231"/>
      <c r="K109" s="226"/>
      <c r="L109" s="226"/>
      <c r="M109" s="226"/>
      <c r="N109" s="232"/>
      <c r="O109" s="260"/>
      <c r="P109" s="226"/>
      <c r="Q109" s="261"/>
      <c r="R109" s="236"/>
      <c r="S109" s="226"/>
      <c r="T109" s="226"/>
      <c r="U109" s="237"/>
      <c r="V109" s="38" t="str">
        <f t="shared" si="12"/>
        <v/>
      </c>
      <c r="W109" s="38" t="str">
        <f t="shared" si="13"/>
        <v/>
      </c>
      <c r="X109" s="11"/>
      <c r="Y109" s="11"/>
      <c r="Z109" s="11"/>
      <c r="AA109" s="11"/>
    </row>
    <row r="110" ht="13.5" customHeight="1" outlineLevel="1">
      <c r="A110" s="315"/>
      <c r="B110" s="350" t="s">
        <v>118</v>
      </c>
      <c r="C110" s="254">
        <v>0.01</v>
      </c>
      <c r="D110" s="255">
        <v>0.02</v>
      </c>
      <c r="E110" s="165">
        <v>1.6</v>
      </c>
      <c r="F110" s="156">
        <f t="shared" ref="F110:F172" si="117">C110*D110*E110</f>
        <v>0.00032</v>
      </c>
      <c r="G110" s="156">
        <f t="shared" ref="G110:G172" si="118">D110*E110</f>
        <v>0.032</v>
      </c>
      <c r="H110" s="240">
        <v>571.2</v>
      </c>
      <c r="I110" s="158"/>
      <c r="J110" s="159"/>
      <c r="K110" s="160"/>
      <c r="L110" s="161"/>
      <c r="M110" s="241"/>
      <c r="N110" s="163"/>
      <c r="O110" s="252"/>
      <c r="P110" s="165"/>
      <c r="Q110" s="172"/>
      <c r="R110" s="243"/>
      <c r="S110" s="165"/>
      <c r="T110" s="244"/>
      <c r="U110" s="169"/>
      <c r="V110" s="38" t="str">
        <f t="shared" si="12"/>
        <v/>
      </c>
      <c r="W110" s="38" t="str">
        <f t="shared" si="13"/>
        <v/>
      </c>
      <c r="X110" s="11"/>
      <c r="Y110" s="11"/>
      <c r="Z110" s="11"/>
      <c r="AA110" s="11"/>
    </row>
    <row r="111" ht="13.5" customHeight="1" outlineLevel="1">
      <c r="A111" s="315"/>
      <c r="B111" s="85" t="s">
        <v>94</v>
      </c>
      <c r="C111" s="238">
        <v>0.02</v>
      </c>
      <c r="D111" s="239">
        <v>0.045</v>
      </c>
      <c r="E111" s="245">
        <v>2.5</v>
      </c>
      <c r="F111" s="156">
        <f t="shared" si="117"/>
        <v>0.00225</v>
      </c>
      <c r="G111" s="156">
        <f t="shared" si="118"/>
        <v>0.1125</v>
      </c>
      <c r="H111" s="450">
        <f>600/1.1667</f>
        <v>514.2710208</v>
      </c>
      <c r="I111" s="158">
        <f t="shared" ref="I111:I112" si="119">ROUND(H111*1.1667,0)</f>
        <v>600</v>
      </c>
      <c r="J111" s="159">
        <f t="shared" ref="J111:J124" si="120">ROUND((I111*0.992)*1.21,0)*(C111*D111*E111)</f>
        <v>1.62</v>
      </c>
      <c r="K111" s="160">
        <f t="shared" ref="K111:K172" si="121">J111/(D111*E111)</f>
        <v>14.4</v>
      </c>
      <c r="L111" s="161">
        <f t="shared" ref="L111:L116" si="122">T111+R111-O111</f>
        <v>249</v>
      </c>
      <c r="M111" s="241">
        <f t="shared" ref="M111:M172" si="123">L111*F111</f>
        <v>0.56025</v>
      </c>
      <c r="N111" s="163">
        <f t="shared" ref="N111:N172" si="124">L111*G111</f>
        <v>28.0125</v>
      </c>
      <c r="O111" s="246"/>
      <c r="P111" s="165" t="str">
        <f t="shared" ref="P111:P172" si="125">IF(O111="","",(O111*F111))</f>
        <v/>
      </c>
      <c r="Q111" s="166"/>
      <c r="R111" s="243"/>
      <c r="S111" s="165">
        <f t="shared" ref="S111:S172" si="126">R111*F111</f>
        <v>0</v>
      </c>
      <c r="T111" s="244">
        <v>249.0</v>
      </c>
      <c r="U111" s="169">
        <f t="shared" ref="U111:U172" si="127">J111*L111</f>
        <v>403.38</v>
      </c>
      <c r="V111" s="38" t="str">
        <f t="shared" si="12"/>
        <v/>
      </c>
      <c r="W111" s="38" t="str">
        <f t="shared" si="13"/>
        <v/>
      </c>
      <c r="X111" s="11"/>
      <c r="Y111" s="11"/>
      <c r="Z111" s="11"/>
      <c r="AA111" s="11"/>
    </row>
    <row r="112" ht="13.5" customHeight="1" outlineLevel="1">
      <c r="A112" s="315"/>
      <c r="B112" s="85" t="s">
        <v>94</v>
      </c>
      <c r="C112" s="238">
        <v>0.02</v>
      </c>
      <c r="D112" s="239">
        <v>0.045</v>
      </c>
      <c r="E112" s="245">
        <v>3.0</v>
      </c>
      <c r="F112" s="156">
        <f t="shared" si="117"/>
        <v>0.0027</v>
      </c>
      <c r="G112" s="156">
        <f t="shared" si="118"/>
        <v>0.135</v>
      </c>
      <c r="H112" s="240">
        <v>514.27</v>
      </c>
      <c r="I112" s="158">
        <f t="shared" si="119"/>
        <v>600</v>
      </c>
      <c r="J112" s="159">
        <f t="shared" si="120"/>
        <v>1.944</v>
      </c>
      <c r="K112" s="160">
        <f t="shared" si="121"/>
        <v>14.4</v>
      </c>
      <c r="L112" s="161">
        <f t="shared" si="122"/>
        <v>2280</v>
      </c>
      <c r="M112" s="241">
        <f t="shared" si="123"/>
        <v>6.156</v>
      </c>
      <c r="N112" s="163">
        <f t="shared" si="124"/>
        <v>307.8</v>
      </c>
      <c r="O112" s="246"/>
      <c r="P112" s="165" t="str">
        <f t="shared" si="125"/>
        <v/>
      </c>
      <c r="Q112" s="166"/>
      <c r="R112" s="243"/>
      <c r="S112" s="165">
        <f t="shared" si="126"/>
        <v>0</v>
      </c>
      <c r="T112" s="244">
        <v>2280.0</v>
      </c>
      <c r="U112" s="169">
        <f t="shared" si="127"/>
        <v>4432.32</v>
      </c>
      <c r="V112" s="38" t="str">
        <f t="shared" si="12"/>
        <v/>
      </c>
      <c r="W112" s="38" t="str">
        <f t="shared" si="13"/>
        <v/>
      </c>
      <c r="X112" s="11"/>
      <c r="Y112" s="11"/>
      <c r="Z112" s="11"/>
      <c r="AA112" s="11"/>
    </row>
    <row r="113" ht="13.5" customHeight="1" outlineLevel="1">
      <c r="A113" s="315"/>
      <c r="B113" s="114" t="s">
        <v>95</v>
      </c>
      <c r="C113" s="334">
        <v>0.023</v>
      </c>
      <c r="D113" s="335">
        <v>0.1</v>
      </c>
      <c r="E113" s="273">
        <v>4.8</v>
      </c>
      <c r="F113" s="184">
        <f t="shared" si="117"/>
        <v>0.01104</v>
      </c>
      <c r="G113" s="184">
        <f t="shared" si="118"/>
        <v>0.48</v>
      </c>
      <c r="H113" s="451">
        <v>228.8</v>
      </c>
      <c r="I113" s="337">
        <f>ROUND(H113*1.225,0)</f>
        <v>280</v>
      </c>
      <c r="J113" s="338">
        <f t="shared" si="120"/>
        <v>3.70944</v>
      </c>
      <c r="K113" s="267">
        <f t="shared" si="121"/>
        <v>7.728</v>
      </c>
      <c r="L113" s="339">
        <f t="shared" si="122"/>
        <v>1558</v>
      </c>
      <c r="M113" s="269">
        <f t="shared" si="123"/>
        <v>17.20032</v>
      </c>
      <c r="N113" s="188">
        <f t="shared" si="124"/>
        <v>747.84</v>
      </c>
      <c r="O113" s="340"/>
      <c r="P113" s="165" t="str">
        <f t="shared" si="125"/>
        <v/>
      </c>
      <c r="Q113" s="341"/>
      <c r="R113" s="272"/>
      <c r="S113" s="273">
        <f t="shared" si="126"/>
        <v>0</v>
      </c>
      <c r="T113" s="342">
        <v>1558.0</v>
      </c>
      <c r="U113" s="343">
        <f t="shared" si="127"/>
        <v>5779.30752</v>
      </c>
      <c r="V113" s="38" t="str">
        <f t="shared" si="12"/>
        <v/>
      </c>
      <c r="W113" s="38" t="str">
        <f t="shared" si="13"/>
        <v/>
      </c>
      <c r="X113" s="11"/>
      <c r="Y113" s="11"/>
      <c r="Z113" s="11"/>
      <c r="AA113" s="11"/>
    </row>
    <row r="114" ht="13.5" customHeight="1" outlineLevel="1">
      <c r="A114" s="315"/>
      <c r="B114" s="85" t="s">
        <v>74</v>
      </c>
      <c r="C114" s="238">
        <v>0.025</v>
      </c>
      <c r="D114" s="239">
        <v>0.025</v>
      </c>
      <c r="E114" s="245">
        <v>1.2</v>
      </c>
      <c r="F114" s="156">
        <f t="shared" si="117"/>
        <v>0.00075</v>
      </c>
      <c r="G114" s="156">
        <f t="shared" si="118"/>
        <v>0.03</v>
      </c>
      <c r="H114" s="240">
        <v>240.0</v>
      </c>
      <c r="I114" s="158">
        <f t="shared" ref="I114:I124" si="128">ROUND(H114*1.1667,0)</f>
        <v>280</v>
      </c>
      <c r="J114" s="159">
        <f t="shared" si="120"/>
        <v>0.252</v>
      </c>
      <c r="K114" s="160">
        <f t="shared" si="121"/>
        <v>8.4</v>
      </c>
      <c r="L114" s="161">
        <f t="shared" si="122"/>
        <v>700</v>
      </c>
      <c r="M114" s="241">
        <f t="shared" si="123"/>
        <v>0.525</v>
      </c>
      <c r="N114" s="163">
        <f t="shared" si="124"/>
        <v>21</v>
      </c>
      <c r="O114" s="246"/>
      <c r="P114" s="165" t="str">
        <f t="shared" si="125"/>
        <v/>
      </c>
      <c r="Q114" s="166"/>
      <c r="R114" s="243"/>
      <c r="S114" s="165">
        <f t="shared" si="126"/>
        <v>0</v>
      </c>
      <c r="T114" s="244">
        <v>700.0</v>
      </c>
      <c r="U114" s="169">
        <f t="shared" si="127"/>
        <v>176.4</v>
      </c>
      <c r="V114" s="38" t="str">
        <f t="shared" si="12"/>
        <v/>
      </c>
      <c r="W114" s="38" t="str">
        <f t="shared" si="13"/>
        <v/>
      </c>
      <c r="X114" s="11"/>
      <c r="Y114" s="11"/>
      <c r="Z114" s="11"/>
      <c r="AA114" s="11"/>
    </row>
    <row r="115" ht="13.5" customHeight="1" outlineLevel="1">
      <c r="A115" s="315"/>
      <c r="B115" s="85" t="s">
        <v>95</v>
      </c>
      <c r="C115" s="238">
        <v>0.025</v>
      </c>
      <c r="D115" s="239">
        <v>0.038</v>
      </c>
      <c r="E115" s="245">
        <v>3.6</v>
      </c>
      <c r="F115" s="156">
        <f t="shared" si="117"/>
        <v>0.00342</v>
      </c>
      <c r="G115" s="156">
        <f t="shared" si="118"/>
        <v>0.1368</v>
      </c>
      <c r="H115" s="240">
        <v>210.0</v>
      </c>
      <c r="I115" s="158">
        <f t="shared" si="128"/>
        <v>245</v>
      </c>
      <c r="J115" s="159">
        <f t="shared" si="120"/>
        <v>1.00548</v>
      </c>
      <c r="K115" s="160">
        <f t="shared" si="121"/>
        <v>7.35</v>
      </c>
      <c r="L115" s="161">
        <f t="shared" si="122"/>
        <v>1520</v>
      </c>
      <c r="M115" s="241">
        <f t="shared" si="123"/>
        <v>5.1984</v>
      </c>
      <c r="N115" s="163">
        <f t="shared" si="124"/>
        <v>207.936</v>
      </c>
      <c r="O115" s="246"/>
      <c r="P115" s="165" t="str">
        <f t="shared" si="125"/>
        <v/>
      </c>
      <c r="Q115" s="166"/>
      <c r="R115" s="243"/>
      <c r="S115" s="165">
        <f t="shared" si="126"/>
        <v>0</v>
      </c>
      <c r="T115" s="244">
        <v>1520.0</v>
      </c>
      <c r="U115" s="169">
        <f t="shared" si="127"/>
        <v>1528.3296</v>
      </c>
      <c r="V115" s="38" t="str">
        <f t="shared" si="12"/>
        <v/>
      </c>
      <c r="W115" s="38" t="str">
        <f t="shared" si="13"/>
        <v/>
      </c>
      <c r="X115" s="11"/>
      <c r="Y115" s="11"/>
      <c r="Z115" s="11"/>
      <c r="AA115" s="11"/>
    </row>
    <row r="116" ht="13.5" customHeight="1" outlineLevel="1">
      <c r="A116" s="315"/>
      <c r="B116" s="85"/>
      <c r="C116" s="238">
        <v>0.025</v>
      </c>
      <c r="D116" s="239">
        <v>0.05</v>
      </c>
      <c r="E116" s="245">
        <v>2.5</v>
      </c>
      <c r="F116" s="156">
        <f t="shared" si="117"/>
        <v>0.003125</v>
      </c>
      <c r="G116" s="156">
        <f t="shared" si="118"/>
        <v>0.125</v>
      </c>
      <c r="H116" s="240">
        <v>240.0</v>
      </c>
      <c r="I116" s="158">
        <f t="shared" si="128"/>
        <v>280</v>
      </c>
      <c r="J116" s="159">
        <f t="shared" si="120"/>
        <v>1.05</v>
      </c>
      <c r="K116" s="160">
        <f t="shared" si="121"/>
        <v>8.4</v>
      </c>
      <c r="L116" s="161">
        <f t="shared" si="122"/>
        <v>507</v>
      </c>
      <c r="M116" s="241">
        <f t="shared" si="123"/>
        <v>1.584375</v>
      </c>
      <c r="N116" s="163">
        <f t="shared" si="124"/>
        <v>63.375</v>
      </c>
      <c r="O116" s="246"/>
      <c r="P116" s="165" t="str">
        <f t="shared" si="125"/>
        <v/>
      </c>
      <c r="Q116" s="166"/>
      <c r="R116" s="243"/>
      <c r="S116" s="165">
        <f t="shared" si="126"/>
        <v>0</v>
      </c>
      <c r="T116" s="244">
        <v>507.0</v>
      </c>
      <c r="U116" s="169">
        <f t="shared" si="127"/>
        <v>532.35</v>
      </c>
      <c r="V116" s="38" t="str">
        <f t="shared" si="12"/>
        <v/>
      </c>
      <c r="W116" s="38" t="str">
        <f t="shared" si="13"/>
        <v/>
      </c>
      <c r="X116" s="11"/>
      <c r="Y116" s="11"/>
      <c r="Z116" s="11"/>
      <c r="AA116" s="11"/>
    </row>
    <row r="117" ht="13.5" customHeight="1" outlineLevel="1">
      <c r="A117" s="315"/>
      <c r="B117" s="85"/>
      <c r="C117" s="238">
        <v>0.025</v>
      </c>
      <c r="D117" s="239">
        <v>0.05</v>
      </c>
      <c r="E117" s="245">
        <v>3.0</v>
      </c>
      <c r="F117" s="156">
        <f t="shared" si="117"/>
        <v>0.00375</v>
      </c>
      <c r="G117" s="156">
        <f t="shared" si="118"/>
        <v>0.15</v>
      </c>
      <c r="H117" s="240">
        <v>240.0</v>
      </c>
      <c r="I117" s="158">
        <f t="shared" si="128"/>
        <v>280</v>
      </c>
      <c r="J117" s="159">
        <f t="shared" si="120"/>
        <v>1.26</v>
      </c>
      <c r="K117" s="160">
        <f t="shared" si="121"/>
        <v>8.4</v>
      </c>
      <c r="L117" s="161">
        <f>T117+R117-O117-38</f>
        <v>739</v>
      </c>
      <c r="M117" s="241">
        <f t="shared" si="123"/>
        <v>2.77125</v>
      </c>
      <c r="N117" s="163">
        <f t="shared" si="124"/>
        <v>110.85</v>
      </c>
      <c r="O117" s="246"/>
      <c r="P117" s="165" t="str">
        <f t="shared" si="125"/>
        <v/>
      </c>
      <c r="Q117" s="166"/>
      <c r="R117" s="247"/>
      <c r="S117" s="165">
        <f t="shared" si="126"/>
        <v>0</v>
      </c>
      <c r="T117" s="244">
        <v>777.0</v>
      </c>
      <c r="U117" s="169">
        <f t="shared" si="127"/>
        <v>931.14</v>
      </c>
      <c r="V117" s="38" t="str">
        <f t="shared" si="12"/>
        <v/>
      </c>
      <c r="W117" s="38" t="str">
        <f t="shared" si="13"/>
        <v/>
      </c>
      <c r="X117" s="11"/>
      <c r="Y117" s="11"/>
      <c r="Z117" s="11"/>
      <c r="AA117" s="11"/>
    </row>
    <row r="118" ht="13.5" customHeight="1" outlineLevel="1">
      <c r="A118" s="315"/>
      <c r="B118" s="85"/>
      <c r="C118" s="238">
        <v>0.025</v>
      </c>
      <c r="D118" s="239">
        <v>0.05</v>
      </c>
      <c r="E118" s="245">
        <v>4.9</v>
      </c>
      <c r="F118" s="156">
        <f t="shared" si="117"/>
        <v>0.006125</v>
      </c>
      <c r="G118" s="156">
        <f t="shared" si="118"/>
        <v>0.245</v>
      </c>
      <c r="H118" s="240">
        <v>240.0</v>
      </c>
      <c r="I118" s="158">
        <f t="shared" si="128"/>
        <v>280</v>
      </c>
      <c r="J118" s="159">
        <f t="shared" si="120"/>
        <v>2.058</v>
      </c>
      <c r="K118" s="160">
        <f t="shared" si="121"/>
        <v>8.4</v>
      </c>
      <c r="L118" s="161">
        <f t="shared" ref="L118:L125" si="129">T118+R118-O118</f>
        <v>53</v>
      </c>
      <c r="M118" s="241">
        <f t="shared" si="123"/>
        <v>0.324625</v>
      </c>
      <c r="N118" s="163">
        <f t="shared" si="124"/>
        <v>12.985</v>
      </c>
      <c r="O118" s="246"/>
      <c r="P118" s="165" t="str">
        <f t="shared" si="125"/>
        <v/>
      </c>
      <c r="Q118" s="166"/>
      <c r="R118" s="243"/>
      <c r="S118" s="165">
        <f t="shared" si="126"/>
        <v>0</v>
      </c>
      <c r="T118" s="244">
        <v>53.0</v>
      </c>
      <c r="U118" s="169">
        <f t="shared" si="127"/>
        <v>109.074</v>
      </c>
      <c r="V118" s="38" t="str">
        <f t="shared" si="12"/>
        <v/>
      </c>
      <c r="W118" s="38" t="str">
        <f t="shared" si="13"/>
        <v/>
      </c>
      <c r="X118" s="11"/>
      <c r="Y118" s="11"/>
      <c r="Z118" s="11"/>
      <c r="AA118" s="11"/>
    </row>
    <row r="119" ht="13.5" customHeight="1" outlineLevel="1">
      <c r="A119" s="315"/>
      <c r="B119" s="85"/>
      <c r="C119" s="238">
        <v>0.025</v>
      </c>
      <c r="D119" s="239">
        <v>0.05</v>
      </c>
      <c r="E119" s="245">
        <v>6.0</v>
      </c>
      <c r="F119" s="156">
        <f t="shared" si="117"/>
        <v>0.0075</v>
      </c>
      <c r="G119" s="156">
        <f t="shared" si="118"/>
        <v>0.3</v>
      </c>
      <c r="H119" s="240">
        <v>240.0</v>
      </c>
      <c r="I119" s="158">
        <f t="shared" si="128"/>
        <v>280</v>
      </c>
      <c r="J119" s="159">
        <f t="shared" si="120"/>
        <v>2.52</v>
      </c>
      <c r="K119" s="160">
        <f t="shared" si="121"/>
        <v>8.4</v>
      </c>
      <c r="L119" s="161">
        <f t="shared" si="129"/>
        <v>23</v>
      </c>
      <c r="M119" s="241">
        <f t="shared" si="123"/>
        <v>0.1725</v>
      </c>
      <c r="N119" s="163">
        <f t="shared" si="124"/>
        <v>6.9</v>
      </c>
      <c r="O119" s="246"/>
      <c r="P119" s="165" t="str">
        <f t="shared" si="125"/>
        <v/>
      </c>
      <c r="Q119" s="166"/>
      <c r="R119" s="243"/>
      <c r="S119" s="165">
        <f t="shared" si="126"/>
        <v>0</v>
      </c>
      <c r="T119" s="244">
        <v>23.0</v>
      </c>
      <c r="U119" s="169">
        <f t="shared" si="127"/>
        <v>57.96</v>
      </c>
      <c r="V119" s="38" t="str">
        <f t="shared" si="12"/>
        <v/>
      </c>
      <c r="W119" s="38" t="str">
        <f t="shared" si="13"/>
        <v/>
      </c>
      <c r="X119" s="11"/>
      <c r="Y119" s="11"/>
      <c r="Z119" s="11"/>
      <c r="AA119" s="11"/>
    </row>
    <row r="120" ht="13.5" customHeight="1" outlineLevel="1">
      <c r="A120" s="315"/>
      <c r="B120" s="85" t="s">
        <v>96</v>
      </c>
      <c r="C120" s="238">
        <v>0.025</v>
      </c>
      <c r="D120" s="239">
        <v>0.1</v>
      </c>
      <c r="E120" s="245">
        <v>2.5</v>
      </c>
      <c r="F120" s="156">
        <f t="shared" si="117"/>
        <v>0.00625</v>
      </c>
      <c r="G120" s="156">
        <f t="shared" si="118"/>
        <v>0.25</v>
      </c>
      <c r="H120" s="240">
        <v>205.71</v>
      </c>
      <c r="I120" s="158">
        <f t="shared" si="128"/>
        <v>240</v>
      </c>
      <c r="J120" s="159">
        <f t="shared" si="120"/>
        <v>1.8</v>
      </c>
      <c r="K120" s="160">
        <f t="shared" si="121"/>
        <v>7.2</v>
      </c>
      <c r="L120" s="161">
        <f t="shared" si="129"/>
        <v>6738</v>
      </c>
      <c r="M120" s="241">
        <f t="shared" si="123"/>
        <v>42.1125</v>
      </c>
      <c r="N120" s="163">
        <f t="shared" si="124"/>
        <v>1684.5</v>
      </c>
      <c r="O120" s="246"/>
      <c r="P120" s="165" t="str">
        <f t="shared" si="125"/>
        <v/>
      </c>
      <c r="Q120" s="166"/>
      <c r="R120" s="243"/>
      <c r="S120" s="165">
        <f t="shared" si="126"/>
        <v>0</v>
      </c>
      <c r="T120" s="244">
        <v>6738.0</v>
      </c>
      <c r="U120" s="169">
        <f t="shared" si="127"/>
        <v>12128.4</v>
      </c>
      <c r="V120" s="38" t="str">
        <f t="shared" si="12"/>
        <v/>
      </c>
      <c r="W120" s="38" t="str">
        <f t="shared" si="13"/>
        <v/>
      </c>
      <c r="X120" s="11"/>
      <c r="Y120" s="11"/>
      <c r="Z120" s="11"/>
      <c r="AA120" s="11"/>
    </row>
    <row r="121" ht="13.5" customHeight="1" outlineLevel="1">
      <c r="A121" s="315"/>
      <c r="B121" s="85"/>
      <c r="C121" s="238">
        <v>0.025</v>
      </c>
      <c r="D121" s="239">
        <v>0.1</v>
      </c>
      <c r="E121" s="245">
        <v>3.0</v>
      </c>
      <c r="F121" s="156">
        <f t="shared" si="117"/>
        <v>0.0075</v>
      </c>
      <c r="G121" s="156">
        <f t="shared" si="118"/>
        <v>0.3</v>
      </c>
      <c r="H121" s="240">
        <v>240.0</v>
      </c>
      <c r="I121" s="158">
        <f t="shared" si="128"/>
        <v>280</v>
      </c>
      <c r="J121" s="159">
        <f t="shared" si="120"/>
        <v>2.52</v>
      </c>
      <c r="K121" s="160">
        <f t="shared" si="121"/>
        <v>8.4</v>
      </c>
      <c r="L121" s="161">
        <f t="shared" si="129"/>
        <v>271</v>
      </c>
      <c r="M121" s="241">
        <f t="shared" si="123"/>
        <v>2.0325</v>
      </c>
      <c r="N121" s="163">
        <f t="shared" si="124"/>
        <v>81.3</v>
      </c>
      <c r="O121" s="246"/>
      <c r="P121" s="165" t="str">
        <f t="shared" si="125"/>
        <v/>
      </c>
      <c r="Q121" s="166"/>
      <c r="R121" s="247"/>
      <c r="S121" s="165">
        <f t="shared" si="126"/>
        <v>0</v>
      </c>
      <c r="T121" s="244">
        <v>271.0</v>
      </c>
      <c r="U121" s="169">
        <f t="shared" si="127"/>
        <v>682.92</v>
      </c>
      <c r="V121" s="38" t="str">
        <f t="shared" si="12"/>
        <v/>
      </c>
      <c r="W121" s="38" t="str">
        <f t="shared" si="13"/>
        <v/>
      </c>
      <c r="X121" s="38"/>
      <c r="Y121" s="38"/>
      <c r="Z121" s="11"/>
      <c r="AA121" s="11"/>
    </row>
    <row r="122" ht="13.5" customHeight="1" outlineLevel="1">
      <c r="A122" s="315"/>
      <c r="B122" s="85"/>
      <c r="C122" s="238">
        <v>0.025</v>
      </c>
      <c r="D122" s="239">
        <v>0.1</v>
      </c>
      <c r="E122" s="245">
        <v>3.6</v>
      </c>
      <c r="F122" s="156">
        <f t="shared" si="117"/>
        <v>0.009</v>
      </c>
      <c r="G122" s="156">
        <f t="shared" si="118"/>
        <v>0.36</v>
      </c>
      <c r="H122" s="240">
        <v>240.0</v>
      </c>
      <c r="I122" s="158">
        <f t="shared" si="128"/>
        <v>280</v>
      </c>
      <c r="J122" s="159">
        <f t="shared" si="120"/>
        <v>3.024</v>
      </c>
      <c r="K122" s="160">
        <f t="shared" si="121"/>
        <v>8.4</v>
      </c>
      <c r="L122" s="161">
        <f t="shared" si="129"/>
        <v>163</v>
      </c>
      <c r="M122" s="241">
        <f t="shared" si="123"/>
        <v>1.467</v>
      </c>
      <c r="N122" s="163">
        <f t="shared" si="124"/>
        <v>58.68</v>
      </c>
      <c r="O122" s="246"/>
      <c r="P122" s="165" t="str">
        <f t="shared" si="125"/>
        <v/>
      </c>
      <c r="Q122" s="166"/>
      <c r="R122" s="247"/>
      <c r="S122" s="165">
        <f t="shared" si="126"/>
        <v>0</v>
      </c>
      <c r="T122" s="244">
        <v>163.0</v>
      </c>
      <c r="U122" s="169">
        <f t="shared" si="127"/>
        <v>492.912</v>
      </c>
      <c r="V122" s="38" t="str">
        <f t="shared" si="12"/>
        <v/>
      </c>
      <c r="W122" s="38" t="str">
        <f t="shared" si="13"/>
        <v/>
      </c>
      <c r="X122" s="38"/>
      <c r="Y122" s="38"/>
      <c r="Z122" s="11"/>
      <c r="AA122" s="11"/>
    </row>
    <row r="123" ht="13.5" customHeight="1" outlineLevel="1">
      <c r="A123" s="315"/>
      <c r="B123" s="85" t="s">
        <v>95</v>
      </c>
      <c r="C123" s="238">
        <v>0.025</v>
      </c>
      <c r="D123" s="239">
        <v>0.1</v>
      </c>
      <c r="E123" s="245">
        <v>4.8</v>
      </c>
      <c r="F123" s="156">
        <f t="shared" si="117"/>
        <v>0.012</v>
      </c>
      <c r="G123" s="156">
        <f t="shared" si="118"/>
        <v>0.48</v>
      </c>
      <c r="H123" s="240">
        <v>240.0</v>
      </c>
      <c r="I123" s="158">
        <f t="shared" si="128"/>
        <v>280</v>
      </c>
      <c r="J123" s="159">
        <f t="shared" si="120"/>
        <v>4.032</v>
      </c>
      <c r="K123" s="160">
        <f t="shared" si="121"/>
        <v>8.4</v>
      </c>
      <c r="L123" s="161">
        <f t="shared" si="129"/>
        <v>87</v>
      </c>
      <c r="M123" s="241">
        <f t="shared" si="123"/>
        <v>1.044</v>
      </c>
      <c r="N123" s="163">
        <f t="shared" si="124"/>
        <v>41.76</v>
      </c>
      <c r="O123" s="246"/>
      <c r="P123" s="165" t="str">
        <f t="shared" si="125"/>
        <v/>
      </c>
      <c r="Q123" s="166"/>
      <c r="R123" s="247"/>
      <c r="S123" s="165">
        <f t="shared" si="126"/>
        <v>0</v>
      </c>
      <c r="T123" s="244">
        <v>87.0</v>
      </c>
      <c r="U123" s="169">
        <f t="shared" si="127"/>
        <v>350.784</v>
      </c>
      <c r="V123" s="38" t="str">
        <f t="shared" si="12"/>
        <v/>
      </c>
      <c r="W123" s="38" t="str">
        <f t="shared" si="13"/>
        <v/>
      </c>
      <c r="X123" s="11"/>
      <c r="Y123" s="11"/>
      <c r="Z123" s="11"/>
      <c r="AA123" s="11"/>
    </row>
    <row r="124" ht="13.5" customHeight="1" outlineLevel="1">
      <c r="A124" s="315"/>
      <c r="B124" s="85"/>
      <c r="C124" s="238">
        <v>0.025</v>
      </c>
      <c r="D124" s="239">
        <v>0.1</v>
      </c>
      <c r="E124" s="245">
        <v>6.0</v>
      </c>
      <c r="F124" s="156">
        <f t="shared" si="117"/>
        <v>0.015</v>
      </c>
      <c r="G124" s="156">
        <f t="shared" si="118"/>
        <v>0.6</v>
      </c>
      <c r="H124" s="240">
        <v>240.0</v>
      </c>
      <c r="I124" s="158">
        <f t="shared" si="128"/>
        <v>280</v>
      </c>
      <c r="J124" s="159">
        <f t="shared" si="120"/>
        <v>5.04</v>
      </c>
      <c r="K124" s="160">
        <f t="shared" si="121"/>
        <v>8.4</v>
      </c>
      <c r="L124" s="452">
        <f t="shared" si="129"/>
        <v>0</v>
      </c>
      <c r="M124" s="241">
        <f t="shared" si="123"/>
        <v>0</v>
      </c>
      <c r="N124" s="163">
        <f t="shared" si="124"/>
        <v>0</v>
      </c>
      <c r="O124" s="246"/>
      <c r="P124" s="165" t="str">
        <f t="shared" si="125"/>
        <v/>
      </c>
      <c r="Q124" s="166"/>
      <c r="R124" s="247"/>
      <c r="S124" s="165">
        <f t="shared" si="126"/>
        <v>0</v>
      </c>
      <c r="T124" s="244">
        <v>0.0</v>
      </c>
      <c r="U124" s="169">
        <f t="shared" si="127"/>
        <v>0</v>
      </c>
      <c r="V124" s="38" t="str">
        <f t="shared" si="12"/>
        <v/>
      </c>
      <c r="W124" s="38" t="str">
        <f t="shared" si="13"/>
        <v/>
      </c>
      <c r="X124" s="11"/>
      <c r="Y124" s="11"/>
      <c r="Z124" s="11"/>
      <c r="AA124" s="11"/>
    </row>
    <row r="125" ht="13.5" customHeight="1" outlineLevel="1">
      <c r="A125" s="315"/>
      <c r="B125" s="85" t="s">
        <v>97</v>
      </c>
      <c r="C125" s="238">
        <v>0.025</v>
      </c>
      <c r="D125" s="239">
        <v>0.15</v>
      </c>
      <c r="E125" s="245">
        <v>3.6</v>
      </c>
      <c r="F125" s="156">
        <f t="shared" si="117"/>
        <v>0.0135</v>
      </c>
      <c r="G125" s="156">
        <f t="shared" si="118"/>
        <v>0.54</v>
      </c>
      <c r="H125" s="240">
        <v>240.0</v>
      </c>
      <c r="I125" s="158">
        <f>ROUND(H125*1.1667,0)*0.9</f>
        <v>252</v>
      </c>
      <c r="J125" s="159">
        <f>ROUND((I125*0.873)*1.21,0)*(C125*D125*E125)</f>
        <v>3.591</v>
      </c>
      <c r="K125" s="160">
        <f t="shared" si="121"/>
        <v>6.65</v>
      </c>
      <c r="L125" s="161">
        <f t="shared" si="129"/>
        <v>44</v>
      </c>
      <c r="M125" s="241">
        <f t="shared" si="123"/>
        <v>0.594</v>
      </c>
      <c r="N125" s="163">
        <f t="shared" si="124"/>
        <v>23.76</v>
      </c>
      <c r="O125" s="252"/>
      <c r="P125" s="165" t="str">
        <f t="shared" si="125"/>
        <v/>
      </c>
      <c r="Q125" s="172"/>
      <c r="R125" s="243"/>
      <c r="S125" s="165">
        <f t="shared" si="126"/>
        <v>0</v>
      </c>
      <c r="T125" s="244">
        <v>44.0</v>
      </c>
      <c r="U125" s="169">
        <f t="shared" si="127"/>
        <v>158.004</v>
      </c>
      <c r="V125" s="38" t="str">
        <f t="shared" si="12"/>
        <v/>
      </c>
      <c r="W125" s="38" t="str">
        <f t="shared" si="13"/>
        <v/>
      </c>
      <c r="X125" s="11"/>
      <c r="Y125" s="11"/>
      <c r="Z125" s="11"/>
      <c r="AA125" s="11"/>
    </row>
    <row r="126" ht="13.5" customHeight="1" outlineLevel="1">
      <c r="A126" s="315"/>
      <c r="B126" s="85"/>
      <c r="C126" s="238">
        <v>0.025</v>
      </c>
      <c r="D126" s="239">
        <v>0.15</v>
      </c>
      <c r="E126" s="245">
        <v>4.8</v>
      </c>
      <c r="F126" s="156">
        <f t="shared" si="117"/>
        <v>0.018</v>
      </c>
      <c r="G126" s="156">
        <f t="shared" si="118"/>
        <v>0.72</v>
      </c>
      <c r="H126" s="240">
        <v>240.0</v>
      </c>
      <c r="I126" s="158">
        <f t="shared" ref="I126:I127" si="130">ROUND(H126*1.1667,0)</f>
        <v>280</v>
      </c>
      <c r="J126" s="159">
        <f t="shared" ref="J126:J127" si="131">ROUND((I126*0.992)*1.21,0)*(C126*D126*E126)</f>
        <v>6.048</v>
      </c>
      <c r="K126" s="160">
        <f t="shared" si="121"/>
        <v>8.4</v>
      </c>
      <c r="L126" s="205">
        <v>109.0</v>
      </c>
      <c r="M126" s="241">
        <f t="shared" si="123"/>
        <v>1.962</v>
      </c>
      <c r="N126" s="163">
        <f t="shared" si="124"/>
        <v>78.48</v>
      </c>
      <c r="O126" s="246"/>
      <c r="P126" s="165" t="str">
        <f t="shared" si="125"/>
        <v/>
      </c>
      <c r="Q126" s="166"/>
      <c r="R126" s="243"/>
      <c r="S126" s="165">
        <f t="shared" si="126"/>
        <v>0</v>
      </c>
      <c r="T126" s="263">
        <v>109.0</v>
      </c>
      <c r="U126" s="169">
        <f t="shared" si="127"/>
        <v>659.232</v>
      </c>
      <c r="V126" s="38" t="str">
        <f t="shared" si="12"/>
        <v/>
      </c>
      <c r="W126" s="38" t="str">
        <f t="shared" si="13"/>
        <v/>
      </c>
      <c r="X126" s="11"/>
      <c r="Y126" s="11"/>
      <c r="Z126" s="11"/>
      <c r="AA126" s="11"/>
    </row>
    <row r="127" ht="13.5" customHeight="1" outlineLevel="1">
      <c r="A127" s="315"/>
      <c r="B127" s="85"/>
      <c r="C127" s="238">
        <v>0.025</v>
      </c>
      <c r="D127" s="239">
        <v>0.15</v>
      </c>
      <c r="E127" s="245">
        <v>6.0</v>
      </c>
      <c r="F127" s="156">
        <f t="shared" si="117"/>
        <v>0.0225</v>
      </c>
      <c r="G127" s="156">
        <f t="shared" si="118"/>
        <v>0.9</v>
      </c>
      <c r="H127" s="240">
        <v>240.0</v>
      </c>
      <c r="I127" s="158">
        <f t="shared" si="130"/>
        <v>280</v>
      </c>
      <c r="J127" s="159">
        <f t="shared" si="131"/>
        <v>7.56</v>
      </c>
      <c r="K127" s="160">
        <f t="shared" si="121"/>
        <v>8.4</v>
      </c>
      <c r="L127" s="161">
        <f t="shared" ref="L127:L172" si="132">T127+R127-O127</f>
        <v>140</v>
      </c>
      <c r="M127" s="241">
        <f t="shared" si="123"/>
        <v>3.15</v>
      </c>
      <c r="N127" s="163">
        <f t="shared" si="124"/>
        <v>126</v>
      </c>
      <c r="O127" s="246"/>
      <c r="P127" s="165" t="str">
        <f t="shared" si="125"/>
        <v/>
      </c>
      <c r="Q127" s="166"/>
      <c r="R127" s="247"/>
      <c r="S127" s="165">
        <f t="shared" si="126"/>
        <v>0</v>
      </c>
      <c r="T127" s="244">
        <v>140.0</v>
      </c>
      <c r="U127" s="169">
        <f t="shared" si="127"/>
        <v>1058.4</v>
      </c>
      <c r="V127" s="38"/>
      <c r="W127" s="38" t="str">
        <f t="shared" si="13"/>
        <v/>
      </c>
      <c r="X127" s="11"/>
      <c r="Y127" s="11"/>
      <c r="Z127" s="11"/>
      <c r="AA127" s="11"/>
    </row>
    <row r="128" ht="13.5" customHeight="1" outlineLevel="1">
      <c r="A128" s="315"/>
      <c r="B128" s="85" t="s">
        <v>95</v>
      </c>
      <c r="C128" s="238">
        <v>0.025</v>
      </c>
      <c r="D128" s="239">
        <v>0.15</v>
      </c>
      <c r="E128" s="245">
        <v>6.0</v>
      </c>
      <c r="F128" s="156">
        <f t="shared" si="117"/>
        <v>0.0225</v>
      </c>
      <c r="G128" s="156">
        <f t="shared" si="118"/>
        <v>0.9</v>
      </c>
      <c r="H128" s="240">
        <v>257.2</v>
      </c>
      <c r="I128" s="158">
        <f>ROUND(H128*1.1667,0)*0.88</f>
        <v>264</v>
      </c>
      <c r="J128" s="159">
        <f>ROUND((I128*0.88)*1.21,0)*(C128*D128*E128)</f>
        <v>6.3225</v>
      </c>
      <c r="K128" s="160">
        <f t="shared" si="121"/>
        <v>7.025</v>
      </c>
      <c r="L128" s="161">
        <f t="shared" si="132"/>
        <v>37</v>
      </c>
      <c r="M128" s="241">
        <f t="shared" si="123"/>
        <v>0.8325</v>
      </c>
      <c r="N128" s="163">
        <f t="shared" si="124"/>
        <v>33.3</v>
      </c>
      <c r="O128" s="246"/>
      <c r="P128" s="165" t="str">
        <f t="shared" si="125"/>
        <v/>
      </c>
      <c r="Q128" s="166"/>
      <c r="R128" s="247"/>
      <c r="S128" s="165">
        <f t="shared" si="126"/>
        <v>0</v>
      </c>
      <c r="T128" s="244">
        <v>37.0</v>
      </c>
      <c r="U128" s="169">
        <f t="shared" si="127"/>
        <v>233.9325</v>
      </c>
      <c r="V128" s="38" t="str">
        <f t="shared" ref="V128:V129" si="133">IF(O128="","",Q128-(O128*(H128*F128)))</f>
        <v/>
      </c>
      <c r="W128" s="38" t="str">
        <f t="shared" si="13"/>
        <v/>
      </c>
      <c r="X128" s="11"/>
      <c r="Y128" s="11"/>
      <c r="Z128" s="11"/>
      <c r="AA128" s="11"/>
    </row>
    <row r="129" ht="13.5" customHeight="1" outlineLevel="1">
      <c r="A129" s="315"/>
      <c r="B129" s="85" t="s">
        <v>98</v>
      </c>
      <c r="C129" s="238">
        <v>0.05</v>
      </c>
      <c r="D129" s="239">
        <v>0.05</v>
      </c>
      <c r="E129" s="245">
        <v>1.0</v>
      </c>
      <c r="F129" s="156">
        <f t="shared" si="117"/>
        <v>0.0025</v>
      </c>
      <c r="G129" s="156">
        <f t="shared" si="118"/>
        <v>0.05</v>
      </c>
      <c r="H129" s="240">
        <v>240.0</v>
      </c>
      <c r="I129" s="158">
        <f>ROUND(H129*1.1667,0)*0.9</f>
        <v>252</v>
      </c>
      <c r="J129" s="159">
        <f>ROUND((I129*0.873)*1.21,0)*(C129*D129*E129)</f>
        <v>0.665</v>
      </c>
      <c r="K129" s="160">
        <f t="shared" si="121"/>
        <v>13.3</v>
      </c>
      <c r="L129" s="161">
        <f t="shared" si="132"/>
        <v>55</v>
      </c>
      <c r="M129" s="241">
        <f t="shared" si="123"/>
        <v>0.1375</v>
      </c>
      <c r="N129" s="163">
        <f t="shared" si="124"/>
        <v>2.75</v>
      </c>
      <c r="O129" s="242"/>
      <c r="P129" s="165" t="str">
        <f t="shared" si="125"/>
        <v/>
      </c>
      <c r="Q129" s="166"/>
      <c r="R129" s="247"/>
      <c r="S129" s="165">
        <f t="shared" si="126"/>
        <v>0</v>
      </c>
      <c r="T129" s="244">
        <v>55.0</v>
      </c>
      <c r="U129" s="169">
        <f t="shared" si="127"/>
        <v>36.575</v>
      </c>
      <c r="V129" s="38" t="str">
        <f t="shared" si="133"/>
        <v/>
      </c>
      <c r="W129" s="38" t="str">
        <f t="shared" si="13"/>
        <v/>
      </c>
      <c r="X129" s="11"/>
      <c r="Y129" s="11"/>
      <c r="Z129" s="11"/>
      <c r="AA129" s="11"/>
    </row>
    <row r="130" ht="13.5" customHeight="1" outlineLevel="1">
      <c r="A130" s="315"/>
      <c r="B130" s="85"/>
      <c r="C130" s="238">
        <v>0.05</v>
      </c>
      <c r="D130" s="239">
        <v>0.05</v>
      </c>
      <c r="E130" s="245">
        <v>3.0</v>
      </c>
      <c r="F130" s="156">
        <f t="shared" si="117"/>
        <v>0.0075</v>
      </c>
      <c r="G130" s="156">
        <f t="shared" si="118"/>
        <v>0.15</v>
      </c>
      <c r="H130" s="240">
        <v>283.0</v>
      </c>
      <c r="I130" s="158">
        <f t="shared" ref="I130:I135" si="134">ROUND(H130*1.1667,0)</f>
        <v>330</v>
      </c>
      <c r="J130" s="159">
        <f t="shared" ref="J130:J136" si="135">ROUND((I130*0.992)*1.21,0)*(C130*D130*E130)</f>
        <v>2.97</v>
      </c>
      <c r="K130" s="160">
        <f t="shared" si="121"/>
        <v>19.8</v>
      </c>
      <c r="L130" s="452">
        <f t="shared" si="132"/>
        <v>2</v>
      </c>
      <c r="M130" s="241">
        <f t="shared" si="123"/>
        <v>0.015</v>
      </c>
      <c r="N130" s="163">
        <f t="shared" si="124"/>
        <v>0.3</v>
      </c>
      <c r="O130" s="246"/>
      <c r="P130" s="165" t="str">
        <f t="shared" si="125"/>
        <v/>
      </c>
      <c r="Q130" s="166"/>
      <c r="R130" s="247"/>
      <c r="S130" s="165">
        <f t="shared" si="126"/>
        <v>0</v>
      </c>
      <c r="T130" s="244">
        <v>2.0</v>
      </c>
      <c r="U130" s="169">
        <f t="shared" si="127"/>
        <v>5.94</v>
      </c>
      <c r="V130" s="38"/>
      <c r="W130" s="38"/>
      <c r="X130" s="11"/>
      <c r="Y130" s="11"/>
      <c r="Z130" s="11"/>
      <c r="AA130" s="11"/>
    </row>
    <row r="131" ht="13.5" customHeight="1" outlineLevel="1">
      <c r="A131" s="315"/>
      <c r="B131" s="85"/>
      <c r="C131" s="238">
        <v>0.05</v>
      </c>
      <c r="D131" s="239">
        <v>0.05</v>
      </c>
      <c r="E131" s="245">
        <v>3.7</v>
      </c>
      <c r="F131" s="156">
        <f t="shared" si="117"/>
        <v>0.00925</v>
      </c>
      <c r="G131" s="156">
        <f t="shared" si="118"/>
        <v>0.185</v>
      </c>
      <c r="H131" s="240">
        <v>283.0</v>
      </c>
      <c r="I131" s="158">
        <f t="shared" si="134"/>
        <v>330</v>
      </c>
      <c r="J131" s="159">
        <f t="shared" si="135"/>
        <v>3.663</v>
      </c>
      <c r="K131" s="160">
        <f t="shared" si="121"/>
        <v>19.8</v>
      </c>
      <c r="L131" s="161">
        <f t="shared" si="132"/>
        <v>9</v>
      </c>
      <c r="M131" s="241">
        <f t="shared" si="123"/>
        <v>0.08325</v>
      </c>
      <c r="N131" s="163">
        <f t="shared" si="124"/>
        <v>1.665</v>
      </c>
      <c r="O131" s="246"/>
      <c r="P131" s="165" t="str">
        <f t="shared" si="125"/>
        <v/>
      </c>
      <c r="Q131" s="166"/>
      <c r="R131" s="247"/>
      <c r="S131" s="165">
        <f t="shared" si="126"/>
        <v>0</v>
      </c>
      <c r="T131" s="244">
        <v>9.0</v>
      </c>
      <c r="U131" s="169">
        <f t="shared" si="127"/>
        <v>32.967</v>
      </c>
      <c r="V131" s="38"/>
      <c r="W131" s="38"/>
      <c r="X131" s="11"/>
      <c r="Y131" s="11"/>
      <c r="Z131" s="11"/>
      <c r="AA131" s="11"/>
    </row>
    <row r="132" ht="13.5" customHeight="1" outlineLevel="1">
      <c r="A132" s="315"/>
      <c r="B132" s="85"/>
      <c r="C132" s="238">
        <v>0.05</v>
      </c>
      <c r="D132" s="239">
        <v>0.05</v>
      </c>
      <c r="E132" s="245">
        <v>6.0</v>
      </c>
      <c r="F132" s="156">
        <f t="shared" si="117"/>
        <v>0.015</v>
      </c>
      <c r="G132" s="156">
        <f t="shared" si="118"/>
        <v>0.3</v>
      </c>
      <c r="H132" s="240">
        <v>283.0</v>
      </c>
      <c r="I132" s="158">
        <f t="shared" si="134"/>
        <v>330</v>
      </c>
      <c r="J132" s="159">
        <f t="shared" si="135"/>
        <v>5.94</v>
      </c>
      <c r="K132" s="160">
        <f t="shared" si="121"/>
        <v>19.8</v>
      </c>
      <c r="L132" s="161">
        <f t="shared" si="132"/>
        <v>84</v>
      </c>
      <c r="M132" s="241">
        <f t="shared" si="123"/>
        <v>1.26</v>
      </c>
      <c r="N132" s="163">
        <f t="shared" si="124"/>
        <v>25.2</v>
      </c>
      <c r="O132" s="246"/>
      <c r="P132" s="165" t="str">
        <f t="shared" si="125"/>
        <v/>
      </c>
      <c r="Q132" s="166"/>
      <c r="R132" s="247"/>
      <c r="S132" s="165">
        <f t="shared" si="126"/>
        <v>0</v>
      </c>
      <c r="T132" s="244">
        <v>84.0</v>
      </c>
      <c r="U132" s="169">
        <f t="shared" si="127"/>
        <v>498.96</v>
      </c>
      <c r="V132" s="38" t="str">
        <f t="shared" ref="V132:V134" si="136">IF(O132="","",Q132-(O132*(H132*F132)))</f>
        <v/>
      </c>
      <c r="W132" s="38" t="str">
        <f t="shared" ref="W132:W134" si="137">IF(O132="","",(P132*H132))</f>
        <v/>
      </c>
      <c r="X132" s="11"/>
      <c r="Y132" s="11"/>
      <c r="Z132" s="11"/>
      <c r="AA132" s="11"/>
    </row>
    <row r="133" ht="13.5" customHeight="1" outlineLevel="1">
      <c r="A133" s="315"/>
      <c r="B133" s="85"/>
      <c r="C133" s="238">
        <v>0.05</v>
      </c>
      <c r="D133" s="239">
        <v>0.1</v>
      </c>
      <c r="E133" s="245">
        <v>3.6</v>
      </c>
      <c r="F133" s="156">
        <f t="shared" si="117"/>
        <v>0.018</v>
      </c>
      <c r="G133" s="156">
        <f t="shared" si="118"/>
        <v>0.36</v>
      </c>
      <c r="H133" s="240">
        <v>240.0</v>
      </c>
      <c r="I133" s="158">
        <f t="shared" si="134"/>
        <v>280</v>
      </c>
      <c r="J133" s="159">
        <f t="shared" si="135"/>
        <v>6.048</v>
      </c>
      <c r="K133" s="160">
        <f t="shared" si="121"/>
        <v>16.8</v>
      </c>
      <c r="L133" s="161">
        <f t="shared" si="132"/>
        <v>88</v>
      </c>
      <c r="M133" s="241">
        <f t="shared" si="123"/>
        <v>1.584</v>
      </c>
      <c r="N133" s="163">
        <f t="shared" si="124"/>
        <v>31.68</v>
      </c>
      <c r="O133" s="246"/>
      <c r="P133" s="165" t="str">
        <f t="shared" si="125"/>
        <v/>
      </c>
      <c r="Q133" s="166"/>
      <c r="R133" s="243"/>
      <c r="S133" s="165">
        <f t="shared" si="126"/>
        <v>0</v>
      </c>
      <c r="T133" s="244">
        <v>88.0</v>
      </c>
      <c r="U133" s="169">
        <f t="shared" si="127"/>
        <v>532.224</v>
      </c>
      <c r="V133" s="38" t="str">
        <f t="shared" si="136"/>
        <v/>
      </c>
      <c r="W133" s="38" t="str">
        <f t="shared" si="137"/>
        <v/>
      </c>
      <c r="X133" s="11"/>
      <c r="Y133" s="11"/>
      <c r="Z133" s="11"/>
      <c r="AA133" s="11"/>
    </row>
    <row r="134" ht="13.5" customHeight="1" outlineLevel="1">
      <c r="A134" s="315"/>
      <c r="B134" s="85"/>
      <c r="C134" s="238">
        <v>0.05</v>
      </c>
      <c r="D134" s="239">
        <v>0.1</v>
      </c>
      <c r="E134" s="245">
        <v>4.9</v>
      </c>
      <c r="F134" s="156">
        <f t="shared" si="117"/>
        <v>0.0245</v>
      </c>
      <c r="G134" s="156">
        <f t="shared" si="118"/>
        <v>0.49</v>
      </c>
      <c r="H134" s="240">
        <v>240.0</v>
      </c>
      <c r="I134" s="158">
        <f t="shared" si="134"/>
        <v>280</v>
      </c>
      <c r="J134" s="159">
        <f t="shared" si="135"/>
        <v>8.232</v>
      </c>
      <c r="K134" s="160">
        <f t="shared" si="121"/>
        <v>16.8</v>
      </c>
      <c r="L134" s="161">
        <f t="shared" si="132"/>
        <v>312</v>
      </c>
      <c r="M134" s="241">
        <f t="shared" si="123"/>
        <v>7.644</v>
      </c>
      <c r="N134" s="163">
        <f t="shared" si="124"/>
        <v>152.88</v>
      </c>
      <c r="O134" s="246"/>
      <c r="P134" s="165" t="str">
        <f t="shared" si="125"/>
        <v/>
      </c>
      <c r="Q134" s="166"/>
      <c r="R134" s="247"/>
      <c r="S134" s="165">
        <f t="shared" si="126"/>
        <v>0</v>
      </c>
      <c r="T134" s="244">
        <v>312.0</v>
      </c>
      <c r="U134" s="169">
        <f t="shared" si="127"/>
        <v>2568.384</v>
      </c>
      <c r="V134" s="38" t="str">
        <f t="shared" si="136"/>
        <v/>
      </c>
      <c r="W134" s="38" t="str">
        <f t="shared" si="137"/>
        <v/>
      </c>
      <c r="X134" s="11"/>
      <c r="Y134" s="11"/>
      <c r="Z134" s="11"/>
      <c r="AA134" s="11"/>
    </row>
    <row r="135" ht="13.5" customHeight="1" outlineLevel="1">
      <c r="A135" s="315"/>
      <c r="B135" s="85"/>
      <c r="C135" s="238">
        <v>0.05</v>
      </c>
      <c r="D135" s="239">
        <v>0.1</v>
      </c>
      <c r="E135" s="245">
        <v>6.0</v>
      </c>
      <c r="F135" s="156">
        <f t="shared" si="117"/>
        <v>0.03</v>
      </c>
      <c r="G135" s="156">
        <f t="shared" si="118"/>
        <v>0.6</v>
      </c>
      <c r="H135" s="240">
        <v>240.0</v>
      </c>
      <c r="I135" s="158">
        <f t="shared" si="134"/>
        <v>280</v>
      </c>
      <c r="J135" s="159">
        <f t="shared" si="135"/>
        <v>10.08</v>
      </c>
      <c r="K135" s="160">
        <f t="shared" si="121"/>
        <v>16.8</v>
      </c>
      <c r="L135" s="161">
        <f t="shared" si="132"/>
        <v>68</v>
      </c>
      <c r="M135" s="241">
        <f t="shared" si="123"/>
        <v>2.04</v>
      </c>
      <c r="N135" s="163">
        <f t="shared" si="124"/>
        <v>40.8</v>
      </c>
      <c r="O135" s="246"/>
      <c r="P135" s="165" t="str">
        <f t="shared" si="125"/>
        <v/>
      </c>
      <c r="Q135" s="166"/>
      <c r="R135" s="247"/>
      <c r="S135" s="165">
        <f t="shared" si="126"/>
        <v>0</v>
      </c>
      <c r="T135" s="244">
        <v>68.0</v>
      </c>
      <c r="U135" s="169">
        <f t="shared" si="127"/>
        <v>685.44</v>
      </c>
      <c r="V135" s="38"/>
      <c r="W135" s="38"/>
      <c r="X135" s="11"/>
      <c r="Y135" s="11"/>
      <c r="Z135" s="11"/>
      <c r="AA135" s="11"/>
    </row>
    <row r="136" ht="13.5" customHeight="1" outlineLevel="1">
      <c r="A136" s="315"/>
      <c r="B136" s="85" t="s">
        <v>98</v>
      </c>
      <c r="C136" s="238">
        <v>0.05</v>
      </c>
      <c r="D136" s="239">
        <v>0.1</v>
      </c>
      <c r="E136" s="245">
        <v>6.0</v>
      </c>
      <c r="F136" s="156">
        <f t="shared" si="117"/>
        <v>0.03</v>
      </c>
      <c r="G136" s="156">
        <f t="shared" si="118"/>
        <v>0.6</v>
      </c>
      <c r="H136" s="240">
        <v>240.0</v>
      </c>
      <c r="I136" s="158">
        <f t="shared" ref="I136:I137" si="138">ROUND(H136*1.1667,0)*0.9</f>
        <v>252</v>
      </c>
      <c r="J136" s="159">
        <f t="shared" si="135"/>
        <v>9.06</v>
      </c>
      <c r="K136" s="160">
        <f t="shared" si="121"/>
        <v>15.1</v>
      </c>
      <c r="L136" s="161">
        <f t="shared" si="132"/>
        <v>0</v>
      </c>
      <c r="M136" s="241">
        <f t="shared" si="123"/>
        <v>0</v>
      </c>
      <c r="N136" s="163">
        <f t="shared" si="124"/>
        <v>0</v>
      </c>
      <c r="O136" s="246"/>
      <c r="P136" s="165" t="str">
        <f t="shared" si="125"/>
        <v/>
      </c>
      <c r="Q136" s="166"/>
      <c r="R136" s="247"/>
      <c r="S136" s="165">
        <f t="shared" si="126"/>
        <v>0</v>
      </c>
      <c r="T136" s="244">
        <v>0.0</v>
      </c>
      <c r="U136" s="169">
        <f t="shared" si="127"/>
        <v>0</v>
      </c>
      <c r="V136" s="38" t="str">
        <f t="shared" ref="V136:V172" si="139">IF(O136="","",Q136-(O136*(H136*F136)))</f>
        <v/>
      </c>
      <c r="W136" s="38" t="str">
        <f t="shared" ref="W136:W191" si="140">IF(O136="","",(P136*H136))</f>
        <v/>
      </c>
      <c r="X136" s="11"/>
      <c r="Y136" s="11"/>
      <c r="Z136" s="11"/>
      <c r="AA136" s="11"/>
    </row>
    <row r="137" ht="13.5" customHeight="1" outlineLevel="1">
      <c r="A137" s="315"/>
      <c r="B137" s="85" t="s">
        <v>95</v>
      </c>
      <c r="C137" s="238">
        <v>0.05</v>
      </c>
      <c r="D137" s="239">
        <v>0.125</v>
      </c>
      <c r="E137" s="245">
        <v>6.0</v>
      </c>
      <c r="F137" s="156">
        <f t="shared" si="117"/>
        <v>0.0375</v>
      </c>
      <c r="G137" s="156">
        <f t="shared" si="118"/>
        <v>0.75</v>
      </c>
      <c r="H137" s="240">
        <v>240.0</v>
      </c>
      <c r="I137" s="158">
        <f t="shared" si="138"/>
        <v>252</v>
      </c>
      <c r="J137" s="159">
        <f>ROUND((I137*0.873)*1.21,0)*(C137*D137*E137)</f>
        <v>9.975</v>
      </c>
      <c r="K137" s="160">
        <f t="shared" si="121"/>
        <v>13.3</v>
      </c>
      <c r="L137" s="161">
        <f t="shared" si="132"/>
        <v>16</v>
      </c>
      <c r="M137" s="241">
        <f t="shared" si="123"/>
        <v>0.6</v>
      </c>
      <c r="N137" s="163">
        <f t="shared" si="124"/>
        <v>12</v>
      </c>
      <c r="O137" s="246"/>
      <c r="P137" s="165" t="str">
        <f t="shared" si="125"/>
        <v/>
      </c>
      <c r="Q137" s="166"/>
      <c r="R137" s="243"/>
      <c r="S137" s="165">
        <f t="shared" si="126"/>
        <v>0</v>
      </c>
      <c r="T137" s="244">
        <v>16.0</v>
      </c>
      <c r="U137" s="169">
        <f t="shared" si="127"/>
        <v>159.6</v>
      </c>
      <c r="V137" s="38" t="str">
        <f t="shared" si="139"/>
        <v/>
      </c>
      <c r="W137" s="38" t="str">
        <f t="shared" si="140"/>
        <v/>
      </c>
      <c r="X137" s="11"/>
      <c r="Y137" s="11"/>
      <c r="Z137" s="11"/>
      <c r="AA137" s="11"/>
    </row>
    <row r="138" ht="13.5" customHeight="1" outlineLevel="1">
      <c r="A138" s="315"/>
      <c r="B138" s="85"/>
      <c r="C138" s="238">
        <v>0.05</v>
      </c>
      <c r="D138" s="239">
        <v>0.15</v>
      </c>
      <c r="E138" s="245">
        <v>3.7</v>
      </c>
      <c r="F138" s="156">
        <f t="shared" si="117"/>
        <v>0.02775</v>
      </c>
      <c r="G138" s="156">
        <f t="shared" si="118"/>
        <v>0.555</v>
      </c>
      <c r="H138" s="240">
        <v>240.0</v>
      </c>
      <c r="I138" s="158">
        <f t="shared" ref="I138:I158" si="141">ROUND(H138*1.1667,0)</f>
        <v>280</v>
      </c>
      <c r="J138" s="159">
        <f t="shared" ref="J138:J158" si="142">ROUND((I138*0.992)*1.21,0)*(C138*D138*E138)</f>
        <v>9.324</v>
      </c>
      <c r="K138" s="160">
        <f t="shared" si="121"/>
        <v>16.8</v>
      </c>
      <c r="L138" s="161">
        <f t="shared" si="132"/>
        <v>33</v>
      </c>
      <c r="M138" s="241">
        <f t="shared" si="123"/>
        <v>0.91575</v>
      </c>
      <c r="N138" s="163">
        <f t="shared" si="124"/>
        <v>18.315</v>
      </c>
      <c r="O138" s="246"/>
      <c r="P138" s="165" t="str">
        <f t="shared" si="125"/>
        <v/>
      </c>
      <c r="Q138" s="166"/>
      <c r="R138" s="243"/>
      <c r="S138" s="165">
        <f t="shared" si="126"/>
        <v>0</v>
      </c>
      <c r="T138" s="244">
        <v>33.0</v>
      </c>
      <c r="U138" s="169">
        <f t="shared" si="127"/>
        <v>307.692</v>
      </c>
      <c r="V138" s="38" t="str">
        <f t="shared" si="139"/>
        <v/>
      </c>
      <c r="W138" s="38" t="str">
        <f t="shared" si="140"/>
        <v/>
      </c>
      <c r="X138" s="38"/>
      <c r="Y138" s="38"/>
      <c r="Z138" s="11"/>
      <c r="AA138" s="11"/>
    </row>
    <row r="139" ht="13.5" customHeight="1" outlineLevel="1">
      <c r="A139" s="315"/>
      <c r="B139" s="85"/>
      <c r="C139" s="238">
        <v>0.05</v>
      </c>
      <c r="D139" s="239">
        <v>0.15</v>
      </c>
      <c r="E139" s="245">
        <v>4.9</v>
      </c>
      <c r="F139" s="156">
        <f t="shared" si="117"/>
        <v>0.03675</v>
      </c>
      <c r="G139" s="156">
        <f t="shared" si="118"/>
        <v>0.735</v>
      </c>
      <c r="H139" s="240">
        <v>240.0</v>
      </c>
      <c r="I139" s="158">
        <f t="shared" si="141"/>
        <v>280</v>
      </c>
      <c r="J139" s="159">
        <f t="shared" si="142"/>
        <v>12.348</v>
      </c>
      <c r="K139" s="160">
        <f t="shared" si="121"/>
        <v>16.8</v>
      </c>
      <c r="L139" s="161">
        <f t="shared" si="132"/>
        <v>405</v>
      </c>
      <c r="M139" s="241">
        <f t="shared" si="123"/>
        <v>14.88375</v>
      </c>
      <c r="N139" s="163">
        <f t="shared" si="124"/>
        <v>297.675</v>
      </c>
      <c r="O139" s="246"/>
      <c r="P139" s="165" t="str">
        <f t="shared" si="125"/>
        <v/>
      </c>
      <c r="Q139" s="166"/>
      <c r="R139" s="247"/>
      <c r="S139" s="165">
        <f t="shared" si="126"/>
        <v>0</v>
      </c>
      <c r="T139" s="244">
        <v>405.0</v>
      </c>
      <c r="U139" s="169">
        <f t="shared" si="127"/>
        <v>5000.94</v>
      </c>
      <c r="V139" s="38" t="str">
        <f t="shared" si="139"/>
        <v/>
      </c>
      <c r="W139" s="38" t="str">
        <f t="shared" si="140"/>
        <v/>
      </c>
      <c r="X139" s="11"/>
      <c r="Y139" s="11"/>
      <c r="Z139" s="11"/>
      <c r="AA139" s="11"/>
    </row>
    <row r="140" ht="13.5" customHeight="1" outlineLevel="1">
      <c r="A140" s="315"/>
      <c r="B140" s="85"/>
      <c r="C140" s="238">
        <v>0.05</v>
      </c>
      <c r="D140" s="239">
        <v>0.15</v>
      </c>
      <c r="E140" s="245">
        <v>6.0</v>
      </c>
      <c r="F140" s="156">
        <f t="shared" si="117"/>
        <v>0.045</v>
      </c>
      <c r="G140" s="156">
        <f t="shared" si="118"/>
        <v>0.9</v>
      </c>
      <c r="H140" s="240">
        <v>240.0</v>
      </c>
      <c r="I140" s="158">
        <f t="shared" si="141"/>
        <v>280</v>
      </c>
      <c r="J140" s="159">
        <f t="shared" si="142"/>
        <v>15.12</v>
      </c>
      <c r="K140" s="160">
        <f t="shared" si="121"/>
        <v>16.8</v>
      </c>
      <c r="L140" s="161">
        <f t="shared" si="132"/>
        <v>853</v>
      </c>
      <c r="M140" s="241">
        <f t="shared" si="123"/>
        <v>38.385</v>
      </c>
      <c r="N140" s="163">
        <f t="shared" si="124"/>
        <v>767.7</v>
      </c>
      <c r="O140" s="246"/>
      <c r="P140" s="165" t="str">
        <f t="shared" si="125"/>
        <v/>
      </c>
      <c r="Q140" s="166"/>
      <c r="R140" s="247"/>
      <c r="S140" s="165">
        <f t="shared" si="126"/>
        <v>0</v>
      </c>
      <c r="T140" s="244">
        <v>853.0</v>
      </c>
      <c r="U140" s="169">
        <f t="shared" si="127"/>
        <v>12897.36</v>
      </c>
      <c r="V140" s="38" t="str">
        <f t="shared" si="139"/>
        <v/>
      </c>
      <c r="W140" s="38" t="str">
        <f t="shared" si="140"/>
        <v/>
      </c>
      <c r="X140" s="11"/>
      <c r="Y140" s="11"/>
      <c r="Z140" s="11"/>
      <c r="AA140" s="11"/>
    </row>
    <row r="141" ht="13.5" customHeight="1" outlineLevel="1">
      <c r="A141" s="315"/>
      <c r="B141" s="85" t="s">
        <v>95</v>
      </c>
      <c r="C141" s="238">
        <v>0.05</v>
      </c>
      <c r="D141" s="239">
        <v>0.2</v>
      </c>
      <c r="E141" s="245">
        <v>3.7</v>
      </c>
      <c r="F141" s="156">
        <f t="shared" si="117"/>
        <v>0.037</v>
      </c>
      <c r="G141" s="156">
        <f t="shared" si="118"/>
        <v>0.74</v>
      </c>
      <c r="H141" s="240">
        <v>240.0</v>
      </c>
      <c r="I141" s="158">
        <f t="shared" si="141"/>
        <v>280</v>
      </c>
      <c r="J141" s="159">
        <f t="shared" si="142"/>
        <v>12.432</v>
      </c>
      <c r="K141" s="344">
        <f t="shared" si="121"/>
        <v>16.8</v>
      </c>
      <c r="L141" s="161">
        <f t="shared" si="132"/>
        <v>16</v>
      </c>
      <c r="M141" s="241">
        <f t="shared" si="123"/>
        <v>0.592</v>
      </c>
      <c r="N141" s="163">
        <f t="shared" si="124"/>
        <v>11.84</v>
      </c>
      <c r="O141" s="246"/>
      <c r="P141" s="165" t="str">
        <f t="shared" si="125"/>
        <v/>
      </c>
      <c r="Q141" s="166"/>
      <c r="R141" s="243"/>
      <c r="S141" s="165">
        <f t="shared" si="126"/>
        <v>0</v>
      </c>
      <c r="T141" s="244">
        <v>16.0</v>
      </c>
      <c r="U141" s="169">
        <f t="shared" si="127"/>
        <v>198.912</v>
      </c>
      <c r="V141" s="38" t="str">
        <f t="shared" si="139"/>
        <v/>
      </c>
      <c r="W141" s="38" t="str">
        <f t="shared" si="140"/>
        <v/>
      </c>
      <c r="X141" s="11"/>
      <c r="Y141" s="11"/>
      <c r="Z141" s="11"/>
      <c r="AA141" s="11"/>
    </row>
    <row r="142" ht="13.5" customHeight="1" outlineLevel="1">
      <c r="A142" s="315"/>
      <c r="B142" s="85" t="s">
        <v>95</v>
      </c>
      <c r="C142" s="238">
        <v>0.05</v>
      </c>
      <c r="D142" s="239">
        <v>0.2</v>
      </c>
      <c r="E142" s="245">
        <v>3.9</v>
      </c>
      <c r="F142" s="156">
        <f t="shared" si="117"/>
        <v>0.039</v>
      </c>
      <c r="G142" s="156">
        <f t="shared" si="118"/>
        <v>0.78</v>
      </c>
      <c r="H142" s="240">
        <v>240.0</v>
      </c>
      <c r="I142" s="158">
        <f t="shared" si="141"/>
        <v>280</v>
      </c>
      <c r="J142" s="159">
        <f t="shared" si="142"/>
        <v>13.104</v>
      </c>
      <c r="K142" s="344">
        <f t="shared" si="121"/>
        <v>16.8</v>
      </c>
      <c r="L142" s="161">
        <f t="shared" si="132"/>
        <v>51</v>
      </c>
      <c r="M142" s="241">
        <f t="shared" si="123"/>
        <v>1.989</v>
      </c>
      <c r="N142" s="163">
        <f t="shared" si="124"/>
        <v>39.78</v>
      </c>
      <c r="O142" s="246"/>
      <c r="P142" s="165" t="str">
        <f t="shared" si="125"/>
        <v/>
      </c>
      <c r="Q142" s="166"/>
      <c r="R142" s="243"/>
      <c r="S142" s="165">
        <f t="shared" si="126"/>
        <v>0</v>
      </c>
      <c r="T142" s="244">
        <v>51.0</v>
      </c>
      <c r="U142" s="169">
        <f t="shared" si="127"/>
        <v>668.304</v>
      </c>
      <c r="V142" s="38" t="str">
        <f t="shared" si="139"/>
        <v/>
      </c>
      <c r="W142" s="38" t="str">
        <f t="shared" si="140"/>
        <v/>
      </c>
      <c r="X142" s="11"/>
      <c r="Y142" s="11"/>
      <c r="Z142" s="11"/>
      <c r="AA142" s="11"/>
    </row>
    <row r="143" ht="13.5" customHeight="1" outlineLevel="1">
      <c r="A143" s="315"/>
      <c r="B143" s="85"/>
      <c r="C143" s="238">
        <v>0.05</v>
      </c>
      <c r="D143" s="239">
        <v>0.2</v>
      </c>
      <c r="E143" s="245">
        <v>4.9</v>
      </c>
      <c r="F143" s="156">
        <f t="shared" si="117"/>
        <v>0.049</v>
      </c>
      <c r="G143" s="156">
        <f t="shared" si="118"/>
        <v>0.98</v>
      </c>
      <c r="H143" s="240">
        <v>240.0</v>
      </c>
      <c r="I143" s="158">
        <f t="shared" si="141"/>
        <v>280</v>
      </c>
      <c r="J143" s="159">
        <f t="shared" si="142"/>
        <v>16.464</v>
      </c>
      <c r="K143" s="344">
        <f t="shared" si="121"/>
        <v>16.8</v>
      </c>
      <c r="L143" s="161">
        <f t="shared" si="132"/>
        <v>187</v>
      </c>
      <c r="M143" s="241">
        <f t="shared" si="123"/>
        <v>9.163</v>
      </c>
      <c r="N143" s="163">
        <f t="shared" si="124"/>
        <v>183.26</v>
      </c>
      <c r="O143" s="246"/>
      <c r="P143" s="165" t="str">
        <f t="shared" si="125"/>
        <v/>
      </c>
      <c r="Q143" s="166"/>
      <c r="R143" s="247"/>
      <c r="S143" s="165">
        <f t="shared" si="126"/>
        <v>0</v>
      </c>
      <c r="T143" s="244">
        <v>187.0</v>
      </c>
      <c r="U143" s="169">
        <f t="shared" si="127"/>
        <v>3078.768</v>
      </c>
      <c r="V143" s="38" t="str">
        <f t="shared" si="139"/>
        <v/>
      </c>
      <c r="W143" s="38" t="str">
        <f t="shared" si="140"/>
        <v/>
      </c>
      <c r="X143" s="11"/>
      <c r="Y143" s="11"/>
      <c r="Z143" s="11"/>
      <c r="AA143" s="11"/>
    </row>
    <row r="144" ht="13.5" customHeight="1" outlineLevel="1">
      <c r="A144" s="315"/>
      <c r="B144" s="85"/>
      <c r="C144" s="238">
        <v>0.05</v>
      </c>
      <c r="D144" s="239">
        <v>0.2</v>
      </c>
      <c r="E144" s="245">
        <v>6.0</v>
      </c>
      <c r="F144" s="156">
        <f t="shared" si="117"/>
        <v>0.06</v>
      </c>
      <c r="G144" s="156">
        <f t="shared" si="118"/>
        <v>1.2</v>
      </c>
      <c r="H144" s="240">
        <v>240.0</v>
      </c>
      <c r="I144" s="158">
        <f t="shared" si="141"/>
        <v>280</v>
      </c>
      <c r="J144" s="159">
        <f t="shared" si="142"/>
        <v>20.16</v>
      </c>
      <c r="K144" s="344">
        <f t="shared" si="121"/>
        <v>16.8</v>
      </c>
      <c r="L144" s="161">
        <f t="shared" si="132"/>
        <v>459</v>
      </c>
      <c r="M144" s="241">
        <f t="shared" si="123"/>
        <v>27.54</v>
      </c>
      <c r="N144" s="163">
        <f t="shared" si="124"/>
        <v>550.8</v>
      </c>
      <c r="O144" s="246"/>
      <c r="P144" s="165" t="str">
        <f t="shared" si="125"/>
        <v/>
      </c>
      <c r="Q144" s="166"/>
      <c r="R144" s="247"/>
      <c r="S144" s="165">
        <f t="shared" si="126"/>
        <v>0</v>
      </c>
      <c r="T144" s="244">
        <v>459.0</v>
      </c>
      <c r="U144" s="169">
        <f t="shared" si="127"/>
        <v>9253.44</v>
      </c>
      <c r="V144" s="38" t="str">
        <f t="shared" si="139"/>
        <v/>
      </c>
      <c r="W144" s="38" t="str">
        <f t="shared" si="140"/>
        <v/>
      </c>
      <c r="X144" s="11"/>
      <c r="Y144" s="11"/>
      <c r="Z144" s="11"/>
      <c r="AA144" s="11"/>
    </row>
    <row r="145" ht="13.5" customHeight="1" outlineLevel="1">
      <c r="A145" s="315"/>
      <c r="B145" s="248"/>
      <c r="C145" s="238">
        <v>0.075</v>
      </c>
      <c r="D145" s="239">
        <v>0.15</v>
      </c>
      <c r="E145" s="245">
        <v>6.0</v>
      </c>
      <c r="F145" s="156">
        <f t="shared" si="117"/>
        <v>0.0675</v>
      </c>
      <c r="G145" s="156">
        <f t="shared" si="118"/>
        <v>0.9</v>
      </c>
      <c r="H145" s="240">
        <v>240.0</v>
      </c>
      <c r="I145" s="158">
        <f t="shared" si="141"/>
        <v>280</v>
      </c>
      <c r="J145" s="159">
        <f t="shared" si="142"/>
        <v>22.68</v>
      </c>
      <c r="K145" s="160">
        <f t="shared" si="121"/>
        <v>25.2</v>
      </c>
      <c r="L145" s="161">
        <f t="shared" si="132"/>
        <v>43</v>
      </c>
      <c r="M145" s="241">
        <f t="shared" si="123"/>
        <v>2.9025</v>
      </c>
      <c r="N145" s="163">
        <f t="shared" si="124"/>
        <v>38.7</v>
      </c>
      <c r="O145" s="246"/>
      <c r="P145" s="165" t="str">
        <f t="shared" si="125"/>
        <v/>
      </c>
      <c r="Q145" s="166"/>
      <c r="R145" s="243"/>
      <c r="S145" s="165">
        <f t="shared" si="126"/>
        <v>0</v>
      </c>
      <c r="T145" s="244">
        <v>43.0</v>
      </c>
      <c r="U145" s="169">
        <f t="shared" si="127"/>
        <v>975.24</v>
      </c>
      <c r="V145" s="38" t="str">
        <f t="shared" si="139"/>
        <v/>
      </c>
      <c r="W145" s="38" t="str">
        <f t="shared" si="140"/>
        <v/>
      </c>
      <c r="X145" s="11"/>
      <c r="Y145" s="11"/>
      <c r="Z145" s="11"/>
      <c r="AA145" s="11"/>
    </row>
    <row r="146" ht="13.5" customHeight="1" outlineLevel="1">
      <c r="A146" s="315"/>
      <c r="B146" s="248"/>
      <c r="C146" s="238">
        <v>0.075</v>
      </c>
      <c r="D146" s="239">
        <v>0.2</v>
      </c>
      <c r="E146" s="245">
        <v>3.8</v>
      </c>
      <c r="F146" s="156">
        <f t="shared" si="117"/>
        <v>0.057</v>
      </c>
      <c r="G146" s="156">
        <f t="shared" si="118"/>
        <v>0.76</v>
      </c>
      <c r="H146" s="240">
        <v>240.0</v>
      </c>
      <c r="I146" s="158">
        <f t="shared" si="141"/>
        <v>280</v>
      </c>
      <c r="J146" s="159">
        <f t="shared" si="142"/>
        <v>19.152</v>
      </c>
      <c r="K146" s="160">
        <f t="shared" si="121"/>
        <v>25.2</v>
      </c>
      <c r="L146" s="161">
        <f t="shared" si="132"/>
        <v>1</v>
      </c>
      <c r="M146" s="241">
        <f t="shared" si="123"/>
        <v>0.057</v>
      </c>
      <c r="N146" s="163">
        <f t="shared" si="124"/>
        <v>0.76</v>
      </c>
      <c r="O146" s="275"/>
      <c r="P146" s="165" t="str">
        <f t="shared" si="125"/>
        <v/>
      </c>
      <c r="Q146" s="166"/>
      <c r="R146" s="243"/>
      <c r="S146" s="165">
        <f t="shared" si="126"/>
        <v>0</v>
      </c>
      <c r="T146" s="244">
        <v>1.0</v>
      </c>
      <c r="U146" s="169">
        <f t="shared" si="127"/>
        <v>19.152</v>
      </c>
      <c r="V146" s="38" t="str">
        <f t="shared" si="139"/>
        <v/>
      </c>
      <c r="W146" s="38" t="str">
        <f t="shared" si="140"/>
        <v/>
      </c>
      <c r="X146" s="11"/>
      <c r="Y146" s="11"/>
      <c r="Z146" s="11"/>
      <c r="AA146" s="11"/>
    </row>
    <row r="147" ht="13.5" customHeight="1" outlineLevel="1">
      <c r="A147" s="315"/>
      <c r="B147" s="248"/>
      <c r="C147" s="238">
        <v>0.075</v>
      </c>
      <c r="D147" s="239">
        <v>0.2</v>
      </c>
      <c r="E147" s="245">
        <v>4.3</v>
      </c>
      <c r="F147" s="156">
        <f t="shared" si="117"/>
        <v>0.0645</v>
      </c>
      <c r="G147" s="156">
        <f t="shared" si="118"/>
        <v>0.86</v>
      </c>
      <c r="H147" s="240">
        <v>240.0</v>
      </c>
      <c r="I147" s="158">
        <f t="shared" si="141"/>
        <v>280</v>
      </c>
      <c r="J147" s="159">
        <f t="shared" si="142"/>
        <v>21.672</v>
      </c>
      <c r="K147" s="160">
        <f t="shared" si="121"/>
        <v>25.2</v>
      </c>
      <c r="L147" s="161">
        <f t="shared" si="132"/>
        <v>10</v>
      </c>
      <c r="M147" s="241">
        <f t="shared" si="123"/>
        <v>0.645</v>
      </c>
      <c r="N147" s="163">
        <f t="shared" si="124"/>
        <v>8.6</v>
      </c>
      <c r="O147" s="345"/>
      <c r="P147" s="165" t="str">
        <f t="shared" si="125"/>
        <v/>
      </c>
      <c r="Q147" s="166"/>
      <c r="R147" s="243"/>
      <c r="S147" s="165">
        <f t="shared" si="126"/>
        <v>0</v>
      </c>
      <c r="T147" s="244">
        <v>10.0</v>
      </c>
      <c r="U147" s="169">
        <f t="shared" si="127"/>
        <v>216.72</v>
      </c>
      <c r="V147" s="38" t="str">
        <f t="shared" si="139"/>
        <v/>
      </c>
      <c r="W147" s="38" t="str">
        <f t="shared" si="140"/>
        <v/>
      </c>
      <c r="X147" s="11"/>
      <c r="Y147" s="11"/>
      <c r="Z147" s="11"/>
      <c r="AA147" s="11"/>
    </row>
    <row r="148" ht="13.5" customHeight="1" outlineLevel="1">
      <c r="A148" s="315"/>
      <c r="B148" s="248"/>
      <c r="C148" s="238">
        <v>0.075</v>
      </c>
      <c r="D148" s="239">
        <v>0.2</v>
      </c>
      <c r="E148" s="245">
        <v>4.9</v>
      </c>
      <c r="F148" s="156">
        <f t="shared" si="117"/>
        <v>0.0735</v>
      </c>
      <c r="G148" s="156">
        <f t="shared" si="118"/>
        <v>0.98</v>
      </c>
      <c r="H148" s="240">
        <v>240.0</v>
      </c>
      <c r="I148" s="158">
        <f t="shared" si="141"/>
        <v>280</v>
      </c>
      <c r="J148" s="159">
        <f t="shared" si="142"/>
        <v>24.696</v>
      </c>
      <c r="K148" s="160">
        <f t="shared" si="121"/>
        <v>25.2</v>
      </c>
      <c r="L148" s="161">
        <f t="shared" si="132"/>
        <v>5</v>
      </c>
      <c r="M148" s="241">
        <f t="shared" si="123"/>
        <v>0.3675</v>
      </c>
      <c r="N148" s="163">
        <f t="shared" si="124"/>
        <v>4.9</v>
      </c>
      <c r="O148" s="246"/>
      <c r="P148" s="165" t="str">
        <f t="shared" si="125"/>
        <v/>
      </c>
      <c r="Q148" s="166"/>
      <c r="R148" s="243"/>
      <c r="S148" s="165">
        <f t="shared" si="126"/>
        <v>0</v>
      </c>
      <c r="T148" s="244">
        <v>5.0</v>
      </c>
      <c r="U148" s="169">
        <f t="shared" si="127"/>
        <v>123.48</v>
      </c>
      <c r="V148" s="38" t="str">
        <f t="shared" si="139"/>
        <v/>
      </c>
      <c r="W148" s="38" t="str">
        <f t="shared" si="140"/>
        <v/>
      </c>
      <c r="X148" s="11"/>
      <c r="Y148" s="11"/>
      <c r="Z148" s="11"/>
      <c r="AA148" s="11"/>
    </row>
    <row r="149" ht="13.5" customHeight="1" outlineLevel="1">
      <c r="A149" s="315"/>
      <c r="B149" s="248"/>
      <c r="C149" s="238">
        <v>0.075</v>
      </c>
      <c r="D149" s="239">
        <v>0.2</v>
      </c>
      <c r="E149" s="245">
        <v>6.0</v>
      </c>
      <c r="F149" s="156">
        <f t="shared" si="117"/>
        <v>0.09</v>
      </c>
      <c r="G149" s="156">
        <f t="shared" si="118"/>
        <v>1.2</v>
      </c>
      <c r="H149" s="240">
        <v>240.0</v>
      </c>
      <c r="I149" s="158">
        <f t="shared" si="141"/>
        <v>280</v>
      </c>
      <c r="J149" s="159">
        <f t="shared" si="142"/>
        <v>30.24</v>
      </c>
      <c r="K149" s="160">
        <f t="shared" si="121"/>
        <v>25.2</v>
      </c>
      <c r="L149" s="161">
        <f t="shared" si="132"/>
        <v>1</v>
      </c>
      <c r="M149" s="241">
        <f t="shared" si="123"/>
        <v>0.09</v>
      </c>
      <c r="N149" s="163">
        <f t="shared" si="124"/>
        <v>1.2</v>
      </c>
      <c r="O149" s="246"/>
      <c r="P149" s="165" t="str">
        <f t="shared" si="125"/>
        <v/>
      </c>
      <c r="Q149" s="166"/>
      <c r="R149" s="243"/>
      <c r="S149" s="165">
        <f t="shared" si="126"/>
        <v>0</v>
      </c>
      <c r="T149" s="244">
        <v>1.0</v>
      </c>
      <c r="U149" s="169">
        <f t="shared" si="127"/>
        <v>30.24</v>
      </c>
      <c r="V149" s="38" t="str">
        <f t="shared" si="139"/>
        <v/>
      </c>
      <c r="W149" s="38" t="str">
        <f t="shared" si="140"/>
        <v/>
      </c>
      <c r="X149" s="11"/>
      <c r="Y149" s="11"/>
      <c r="Z149" s="11"/>
      <c r="AA149" s="11"/>
    </row>
    <row r="150" ht="13.5" customHeight="1" outlineLevel="1">
      <c r="A150" s="315"/>
      <c r="B150" s="248"/>
      <c r="C150" s="238">
        <v>0.1</v>
      </c>
      <c r="D150" s="239">
        <v>0.1</v>
      </c>
      <c r="E150" s="245">
        <v>3.6</v>
      </c>
      <c r="F150" s="156">
        <f t="shared" si="117"/>
        <v>0.036</v>
      </c>
      <c r="G150" s="156">
        <f t="shared" si="118"/>
        <v>0.36</v>
      </c>
      <c r="H150" s="240">
        <v>240.0</v>
      </c>
      <c r="I150" s="158">
        <f t="shared" si="141"/>
        <v>280</v>
      </c>
      <c r="J150" s="159">
        <f t="shared" si="142"/>
        <v>12.096</v>
      </c>
      <c r="K150" s="160">
        <f t="shared" si="121"/>
        <v>33.6</v>
      </c>
      <c r="L150" s="161">
        <f t="shared" si="132"/>
        <v>271</v>
      </c>
      <c r="M150" s="241">
        <f t="shared" si="123"/>
        <v>9.756</v>
      </c>
      <c r="N150" s="163">
        <f t="shared" si="124"/>
        <v>97.56</v>
      </c>
      <c r="O150" s="246"/>
      <c r="P150" s="165" t="str">
        <f t="shared" si="125"/>
        <v/>
      </c>
      <c r="Q150" s="166"/>
      <c r="R150" s="243"/>
      <c r="S150" s="165">
        <f t="shared" si="126"/>
        <v>0</v>
      </c>
      <c r="T150" s="244">
        <v>271.0</v>
      </c>
      <c r="U150" s="169">
        <f t="shared" si="127"/>
        <v>3278.016</v>
      </c>
      <c r="V150" s="38" t="str">
        <f t="shared" si="139"/>
        <v/>
      </c>
      <c r="W150" s="38" t="str">
        <f t="shared" si="140"/>
        <v/>
      </c>
      <c r="X150" s="11"/>
      <c r="Y150" s="11"/>
      <c r="Z150" s="11"/>
      <c r="AA150" s="11"/>
    </row>
    <row r="151" ht="13.5" customHeight="1" outlineLevel="1">
      <c r="A151" s="315"/>
      <c r="B151" s="248"/>
      <c r="C151" s="238">
        <v>0.1</v>
      </c>
      <c r="D151" s="239">
        <v>0.1</v>
      </c>
      <c r="E151" s="245">
        <v>3.9</v>
      </c>
      <c r="F151" s="156">
        <f t="shared" si="117"/>
        <v>0.039</v>
      </c>
      <c r="G151" s="156">
        <f t="shared" si="118"/>
        <v>0.39</v>
      </c>
      <c r="H151" s="240">
        <v>240.0</v>
      </c>
      <c r="I151" s="158">
        <f t="shared" si="141"/>
        <v>280</v>
      </c>
      <c r="J151" s="159">
        <f t="shared" si="142"/>
        <v>13.104</v>
      </c>
      <c r="K151" s="160">
        <f t="shared" si="121"/>
        <v>33.6</v>
      </c>
      <c r="L151" s="161">
        <f t="shared" si="132"/>
        <v>12</v>
      </c>
      <c r="M151" s="241">
        <f t="shared" si="123"/>
        <v>0.468</v>
      </c>
      <c r="N151" s="163">
        <f t="shared" si="124"/>
        <v>4.68</v>
      </c>
      <c r="O151" s="246"/>
      <c r="P151" s="165" t="str">
        <f t="shared" si="125"/>
        <v/>
      </c>
      <c r="Q151" s="166"/>
      <c r="R151" s="243"/>
      <c r="S151" s="165">
        <f t="shared" si="126"/>
        <v>0</v>
      </c>
      <c r="T151" s="244">
        <v>12.0</v>
      </c>
      <c r="U151" s="169">
        <f t="shared" si="127"/>
        <v>157.248</v>
      </c>
      <c r="V151" s="38" t="str">
        <f t="shared" si="139"/>
        <v/>
      </c>
      <c r="W151" s="38" t="str">
        <f t="shared" si="140"/>
        <v/>
      </c>
      <c r="X151" s="11"/>
      <c r="Y151" s="11"/>
      <c r="Z151" s="11"/>
      <c r="AA151" s="11"/>
    </row>
    <row r="152" ht="13.5" customHeight="1" outlineLevel="1">
      <c r="A152" s="315"/>
      <c r="B152" s="248"/>
      <c r="C152" s="238">
        <v>0.1</v>
      </c>
      <c r="D152" s="239">
        <v>0.1</v>
      </c>
      <c r="E152" s="245">
        <v>4.9</v>
      </c>
      <c r="F152" s="156">
        <f t="shared" si="117"/>
        <v>0.049</v>
      </c>
      <c r="G152" s="156">
        <f t="shared" si="118"/>
        <v>0.49</v>
      </c>
      <c r="H152" s="240">
        <v>240.0</v>
      </c>
      <c r="I152" s="158">
        <f t="shared" si="141"/>
        <v>280</v>
      </c>
      <c r="J152" s="159">
        <f t="shared" si="142"/>
        <v>16.464</v>
      </c>
      <c r="K152" s="160">
        <f t="shared" si="121"/>
        <v>33.6</v>
      </c>
      <c r="L152" s="161">
        <f t="shared" si="132"/>
        <v>5</v>
      </c>
      <c r="M152" s="241">
        <f t="shared" si="123"/>
        <v>0.245</v>
      </c>
      <c r="N152" s="163">
        <f t="shared" si="124"/>
        <v>2.45</v>
      </c>
      <c r="O152" s="246"/>
      <c r="P152" s="165" t="str">
        <f t="shared" si="125"/>
        <v/>
      </c>
      <c r="Q152" s="166"/>
      <c r="R152" s="243"/>
      <c r="S152" s="165">
        <f t="shared" si="126"/>
        <v>0</v>
      </c>
      <c r="T152" s="244">
        <v>5.0</v>
      </c>
      <c r="U152" s="169">
        <f t="shared" si="127"/>
        <v>82.32</v>
      </c>
      <c r="V152" s="38" t="str">
        <f t="shared" si="139"/>
        <v/>
      </c>
      <c r="W152" s="38" t="str">
        <f t="shared" si="140"/>
        <v/>
      </c>
      <c r="X152" s="11"/>
      <c r="Y152" s="11"/>
      <c r="Z152" s="11"/>
      <c r="AA152" s="11"/>
    </row>
    <row r="153" ht="13.5" customHeight="1" outlineLevel="1">
      <c r="A153" s="315"/>
      <c r="B153" s="248"/>
      <c r="C153" s="238">
        <v>0.1</v>
      </c>
      <c r="D153" s="239">
        <v>0.1</v>
      </c>
      <c r="E153" s="245">
        <v>6.0</v>
      </c>
      <c r="F153" s="156">
        <f t="shared" si="117"/>
        <v>0.06</v>
      </c>
      <c r="G153" s="156">
        <f t="shared" si="118"/>
        <v>0.6</v>
      </c>
      <c r="H153" s="240">
        <v>240.0</v>
      </c>
      <c r="I153" s="158">
        <f t="shared" si="141"/>
        <v>280</v>
      </c>
      <c r="J153" s="159">
        <f t="shared" si="142"/>
        <v>20.16</v>
      </c>
      <c r="K153" s="160">
        <f t="shared" si="121"/>
        <v>33.6</v>
      </c>
      <c r="L153" s="161">
        <f t="shared" si="132"/>
        <v>121</v>
      </c>
      <c r="M153" s="241">
        <f t="shared" si="123"/>
        <v>7.26</v>
      </c>
      <c r="N153" s="163">
        <f t="shared" si="124"/>
        <v>72.6</v>
      </c>
      <c r="O153" s="246"/>
      <c r="P153" s="165" t="str">
        <f t="shared" si="125"/>
        <v/>
      </c>
      <c r="Q153" s="166"/>
      <c r="R153" s="243"/>
      <c r="S153" s="165">
        <f t="shared" si="126"/>
        <v>0</v>
      </c>
      <c r="T153" s="244">
        <v>121.0</v>
      </c>
      <c r="U153" s="169">
        <f t="shared" si="127"/>
        <v>2439.36</v>
      </c>
      <c r="V153" s="38" t="str">
        <f t="shared" si="139"/>
        <v/>
      </c>
      <c r="W153" s="38" t="str">
        <f t="shared" si="140"/>
        <v/>
      </c>
      <c r="X153" s="11"/>
      <c r="Y153" s="11"/>
      <c r="Z153" s="11"/>
      <c r="AA153" s="11"/>
    </row>
    <row r="154" ht="13.5" customHeight="1" outlineLevel="1">
      <c r="A154" s="315"/>
      <c r="B154" s="248"/>
      <c r="C154" s="238">
        <v>0.1</v>
      </c>
      <c r="D154" s="239">
        <v>0.15</v>
      </c>
      <c r="E154" s="245">
        <v>3.6</v>
      </c>
      <c r="F154" s="156">
        <f t="shared" si="117"/>
        <v>0.054</v>
      </c>
      <c r="G154" s="156">
        <f t="shared" si="118"/>
        <v>0.54</v>
      </c>
      <c r="H154" s="240">
        <v>240.0</v>
      </c>
      <c r="I154" s="158">
        <f t="shared" si="141"/>
        <v>280</v>
      </c>
      <c r="J154" s="159">
        <f t="shared" si="142"/>
        <v>18.144</v>
      </c>
      <c r="K154" s="160">
        <f t="shared" si="121"/>
        <v>33.6</v>
      </c>
      <c r="L154" s="161">
        <f t="shared" si="132"/>
        <v>47</v>
      </c>
      <c r="M154" s="241">
        <f t="shared" si="123"/>
        <v>2.538</v>
      </c>
      <c r="N154" s="163">
        <f t="shared" si="124"/>
        <v>25.38</v>
      </c>
      <c r="O154" s="246"/>
      <c r="P154" s="165" t="str">
        <f t="shared" si="125"/>
        <v/>
      </c>
      <c r="Q154" s="166"/>
      <c r="R154" s="243"/>
      <c r="S154" s="165">
        <f t="shared" si="126"/>
        <v>0</v>
      </c>
      <c r="T154" s="244">
        <v>47.0</v>
      </c>
      <c r="U154" s="169">
        <f t="shared" si="127"/>
        <v>852.768</v>
      </c>
      <c r="V154" s="38" t="str">
        <f t="shared" si="139"/>
        <v/>
      </c>
      <c r="W154" s="38" t="str">
        <f t="shared" si="140"/>
        <v/>
      </c>
      <c r="X154" s="11"/>
      <c r="Y154" s="11"/>
      <c r="Z154" s="11"/>
      <c r="AA154" s="11"/>
    </row>
    <row r="155" ht="13.5" customHeight="1" outlineLevel="1">
      <c r="A155" s="315"/>
      <c r="B155" s="248"/>
      <c r="C155" s="238">
        <v>0.1</v>
      </c>
      <c r="D155" s="239">
        <v>0.15</v>
      </c>
      <c r="E155" s="245">
        <v>4.9</v>
      </c>
      <c r="F155" s="156">
        <f t="shared" si="117"/>
        <v>0.0735</v>
      </c>
      <c r="G155" s="156">
        <f t="shared" si="118"/>
        <v>0.735</v>
      </c>
      <c r="H155" s="240">
        <v>240.0</v>
      </c>
      <c r="I155" s="158">
        <f t="shared" si="141"/>
        <v>280</v>
      </c>
      <c r="J155" s="159">
        <f t="shared" si="142"/>
        <v>24.696</v>
      </c>
      <c r="K155" s="160">
        <f t="shared" si="121"/>
        <v>33.6</v>
      </c>
      <c r="L155" s="161">
        <f t="shared" si="132"/>
        <v>135</v>
      </c>
      <c r="M155" s="241">
        <f t="shared" si="123"/>
        <v>9.9225</v>
      </c>
      <c r="N155" s="163">
        <f t="shared" si="124"/>
        <v>99.225</v>
      </c>
      <c r="O155" s="246"/>
      <c r="P155" s="165" t="str">
        <f t="shared" si="125"/>
        <v/>
      </c>
      <c r="Q155" s="166"/>
      <c r="R155" s="243"/>
      <c r="S155" s="165">
        <f t="shared" si="126"/>
        <v>0</v>
      </c>
      <c r="T155" s="244">
        <v>135.0</v>
      </c>
      <c r="U155" s="169">
        <f t="shared" si="127"/>
        <v>3333.96</v>
      </c>
      <c r="V155" s="38" t="str">
        <f t="shared" si="139"/>
        <v/>
      </c>
      <c r="W155" s="38" t="str">
        <f t="shared" si="140"/>
        <v/>
      </c>
      <c r="X155" s="11"/>
      <c r="Y155" s="11"/>
      <c r="Z155" s="11"/>
      <c r="AA155" s="11"/>
    </row>
    <row r="156" ht="13.5" customHeight="1" outlineLevel="1">
      <c r="A156" s="315"/>
      <c r="B156" s="248"/>
      <c r="C156" s="238">
        <v>0.1</v>
      </c>
      <c r="D156" s="239">
        <v>0.15</v>
      </c>
      <c r="E156" s="245">
        <v>6.0</v>
      </c>
      <c r="F156" s="156">
        <f t="shared" si="117"/>
        <v>0.09</v>
      </c>
      <c r="G156" s="156">
        <f t="shared" si="118"/>
        <v>0.9</v>
      </c>
      <c r="H156" s="332">
        <v>240.0</v>
      </c>
      <c r="I156" s="158">
        <f t="shared" si="141"/>
        <v>280</v>
      </c>
      <c r="J156" s="159">
        <f t="shared" si="142"/>
        <v>30.24</v>
      </c>
      <c r="K156" s="160">
        <f t="shared" si="121"/>
        <v>33.6</v>
      </c>
      <c r="L156" s="161">
        <f t="shared" si="132"/>
        <v>165</v>
      </c>
      <c r="M156" s="241">
        <f t="shared" si="123"/>
        <v>14.85</v>
      </c>
      <c r="N156" s="163">
        <f t="shared" si="124"/>
        <v>148.5</v>
      </c>
      <c r="O156" s="246"/>
      <c r="P156" s="165" t="str">
        <f t="shared" si="125"/>
        <v/>
      </c>
      <c r="Q156" s="166"/>
      <c r="R156" s="243"/>
      <c r="S156" s="165">
        <f t="shared" si="126"/>
        <v>0</v>
      </c>
      <c r="T156" s="244">
        <v>165.0</v>
      </c>
      <c r="U156" s="169">
        <f t="shared" si="127"/>
        <v>4989.6</v>
      </c>
      <c r="V156" s="38" t="str">
        <f t="shared" si="139"/>
        <v/>
      </c>
      <c r="W156" s="38" t="str">
        <f t="shared" si="140"/>
        <v/>
      </c>
      <c r="X156" s="11"/>
      <c r="Y156" s="11"/>
      <c r="Z156" s="11"/>
      <c r="AA156" s="11"/>
    </row>
    <row r="157" ht="13.5" customHeight="1" outlineLevel="1">
      <c r="A157" s="315"/>
      <c r="B157" s="248"/>
      <c r="C157" s="238">
        <v>0.1</v>
      </c>
      <c r="D157" s="239">
        <v>0.2</v>
      </c>
      <c r="E157" s="245">
        <v>4.9</v>
      </c>
      <c r="F157" s="156">
        <f t="shared" si="117"/>
        <v>0.098</v>
      </c>
      <c r="G157" s="156">
        <f t="shared" si="118"/>
        <v>0.98</v>
      </c>
      <c r="H157" s="240">
        <v>240.0</v>
      </c>
      <c r="I157" s="158">
        <f t="shared" si="141"/>
        <v>280</v>
      </c>
      <c r="J157" s="159">
        <f t="shared" si="142"/>
        <v>32.928</v>
      </c>
      <c r="K157" s="160">
        <f t="shared" si="121"/>
        <v>33.6</v>
      </c>
      <c r="L157" s="161">
        <f t="shared" si="132"/>
        <v>33</v>
      </c>
      <c r="M157" s="241">
        <f t="shared" si="123"/>
        <v>3.234</v>
      </c>
      <c r="N157" s="163">
        <f t="shared" si="124"/>
        <v>32.34</v>
      </c>
      <c r="O157" s="246"/>
      <c r="P157" s="165" t="str">
        <f t="shared" si="125"/>
        <v/>
      </c>
      <c r="Q157" s="166"/>
      <c r="R157" s="243"/>
      <c r="S157" s="165">
        <f t="shared" si="126"/>
        <v>0</v>
      </c>
      <c r="T157" s="244">
        <v>33.0</v>
      </c>
      <c r="U157" s="169">
        <f t="shared" si="127"/>
        <v>1086.624</v>
      </c>
      <c r="V157" s="38" t="str">
        <f t="shared" si="139"/>
        <v/>
      </c>
      <c r="W157" s="38" t="str">
        <f t="shared" si="140"/>
        <v/>
      </c>
      <c r="X157" s="11"/>
      <c r="Y157" s="11"/>
      <c r="Z157" s="11"/>
      <c r="AA157" s="11"/>
    </row>
    <row r="158" ht="13.5" customHeight="1" outlineLevel="1">
      <c r="A158" s="315"/>
      <c r="B158" s="248"/>
      <c r="C158" s="238">
        <v>0.1</v>
      </c>
      <c r="D158" s="239">
        <v>0.2</v>
      </c>
      <c r="E158" s="245">
        <v>6.0</v>
      </c>
      <c r="F158" s="156">
        <f t="shared" si="117"/>
        <v>0.12</v>
      </c>
      <c r="G158" s="156">
        <f t="shared" si="118"/>
        <v>1.2</v>
      </c>
      <c r="H158" s="240">
        <v>240.0</v>
      </c>
      <c r="I158" s="158">
        <f t="shared" si="141"/>
        <v>280</v>
      </c>
      <c r="J158" s="159">
        <f t="shared" si="142"/>
        <v>40.32</v>
      </c>
      <c r="K158" s="160">
        <f t="shared" si="121"/>
        <v>33.6</v>
      </c>
      <c r="L158" s="161">
        <f t="shared" si="132"/>
        <v>88</v>
      </c>
      <c r="M158" s="241">
        <f t="shared" si="123"/>
        <v>10.56</v>
      </c>
      <c r="N158" s="163">
        <f t="shared" si="124"/>
        <v>105.6</v>
      </c>
      <c r="O158" s="246"/>
      <c r="P158" s="165" t="str">
        <f t="shared" si="125"/>
        <v/>
      </c>
      <c r="Q158" s="166"/>
      <c r="R158" s="243"/>
      <c r="S158" s="165">
        <f t="shared" si="126"/>
        <v>0</v>
      </c>
      <c r="T158" s="244">
        <v>88.0</v>
      </c>
      <c r="U158" s="169">
        <f t="shared" si="127"/>
        <v>3548.16</v>
      </c>
      <c r="V158" s="38" t="str">
        <f t="shared" si="139"/>
        <v/>
      </c>
      <c r="W158" s="38" t="str">
        <f t="shared" si="140"/>
        <v/>
      </c>
      <c r="X158" s="11"/>
      <c r="Y158" s="11"/>
      <c r="Z158" s="11"/>
      <c r="AA158" s="11"/>
    </row>
    <row r="159" ht="13.5" customHeight="1" outlineLevel="1">
      <c r="A159" s="315"/>
      <c r="B159" s="85" t="s">
        <v>98</v>
      </c>
      <c r="C159" s="238">
        <v>0.15</v>
      </c>
      <c r="D159" s="239">
        <v>0.15</v>
      </c>
      <c r="E159" s="245">
        <v>3.1</v>
      </c>
      <c r="F159" s="156">
        <f t="shared" si="117"/>
        <v>0.06975</v>
      </c>
      <c r="G159" s="156">
        <f t="shared" si="118"/>
        <v>0.465</v>
      </c>
      <c r="H159" s="240">
        <v>240.0</v>
      </c>
      <c r="I159" s="158">
        <f>ROUND(H159*1.1667,0)*0.9</f>
        <v>252</v>
      </c>
      <c r="J159" s="159">
        <f>ROUND((I159*0.873)*1.21,0)*(C159*D159*E159)</f>
        <v>18.5535</v>
      </c>
      <c r="K159" s="160">
        <f t="shared" si="121"/>
        <v>39.9</v>
      </c>
      <c r="L159" s="161">
        <f t="shared" si="132"/>
        <v>8</v>
      </c>
      <c r="M159" s="241">
        <f t="shared" si="123"/>
        <v>0.558</v>
      </c>
      <c r="N159" s="163">
        <f t="shared" si="124"/>
        <v>3.72</v>
      </c>
      <c r="O159" s="246"/>
      <c r="P159" s="165" t="str">
        <f t="shared" si="125"/>
        <v/>
      </c>
      <c r="Q159" s="166"/>
      <c r="R159" s="243"/>
      <c r="S159" s="165">
        <f t="shared" si="126"/>
        <v>0</v>
      </c>
      <c r="T159" s="244">
        <v>8.0</v>
      </c>
      <c r="U159" s="169">
        <f t="shared" si="127"/>
        <v>148.428</v>
      </c>
      <c r="V159" s="38" t="str">
        <f t="shared" si="139"/>
        <v/>
      </c>
      <c r="W159" s="38" t="str">
        <f t="shared" si="140"/>
        <v/>
      </c>
      <c r="X159" s="11"/>
      <c r="Y159" s="11"/>
      <c r="Z159" s="11"/>
      <c r="AA159" s="11"/>
    </row>
    <row r="160" ht="13.5" customHeight="1" outlineLevel="1">
      <c r="A160" s="315"/>
      <c r="B160" s="85"/>
      <c r="C160" s="238">
        <v>0.15</v>
      </c>
      <c r="D160" s="239">
        <v>0.15</v>
      </c>
      <c r="E160" s="245">
        <v>4.9</v>
      </c>
      <c r="F160" s="156">
        <f t="shared" si="117"/>
        <v>0.11025</v>
      </c>
      <c r="G160" s="156">
        <f t="shared" si="118"/>
        <v>0.735</v>
      </c>
      <c r="H160" s="332">
        <v>240.0</v>
      </c>
      <c r="I160" s="158">
        <f t="shared" ref="I160:I162" si="143">ROUND(H160*1.1667,0)</f>
        <v>280</v>
      </c>
      <c r="J160" s="159">
        <f t="shared" ref="J160:J162" si="144">ROUND((I160*0.992)*1.21,0)*(C160*D160*E160)</f>
        <v>37.044</v>
      </c>
      <c r="K160" s="160">
        <f t="shared" si="121"/>
        <v>50.4</v>
      </c>
      <c r="L160" s="161">
        <f t="shared" si="132"/>
        <v>20</v>
      </c>
      <c r="M160" s="241">
        <f t="shared" si="123"/>
        <v>2.205</v>
      </c>
      <c r="N160" s="163">
        <f t="shared" si="124"/>
        <v>14.7</v>
      </c>
      <c r="O160" s="246"/>
      <c r="P160" s="165" t="str">
        <f t="shared" si="125"/>
        <v/>
      </c>
      <c r="Q160" s="166"/>
      <c r="R160" s="243"/>
      <c r="S160" s="165">
        <f t="shared" si="126"/>
        <v>0</v>
      </c>
      <c r="T160" s="244">
        <v>20.0</v>
      </c>
      <c r="U160" s="169">
        <f t="shared" si="127"/>
        <v>740.88</v>
      </c>
      <c r="V160" s="38" t="str">
        <f t="shared" si="139"/>
        <v/>
      </c>
      <c r="W160" s="38" t="str">
        <f t="shared" si="140"/>
        <v/>
      </c>
      <c r="X160" s="11"/>
      <c r="Y160" s="11"/>
      <c r="Z160" s="11"/>
      <c r="AA160" s="11"/>
    </row>
    <row r="161" ht="13.5" customHeight="1" outlineLevel="1">
      <c r="A161" s="315"/>
      <c r="B161" s="85"/>
      <c r="C161" s="238">
        <v>0.15</v>
      </c>
      <c r="D161" s="239">
        <v>0.15</v>
      </c>
      <c r="E161" s="245">
        <v>6.0</v>
      </c>
      <c r="F161" s="156">
        <f t="shared" si="117"/>
        <v>0.135</v>
      </c>
      <c r="G161" s="156">
        <f t="shared" si="118"/>
        <v>0.9</v>
      </c>
      <c r="H161" s="240">
        <v>240.0</v>
      </c>
      <c r="I161" s="158">
        <f t="shared" si="143"/>
        <v>280</v>
      </c>
      <c r="J161" s="159">
        <f t="shared" si="144"/>
        <v>45.36</v>
      </c>
      <c r="K161" s="160">
        <f t="shared" si="121"/>
        <v>50.4</v>
      </c>
      <c r="L161" s="161">
        <f t="shared" si="132"/>
        <v>18</v>
      </c>
      <c r="M161" s="241">
        <f t="shared" si="123"/>
        <v>2.43</v>
      </c>
      <c r="N161" s="163">
        <f t="shared" si="124"/>
        <v>16.2</v>
      </c>
      <c r="O161" s="246"/>
      <c r="P161" s="165" t="str">
        <f t="shared" si="125"/>
        <v/>
      </c>
      <c r="Q161" s="166"/>
      <c r="R161" s="247"/>
      <c r="S161" s="165">
        <f t="shared" si="126"/>
        <v>0</v>
      </c>
      <c r="T161" s="244">
        <v>18.0</v>
      </c>
      <c r="U161" s="169">
        <f t="shared" si="127"/>
        <v>816.48</v>
      </c>
      <c r="V161" s="38" t="str">
        <f t="shared" si="139"/>
        <v/>
      </c>
      <c r="W161" s="38" t="str">
        <f t="shared" si="140"/>
        <v/>
      </c>
      <c r="X161" s="11"/>
      <c r="Y161" s="11"/>
      <c r="Z161" s="11"/>
      <c r="AA161" s="11"/>
    </row>
    <row r="162" ht="13.5" customHeight="1" outlineLevel="1">
      <c r="A162" s="315"/>
      <c r="B162" s="85"/>
      <c r="C162" s="238">
        <v>0.15</v>
      </c>
      <c r="D162" s="239">
        <v>0.2</v>
      </c>
      <c r="E162" s="245">
        <v>4.9</v>
      </c>
      <c r="F162" s="156">
        <f t="shared" si="117"/>
        <v>0.147</v>
      </c>
      <c r="G162" s="156">
        <f t="shared" si="118"/>
        <v>0.98</v>
      </c>
      <c r="H162" s="240">
        <v>240.0</v>
      </c>
      <c r="I162" s="158">
        <f t="shared" si="143"/>
        <v>280</v>
      </c>
      <c r="J162" s="159">
        <f t="shared" si="144"/>
        <v>49.392</v>
      </c>
      <c r="K162" s="160">
        <f t="shared" si="121"/>
        <v>50.4</v>
      </c>
      <c r="L162" s="161">
        <f t="shared" si="132"/>
        <v>21</v>
      </c>
      <c r="M162" s="241">
        <f t="shared" si="123"/>
        <v>3.087</v>
      </c>
      <c r="N162" s="163">
        <f t="shared" si="124"/>
        <v>20.58</v>
      </c>
      <c r="O162" s="246"/>
      <c r="P162" s="165" t="str">
        <f t="shared" si="125"/>
        <v/>
      </c>
      <c r="Q162" s="166"/>
      <c r="R162" s="243"/>
      <c r="S162" s="165">
        <f t="shared" si="126"/>
        <v>0</v>
      </c>
      <c r="T162" s="244">
        <v>21.0</v>
      </c>
      <c r="U162" s="169">
        <f t="shared" si="127"/>
        <v>1037.232</v>
      </c>
      <c r="V162" s="38" t="str">
        <f t="shared" si="139"/>
        <v/>
      </c>
      <c r="W162" s="38" t="str">
        <f t="shared" si="140"/>
        <v/>
      </c>
      <c r="X162" s="11"/>
      <c r="Y162" s="11"/>
      <c r="Z162" s="11"/>
      <c r="AA162" s="11"/>
    </row>
    <row r="163" ht="13.5" customHeight="1" outlineLevel="1">
      <c r="A163" s="315"/>
      <c r="B163" s="85" t="s">
        <v>98</v>
      </c>
      <c r="C163" s="238">
        <v>0.15</v>
      </c>
      <c r="D163" s="239">
        <v>0.2</v>
      </c>
      <c r="E163" s="245">
        <v>6.0</v>
      </c>
      <c r="F163" s="156">
        <f t="shared" si="117"/>
        <v>0.18</v>
      </c>
      <c r="G163" s="156">
        <f t="shared" si="118"/>
        <v>1.2</v>
      </c>
      <c r="H163" s="240">
        <v>240.0</v>
      </c>
      <c r="I163" s="158">
        <f>ROUND(H163*1.1667,0)*0.9</f>
        <v>252</v>
      </c>
      <c r="J163" s="159">
        <f>ROUND((I163*0.873)*1.21,0)*(C163*D163*E163)</f>
        <v>47.88</v>
      </c>
      <c r="K163" s="160">
        <f t="shared" si="121"/>
        <v>39.9</v>
      </c>
      <c r="L163" s="161">
        <f t="shared" si="132"/>
        <v>2</v>
      </c>
      <c r="M163" s="241">
        <f t="shared" si="123"/>
        <v>0.36</v>
      </c>
      <c r="N163" s="163">
        <f t="shared" si="124"/>
        <v>2.4</v>
      </c>
      <c r="O163" s="252"/>
      <c r="P163" s="165" t="str">
        <f t="shared" si="125"/>
        <v/>
      </c>
      <c r="Q163" s="172"/>
      <c r="R163" s="243"/>
      <c r="S163" s="165">
        <f t="shared" si="126"/>
        <v>0</v>
      </c>
      <c r="T163" s="244">
        <v>2.0</v>
      </c>
      <c r="U163" s="169">
        <f t="shared" si="127"/>
        <v>95.76</v>
      </c>
      <c r="V163" s="38" t="str">
        <f t="shared" si="139"/>
        <v/>
      </c>
      <c r="W163" s="38" t="str">
        <f t="shared" si="140"/>
        <v/>
      </c>
      <c r="X163" s="11"/>
      <c r="Y163" s="11"/>
      <c r="Z163" s="11"/>
      <c r="AA163" s="11"/>
    </row>
    <row r="164" ht="13.5" customHeight="1" outlineLevel="1">
      <c r="A164" s="315"/>
      <c r="B164" s="85"/>
      <c r="C164" s="238">
        <v>0.15</v>
      </c>
      <c r="D164" s="239">
        <v>0.25</v>
      </c>
      <c r="E164" s="245">
        <v>6.0</v>
      </c>
      <c r="F164" s="156">
        <f t="shared" si="117"/>
        <v>0.225</v>
      </c>
      <c r="G164" s="156">
        <f t="shared" si="118"/>
        <v>1.5</v>
      </c>
      <c r="H164" s="240">
        <v>240.0</v>
      </c>
      <c r="I164" s="158">
        <f t="shared" ref="I164:I171" si="145">ROUND(H164*1.1667,0)</f>
        <v>280</v>
      </c>
      <c r="J164" s="159">
        <f t="shared" ref="J164:J166" si="146">ROUND((I164*0.992)*1.21,0)*(C164*D164*E164)</f>
        <v>75.6</v>
      </c>
      <c r="K164" s="160">
        <f t="shared" si="121"/>
        <v>50.4</v>
      </c>
      <c r="L164" s="161">
        <f t="shared" si="132"/>
        <v>20</v>
      </c>
      <c r="M164" s="241">
        <f t="shared" si="123"/>
        <v>4.5</v>
      </c>
      <c r="N164" s="163">
        <f t="shared" si="124"/>
        <v>30</v>
      </c>
      <c r="O164" s="252"/>
      <c r="P164" s="165" t="str">
        <f t="shared" si="125"/>
        <v/>
      </c>
      <c r="Q164" s="172"/>
      <c r="R164" s="243"/>
      <c r="S164" s="165">
        <f t="shared" si="126"/>
        <v>0</v>
      </c>
      <c r="T164" s="244">
        <v>20.0</v>
      </c>
      <c r="U164" s="169">
        <f t="shared" si="127"/>
        <v>1512</v>
      </c>
      <c r="V164" s="38" t="str">
        <f t="shared" si="139"/>
        <v/>
      </c>
      <c r="W164" s="38" t="str">
        <f t="shared" si="140"/>
        <v/>
      </c>
      <c r="X164" s="11"/>
      <c r="Y164" s="11"/>
      <c r="Z164" s="11"/>
      <c r="AA164" s="11"/>
    </row>
    <row r="165" ht="13.5" customHeight="1" outlineLevel="1">
      <c r="A165" s="315"/>
      <c r="B165" s="85"/>
      <c r="C165" s="238">
        <v>0.2</v>
      </c>
      <c r="D165" s="239">
        <v>0.2</v>
      </c>
      <c r="E165" s="245">
        <v>6.0</v>
      </c>
      <c r="F165" s="156">
        <f t="shared" si="117"/>
        <v>0.24</v>
      </c>
      <c r="G165" s="156">
        <f t="shared" si="118"/>
        <v>1.2</v>
      </c>
      <c r="H165" s="240">
        <v>240.0</v>
      </c>
      <c r="I165" s="158">
        <f t="shared" si="145"/>
        <v>280</v>
      </c>
      <c r="J165" s="159">
        <f t="shared" si="146"/>
        <v>80.64</v>
      </c>
      <c r="K165" s="160">
        <f t="shared" si="121"/>
        <v>67.2</v>
      </c>
      <c r="L165" s="161">
        <f t="shared" si="132"/>
        <v>17</v>
      </c>
      <c r="M165" s="241">
        <f t="shared" si="123"/>
        <v>4.08</v>
      </c>
      <c r="N165" s="163">
        <f t="shared" si="124"/>
        <v>20.4</v>
      </c>
      <c r="O165" s="252"/>
      <c r="P165" s="165" t="str">
        <f t="shared" si="125"/>
        <v/>
      </c>
      <c r="Q165" s="172"/>
      <c r="R165" s="243"/>
      <c r="S165" s="165">
        <f t="shared" si="126"/>
        <v>0</v>
      </c>
      <c r="T165" s="244">
        <v>17.0</v>
      </c>
      <c r="U165" s="169">
        <f t="shared" si="127"/>
        <v>1370.88</v>
      </c>
      <c r="V165" s="38" t="str">
        <f t="shared" si="139"/>
        <v/>
      </c>
      <c r="W165" s="38" t="str">
        <f t="shared" si="140"/>
        <v/>
      </c>
      <c r="X165" s="11"/>
      <c r="Y165" s="11"/>
      <c r="Z165" s="11"/>
      <c r="AA165" s="11"/>
    </row>
    <row r="166" ht="13.5" customHeight="1" outlineLevel="1">
      <c r="A166" s="315"/>
      <c r="B166" s="85" t="s">
        <v>99</v>
      </c>
      <c r="C166" s="238">
        <v>0.05</v>
      </c>
      <c r="D166" s="239">
        <v>0.05</v>
      </c>
      <c r="E166" s="245">
        <v>1.5</v>
      </c>
      <c r="F166" s="156">
        <f t="shared" si="117"/>
        <v>0.00375</v>
      </c>
      <c r="G166" s="156">
        <f t="shared" si="118"/>
        <v>0.075</v>
      </c>
      <c r="H166" s="240">
        <v>255.0</v>
      </c>
      <c r="I166" s="158">
        <f t="shared" si="145"/>
        <v>298</v>
      </c>
      <c r="J166" s="159">
        <f t="shared" si="146"/>
        <v>1.3425</v>
      </c>
      <c r="K166" s="160">
        <f t="shared" si="121"/>
        <v>17.9</v>
      </c>
      <c r="L166" s="161">
        <f t="shared" si="132"/>
        <v>127</v>
      </c>
      <c r="M166" s="241">
        <f t="shared" si="123"/>
        <v>0.47625</v>
      </c>
      <c r="N166" s="163">
        <f t="shared" si="124"/>
        <v>9.525</v>
      </c>
      <c r="O166" s="275"/>
      <c r="P166" s="165" t="str">
        <f t="shared" si="125"/>
        <v/>
      </c>
      <c r="Q166" s="172"/>
      <c r="R166" s="243"/>
      <c r="S166" s="165">
        <f t="shared" si="126"/>
        <v>0</v>
      </c>
      <c r="T166" s="244">
        <v>127.0</v>
      </c>
      <c r="U166" s="169">
        <f t="shared" si="127"/>
        <v>170.4975</v>
      </c>
      <c r="V166" s="38" t="str">
        <f t="shared" si="139"/>
        <v/>
      </c>
      <c r="W166" s="38" t="str">
        <f t="shared" si="140"/>
        <v/>
      </c>
      <c r="X166" s="11"/>
      <c r="Y166" s="11"/>
      <c r="Z166" s="11"/>
      <c r="AA166" s="11"/>
    </row>
    <row r="167" ht="13.5" customHeight="1" outlineLevel="1">
      <c r="A167" s="315"/>
      <c r="B167" s="85" t="s">
        <v>99</v>
      </c>
      <c r="C167" s="238">
        <v>0.07</v>
      </c>
      <c r="D167" s="239">
        <v>0.07</v>
      </c>
      <c r="E167" s="245">
        <v>1.8</v>
      </c>
      <c r="F167" s="156">
        <f t="shared" si="117"/>
        <v>0.00882</v>
      </c>
      <c r="G167" s="156">
        <f t="shared" si="118"/>
        <v>0.126</v>
      </c>
      <c r="H167" s="240">
        <v>255.0</v>
      </c>
      <c r="I167" s="158">
        <f t="shared" si="145"/>
        <v>298</v>
      </c>
      <c r="J167" s="159">
        <f t="shared" ref="J167:J171" si="147">ROUND((I167*0.855)*1.21,0)*(C167*D167*E167)</f>
        <v>2.71656</v>
      </c>
      <c r="K167" s="160">
        <f t="shared" si="121"/>
        <v>21.56</v>
      </c>
      <c r="L167" s="161">
        <f t="shared" si="132"/>
        <v>69</v>
      </c>
      <c r="M167" s="241">
        <f t="shared" si="123"/>
        <v>0.60858</v>
      </c>
      <c r="N167" s="163">
        <f t="shared" si="124"/>
        <v>8.694</v>
      </c>
      <c r="O167" s="345"/>
      <c r="P167" s="165" t="str">
        <f t="shared" si="125"/>
        <v/>
      </c>
      <c r="Q167" s="166"/>
      <c r="R167" s="243"/>
      <c r="S167" s="165">
        <f t="shared" si="126"/>
        <v>0</v>
      </c>
      <c r="T167" s="244">
        <v>69.0</v>
      </c>
      <c r="U167" s="169">
        <f t="shared" si="127"/>
        <v>187.44264</v>
      </c>
      <c r="V167" s="38" t="str">
        <f t="shared" si="139"/>
        <v/>
      </c>
      <c r="W167" s="38" t="str">
        <f t="shared" si="140"/>
        <v/>
      </c>
      <c r="X167" s="11"/>
      <c r="Y167" s="11"/>
      <c r="Z167" s="11"/>
      <c r="AA167" s="11"/>
    </row>
    <row r="168" ht="13.5" customHeight="1" outlineLevel="1">
      <c r="A168" s="315"/>
      <c r="B168" s="85" t="s">
        <v>99</v>
      </c>
      <c r="C168" s="238">
        <v>0.085</v>
      </c>
      <c r="D168" s="239">
        <v>0.085</v>
      </c>
      <c r="E168" s="245">
        <v>1.8</v>
      </c>
      <c r="F168" s="156">
        <f t="shared" si="117"/>
        <v>0.013005</v>
      </c>
      <c r="G168" s="156">
        <f t="shared" si="118"/>
        <v>0.153</v>
      </c>
      <c r="H168" s="240">
        <v>255.0</v>
      </c>
      <c r="I168" s="158">
        <f t="shared" si="145"/>
        <v>298</v>
      </c>
      <c r="J168" s="159">
        <f t="shared" si="147"/>
        <v>4.00554</v>
      </c>
      <c r="K168" s="160">
        <f t="shared" si="121"/>
        <v>26.18</v>
      </c>
      <c r="L168" s="161">
        <f t="shared" si="132"/>
        <v>78</v>
      </c>
      <c r="M168" s="241">
        <f t="shared" si="123"/>
        <v>1.01439</v>
      </c>
      <c r="N168" s="163">
        <f t="shared" si="124"/>
        <v>11.934</v>
      </c>
      <c r="O168" s="275"/>
      <c r="P168" s="165" t="str">
        <f t="shared" si="125"/>
        <v/>
      </c>
      <c r="Q168" s="172"/>
      <c r="R168" s="243"/>
      <c r="S168" s="165">
        <f t="shared" si="126"/>
        <v>0</v>
      </c>
      <c r="T168" s="244">
        <v>78.0</v>
      </c>
      <c r="U168" s="169">
        <f t="shared" si="127"/>
        <v>312.43212</v>
      </c>
      <c r="V168" s="38" t="str">
        <f t="shared" si="139"/>
        <v/>
      </c>
      <c r="W168" s="38" t="str">
        <f t="shared" si="140"/>
        <v/>
      </c>
      <c r="X168" s="11"/>
      <c r="Y168" s="11"/>
      <c r="Z168" s="11"/>
      <c r="AA168" s="11"/>
    </row>
    <row r="169" ht="13.5" customHeight="1" outlineLevel="1">
      <c r="A169" s="315"/>
      <c r="B169" s="85" t="s">
        <v>99</v>
      </c>
      <c r="C169" s="238">
        <v>0.09</v>
      </c>
      <c r="D169" s="239">
        <v>0.09</v>
      </c>
      <c r="E169" s="245">
        <v>1.8</v>
      </c>
      <c r="F169" s="156">
        <f t="shared" si="117"/>
        <v>0.01458</v>
      </c>
      <c r="G169" s="156">
        <f t="shared" si="118"/>
        <v>0.162</v>
      </c>
      <c r="H169" s="240">
        <v>255.0</v>
      </c>
      <c r="I169" s="158">
        <f t="shared" si="145"/>
        <v>298</v>
      </c>
      <c r="J169" s="159">
        <f t="shared" si="147"/>
        <v>4.49064</v>
      </c>
      <c r="K169" s="160">
        <f t="shared" si="121"/>
        <v>27.72</v>
      </c>
      <c r="L169" s="161">
        <f t="shared" si="132"/>
        <v>85</v>
      </c>
      <c r="M169" s="241">
        <f t="shared" si="123"/>
        <v>1.2393</v>
      </c>
      <c r="N169" s="163">
        <f t="shared" si="124"/>
        <v>13.77</v>
      </c>
      <c r="O169" s="275"/>
      <c r="P169" s="165" t="str">
        <f t="shared" si="125"/>
        <v/>
      </c>
      <c r="Q169" s="172"/>
      <c r="R169" s="243"/>
      <c r="S169" s="165">
        <f t="shared" si="126"/>
        <v>0</v>
      </c>
      <c r="T169" s="244">
        <v>85.0</v>
      </c>
      <c r="U169" s="169">
        <f t="shared" si="127"/>
        <v>381.7044</v>
      </c>
      <c r="V169" s="38" t="str">
        <f t="shared" si="139"/>
        <v/>
      </c>
      <c r="W169" s="38" t="str">
        <f t="shared" si="140"/>
        <v/>
      </c>
      <c r="X169" s="11"/>
      <c r="Y169" s="11"/>
      <c r="Z169" s="11"/>
      <c r="AA169" s="11"/>
    </row>
    <row r="170" ht="13.5" customHeight="1" outlineLevel="1">
      <c r="A170" s="315"/>
      <c r="B170" s="85" t="s">
        <v>99</v>
      </c>
      <c r="C170" s="238">
        <v>0.1</v>
      </c>
      <c r="D170" s="239">
        <v>0.1</v>
      </c>
      <c r="E170" s="245">
        <v>1.8</v>
      </c>
      <c r="F170" s="156">
        <f t="shared" si="117"/>
        <v>0.018</v>
      </c>
      <c r="G170" s="156">
        <f t="shared" si="118"/>
        <v>0.18</v>
      </c>
      <c r="H170" s="240">
        <v>255.0</v>
      </c>
      <c r="I170" s="158">
        <f t="shared" si="145"/>
        <v>298</v>
      </c>
      <c r="J170" s="159">
        <f t="shared" si="147"/>
        <v>5.544</v>
      </c>
      <c r="K170" s="160">
        <f t="shared" si="121"/>
        <v>30.8</v>
      </c>
      <c r="L170" s="161">
        <f t="shared" si="132"/>
        <v>303</v>
      </c>
      <c r="M170" s="241">
        <f t="shared" si="123"/>
        <v>5.454</v>
      </c>
      <c r="N170" s="163">
        <f t="shared" si="124"/>
        <v>54.54</v>
      </c>
      <c r="O170" s="275"/>
      <c r="P170" s="165" t="str">
        <f t="shared" si="125"/>
        <v/>
      </c>
      <c r="Q170" s="172"/>
      <c r="R170" s="243"/>
      <c r="S170" s="165">
        <f t="shared" si="126"/>
        <v>0</v>
      </c>
      <c r="T170" s="244">
        <v>303.0</v>
      </c>
      <c r="U170" s="169">
        <f t="shared" si="127"/>
        <v>1679.832</v>
      </c>
      <c r="V170" s="38" t="str">
        <f t="shared" si="139"/>
        <v/>
      </c>
      <c r="W170" s="38" t="str">
        <f t="shared" si="140"/>
        <v/>
      </c>
      <c r="X170" s="11"/>
      <c r="Y170" s="11"/>
      <c r="Z170" s="11"/>
      <c r="AA170" s="11"/>
    </row>
    <row r="171" ht="13.5" customHeight="1" outlineLevel="1">
      <c r="A171" s="315"/>
      <c r="B171" s="251" t="s">
        <v>100</v>
      </c>
      <c r="C171" s="238">
        <v>0.05</v>
      </c>
      <c r="D171" s="239">
        <v>0.1</v>
      </c>
      <c r="E171" s="245">
        <v>3.6</v>
      </c>
      <c r="F171" s="156">
        <f t="shared" si="117"/>
        <v>0.018</v>
      </c>
      <c r="G171" s="156">
        <f t="shared" si="118"/>
        <v>0.36</v>
      </c>
      <c r="H171" s="240">
        <v>255.0</v>
      </c>
      <c r="I171" s="158">
        <f t="shared" si="145"/>
        <v>298</v>
      </c>
      <c r="J171" s="159">
        <f t="shared" si="147"/>
        <v>5.544</v>
      </c>
      <c r="K171" s="160">
        <f t="shared" si="121"/>
        <v>15.4</v>
      </c>
      <c r="L171" s="161">
        <f t="shared" si="132"/>
        <v>292</v>
      </c>
      <c r="M171" s="241">
        <f t="shared" si="123"/>
        <v>5.256</v>
      </c>
      <c r="N171" s="163">
        <f t="shared" si="124"/>
        <v>105.12</v>
      </c>
      <c r="O171" s="275"/>
      <c r="P171" s="165" t="str">
        <f t="shared" si="125"/>
        <v/>
      </c>
      <c r="Q171" s="172"/>
      <c r="R171" s="243"/>
      <c r="S171" s="165">
        <f t="shared" si="126"/>
        <v>0</v>
      </c>
      <c r="T171" s="244">
        <v>292.0</v>
      </c>
      <c r="U171" s="169">
        <f t="shared" si="127"/>
        <v>1618.848</v>
      </c>
      <c r="V171" s="38" t="str">
        <f t="shared" si="139"/>
        <v/>
      </c>
      <c r="W171" s="38" t="str">
        <f t="shared" si="140"/>
        <v/>
      </c>
      <c r="X171" s="11"/>
      <c r="Y171" s="11"/>
      <c r="Z171" s="11"/>
      <c r="AA171" s="11"/>
    </row>
    <row r="172" ht="13.5" customHeight="1" outlineLevel="1">
      <c r="A172" s="315"/>
      <c r="B172" s="449" t="s">
        <v>101</v>
      </c>
      <c r="C172" s="238">
        <v>0.025</v>
      </c>
      <c r="D172" s="239">
        <v>0.05</v>
      </c>
      <c r="E172" s="245">
        <v>1.0</v>
      </c>
      <c r="F172" s="156">
        <f t="shared" si="117"/>
        <v>0.00125</v>
      </c>
      <c r="G172" s="156">
        <f t="shared" si="118"/>
        <v>0.05</v>
      </c>
      <c r="H172" s="240">
        <v>240.0</v>
      </c>
      <c r="I172" s="158">
        <f>ROUND(H172*0.6,0)</f>
        <v>144</v>
      </c>
      <c r="J172" s="159">
        <f>ROUND((I172*0.992)*1.21,0)*(C172*D172*E172)</f>
        <v>0.21625</v>
      </c>
      <c r="K172" s="160">
        <f t="shared" si="121"/>
        <v>4.325</v>
      </c>
      <c r="L172" s="161">
        <f t="shared" si="132"/>
        <v>995</v>
      </c>
      <c r="M172" s="241">
        <f t="shared" si="123"/>
        <v>1.24375</v>
      </c>
      <c r="N172" s="163">
        <f t="shared" si="124"/>
        <v>49.75</v>
      </c>
      <c r="O172" s="246"/>
      <c r="P172" s="165" t="str">
        <f t="shared" si="125"/>
        <v/>
      </c>
      <c r="Q172" s="166"/>
      <c r="R172" s="243"/>
      <c r="S172" s="165">
        <f t="shared" si="126"/>
        <v>0</v>
      </c>
      <c r="T172" s="244">
        <v>995.0</v>
      </c>
      <c r="U172" s="169">
        <f t="shared" si="127"/>
        <v>215.16875</v>
      </c>
      <c r="V172" s="38" t="str">
        <f t="shared" si="139"/>
        <v/>
      </c>
      <c r="W172" s="38" t="str">
        <f t="shared" si="140"/>
        <v/>
      </c>
      <c r="X172" s="11"/>
      <c r="Y172" s="11"/>
      <c r="Z172" s="11"/>
      <c r="AA172" s="11"/>
    </row>
    <row r="173" ht="13.5" customHeight="1">
      <c r="A173" s="315"/>
      <c r="B173" s="211" t="s">
        <v>56</v>
      </c>
      <c r="C173" s="298"/>
      <c r="D173" s="298"/>
      <c r="E173" s="298"/>
      <c r="F173" s="298"/>
      <c r="G173" s="298"/>
      <c r="H173" s="215">
        <f t="shared" ref="H173:I173" si="148">AVERAGE(H110:H172)</f>
        <v>256.5150956</v>
      </c>
      <c r="I173" s="215">
        <f t="shared" si="148"/>
        <v>288.1129032</v>
      </c>
      <c r="J173" s="216"/>
      <c r="K173" s="214">
        <f>AVERAGE(K110:K172)</f>
        <v>21.72803226</v>
      </c>
      <c r="L173" s="217"/>
      <c r="M173" s="211">
        <f>SUM(M110:M172)</f>
        <v>289.92724</v>
      </c>
      <c r="N173" s="301"/>
      <c r="O173" s="346"/>
      <c r="P173" s="214">
        <f t="shared" ref="P173:Q173" si="149">SUM(P110:P172)</f>
        <v>0</v>
      </c>
      <c r="Q173" s="216">
        <f t="shared" si="149"/>
        <v>0</v>
      </c>
      <c r="R173" s="347"/>
      <c r="S173" s="214">
        <f>SUM(S110:S172)</f>
        <v>0</v>
      </c>
      <c r="T173" s="224"/>
      <c r="U173" s="348">
        <f>SUM(U110:U172)</f>
        <v>97060.82503</v>
      </c>
      <c r="V173" s="38"/>
      <c r="W173" s="38" t="str">
        <f t="shared" si="140"/>
        <v/>
      </c>
      <c r="X173" s="11"/>
      <c r="Y173" s="11"/>
      <c r="Z173" s="11"/>
      <c r="AA173" s="11"/>
    </row>
    <row r="174" ht="13.5" customHeight="1">
      <c r="A174" s="315"/>
      <c r="B174" s="264" t="s">
        <v>102</v>
      </c>
      <c r="C174" s="226"/>
      <c r="D174" s="226"/>
      <c r="E174" s="226"/>
      <c r="F174" s="226"/>
      <c r="G174" s="226"/>
      <c r="H174" s="226"/>
      <c r="I174" s="230"/>
      <c r="J174" s="231"/>
      <c r="K174" s="226"/>
      <c r="L174" s="226"/>
      <c r="M174" s="226"/>
      <c r="N174" s="232"/>
      <c r="O174" s="260"/>
      <c r="P174" s="226"/>
      <c r="Q174" s="261"/>
      <c r="R174" s="236"/>
      <c r="S174" s="226"/>
      <c r="T174" s="226"/>
      <c r="U174" s="237"/>
      <c r="V174" s="38"/>
      <c r="W174" s="38" t="str">
        <f t="shared" si="140"/>
        <v/>
      </c>
      <c r="X174" s="11"/>
      <c r="Y174" s="11"/>
      <c r="Z174" s="11"/>
      <c r="AA174" s="11"/>
    </row>
    <row r="175" ht="13.5" customHeight="1" outlineLevel="1">
      <c r="A175" s="315"/>
      <c r="B175" s="85" t="s">
        <v>93</v>
      </c>
      <c r="C175" s="238">
        <v>0.01</v>
      </c>
      <c r="D175" s="239">
        <v>0.04</v>
      </c>
      <c r="E175" s="245">
        <v>1.1</v>
      </c>
      <c r="F175" s="156">
        <f t="shared" ref="F175:F180" si="150">C175*D175*E175</f>
        <v>0.00044</v>
      </c>
      <c r="G175" s="156">
        <f t="shared" ref="G175:G180" si="151">D175*E175</f>
        <v>0.044</v>
      </c>
      <c r="H175" s="240">
        <v>228.8</v>
      </c>
      <c r="I175" s="158">
        <f>ROUND(H175*1.225,0)</f>
        <v>280</v>
      </c>
      <c r="J175" s="159">
        <f>ROUND((I175*1.7)*1.21,0)*(C175*D175*E175)</f>
        <v>0.25344</v>
      </c>
      <c r="K175" s="160">
        <f t="shared" ref="K175:K180" si="152">J175/(D175*E175)</f>
        <v>5.76</v>
      </c>
      <c r="L175" s="161">
        <f t="shared" ref="L175:L180" si="153">T175+R175-O175</f>
        <v>20</v>
      </c>
      <c r="M175" s="241">
        <f t="shared" ref="M175:M180" si="154">L175*F175</f>
        <v>0.0088</v>
      </c>
      <c r="N175" s="163">
        <f t="shared" ref="N175:N180" si="155">L175*G175</f>
        <v>0.88</v>
      </c>
      <c r="O175" s="246"/>
      <c r="P175" s="165" t="str">
        <f t="shared" ref="P175:P192" si="156">IF(O175="","",(O175*F175))</f>
        <v/>
      </c>
      <c r="Q175" s="166"/>
      <c r="R175" s="243"/>
      <c r="S175" s="165">
        <f t="shared" ref="S175:S180" si="157">R175*F175</f>
        <v>0</v>
      </c>
      <c r="T175" s="244">
        <v>20.0</v>
      </c>
      <c r="U175" s="169">
        <f t="shared" ref="U175:U180" si="158">J175*L175</f>
        <v>5.0688</v>
      </c>
      <c r="V175" s="38" t="str">
        <f t="shared" ref="V175:V180" si="159">IF(O175="","",Q175-(O175*(H175*F175)))</f>
        <v/>
      </c>
      <c r="W175" s="38" t="str">
        <f t="shared" si="140"/>
        <v/>
      </c>
      <c r="X175" s="11"/>
      <c r="Y175" s="11"/>
      <c r="Z175" s="11"/>
      <c r="AA175" s="11"/>
    </row>
    <row r="176" ht="13.5" customHeight="1" outlineLevel="1">
      <c r="A176" s="315"/>
      <c r="B176" s="85"/>
      <c r="C176" s="238">
        <v>0.021</v>
      </c>
      <c r="D176" s="239">
        <v>0.038</v>
      </c>
      <c r="E176" s="245">
        <v>4.8</v>
      </c>
      <c r="F176" s="156">
        <f t="shared" si="150"/>
        <v>0.0038304</v>
      </c>
      <c r="G176" s="156">
        <f t="shared" si="151"/>
        <v>0.1824</v>
      </c>
      <c r="H176" s="240">
        <v>343.0</v>
      </c>
      <c r="I176" s="158">
        <f t="shared" ref="I176:I180" si="160">ROUND(H176*1.1667,0)</f>
        <v>400</v>
      </c>
      <c r="J176" s="159">
        <f t="shared" ref="J176:J180" si="161">ROUND((I176*0.992)*1.21,0)*(C176*D176*E176)</f>
        <v>1.838592</v>
      </c>
      <c r="K176" s="160">
        <f t="shared" si="152"/>
        <v>10.08</v>
      </c>
      <c r="L176" s="161">
        <f t="shared" si="153"/>
        <v>1036</v>
      </c>
      <c r="M176" s="241">
        <f t="shared" si="154"/>
        <v>3.9682944</v>
      </c>
      <c r="N176" s="163">
        <f t="shared" si="155"/>
        <v>188.9664</v>
      </c>
      <c r="O176" s="246"/>
      <c r="P176" s="165" t="str">
        <f t="shared" si="156"/>
        <v/>
      </c>
      <c r="Q176" s="166"/>
      <c r="R176" s="243"/>
      <c r="S176" s="165">
        <f t="shared" si="157"/>
        <v>0</v>
      </c>
      <c r="T176" s="244">
        <v>1036.0</v>
      </c>
      <c r="U176" s="169">
        <f t="shared" si="158"/>
        <v>1904.781312</v>
      </c>
      <c r="V176" s="38" t="str">
        <f t="shared" si="159"/>
        <v/>
      </c>
      <c r="W176" s="38" t="str">
        <f t="shared" si="140"/>
        <v/>
      </c>
      <c r="X176" s="11"/>
      <c r="Y176" s="11"/>
      <c r="Z176" s="11"/>
      <c r="AA176" s="11"/>
    </row>
    <row r="177" ht="13.5" customHeight="1" outlineLevel="1">
      <c r="A177" s="315"/>
      <c r="B177" s="85"/>
      <c r="C177" s="238">
        <v>0.025</v>
      </c>
      <c r="D177" s="239">
        <v>0.045</v>
      </c>
      <c r="E177" s="245">
        <v>2.0</v>
      </c>
      <c r="F177" s="156">
        <f t="shared" si="150"/>
        <v>0.00225</v>
      </c>
      <c r="G177" s="156">
        <f t="shared" si="151"/>
        <v>0.09</v>
      </c>
      <c r="H177" s="240">
        <v>343.0</v>
      </c>
      <c r="I177" s="158">
        <f t="shared" si="160"/>
        <v>400</v>
      </c>
      <c r="J177" s="159">
        <f t="shared" si="161"/>
        <v>1.08</v>
      </c>
      <c r="K177" s="160">
        <f t="shared" si="152"/>
        <v>12</v>
      </c>
      <c r="L177" s="161">
        <f t="shared" si="153"/>
        <v>26</v>
      </c>
      <c r="M177" s="241">
        <f t="shared" si="154"/>
        <v>0.0585</v>
      </c>
      <c r="N177" s="163">
        <f t="shared" si="155"/>
        <v>2.34</v>
      </c>
      <c r="O177" s="246"/>
      <c r="P177" s="165" t="str">
        <f t="shared" si="156"/>
        <v/>
      </c>
      <c r="Q177" s="166"/>
      <c r="R177" s="247"/>
      <c r="S177" s="165">
        <f t="shared" si="157"/>
        <v>0</v>
      </c>
      <c r="T177" s="244">
        <v>26.0</v>
      </c>
      <c r="U177" s="169">
        <f t="shared" si="158"/>
        <v>28.08</v>
      </c>
      <c r="V177" s="38" t="str">
        <f t="shared" si="159"/>
        <v/>
      </c>
      <c r="W177" s="38" t="str">
        <f t="shared" si="140"/>
        <v/>
      </c>
      <c r="X177" s="11"/>
      <c r="Y177" s="11"/>
      <c r="Z177" s="11"/>
      <c r="AA177" s="11"/>
    </row>
    <row r="178" ht="13.5" customHeight="1" outlineLevel="1">
      <c r="A178" s="315"/>
      <c r="B178" s="85"/>
      <c r="C178" s="238">
        <v>0.027</v>
      </c>
      <c r="D178" s="239">
        <v>0.027</v>
      </c>
      <c r="E178" s="245">
        <v>2.4</v>
      </c>
      <c r="F178" s="156">
        <f t="shared" si="150"/>
        <v>0.0017496</v>
      </c>
      <c r="G178" s="156">
        <f t="shared" si="151"/>
        <v>0.0648</v>
      </c>
      <c r="H178" s="240">
        <v>400.0</v>
      </c>
      <c r="I178" s="158">
        <f t="shared" si="160"/>
        <v>467</v>
      </c>
      <c r="J178" s="159">
        <f t="shared" si="161"/>
        <v>0.9815256</v>
      </c>
      <c r="K178" s="160">
        <f t="shared" si="152"/>
        <v>15.147</v>
      </c>
      <c r="L178" s="161">
        <f t="shared" si="153"/>
        <v>1410</v>
      </c>
      <c r="M178" s="241">
        <f t="shared" si="154"/>
        <v>2.466936</v>
      </c>
      <c r="N178" s="163">
        <f t="shared" si="155"/>
        <v>91.368</v>
      </c>
      <c r="O178" s="246"/>
      <c r="P178" s="165" t="str">
        <f t="shared" si="156"/>
        <v/>
      </c>
      <c r="Q178" s="166"/>
      <c r="R178" s="243"/>
      <c r="S178" s="165">
        <f t="shared" si="157"/>
        <v>0</v>
      </c>
      <c r="T178" s="244">
        <v>1410.0</v>
      </c>
      <c r="U178" s="169">
        <f t="shared" si="158"/>
        <v>1383.951096</v>
      </c>
      <c r="V178" s="38" t="str">
        <f t="shared" si="159"/>
        <v/>
      </c>
      <c r="W178" s="38" t="str">
        <f t="shared" si="140"/>
        <v/>
      </c>
      <c r="X178" s="11"/>
      <c r="Y178" s="11"/>
      <c r="Z178" s="11"/>
      <c r="AA178" s="11"/>
    </row>
    <row r="179" ht="13.5" customHeight="1" outlineLevel="1">
      <c r="A179" s="315"/>
      <c r="B179" s="85"/>
      <c r="C179" s="238">
        <v>0.045</v>
      </c>
      <c r="D179" s="239">
        <v>0.095</v>
      </c>
      <c r="E179" s="245">
        <v>4.2</v>
      </c>
      <c r="F179" s="156">
        <f t="shared" si="150"/>
        <v>0.017955</v>
      </c>
      <c r="G179" s="156">
        <f t="shared" si="151"/>
        <v>0.399</v>
      </c>
      <c r="H179" s="240">
        <v>343.0</v>
      </c>
      <c r="I179" s="158">
        <f t="shared" si="160"/>
        <v>400</v>
      </c>
      <c r="J179" s="159">
        <f t="shared" si="161"/>
        <v>8.6184</v>
      </c>
      <c r="K179" s="160">
        <f t="shared" si="152"/>
        <v>21.6</v>
      </c>
      <c r="L179" s="161">
        <f t="shared" si="153"/>
        <v>185</v>
      </c>
      <c r="M179" s="241">
        <f t="shared" si="154"/>
        <v>3.321675</v>
      </c>
      <c r="N179" s="163">
        <f t="shared" si="155"/>
        <v>73.815</v>
      </c>
      <c r="O179" s="252"/>
      <c r="P179" s="165" t="str">
        <f t="shared" si="156"/>
        <v/>
      </c>
      <c r="Q179" s="172"/>
      <c r="R179" s="243"/>
      <c r="S179" s="165">
        <f t="shared" si="157"/>
        <v>0</v>
      </c>
      <c r="T179" s="244">
        <v>185.0</v>
      </c>
      <c r="U179" s="169">
        <f t="shared" si="158"/>
        <v>1594.404</v>
      </c>
      <c r="V179" s="38" t="str">
        <f t="shared" si="159"/>
        <v/>
      </c>
      <c r="W179" s="38" t="str">
        <f t="shared" si="140"/>
        <v/>
      </c>
      <c r="X179" s="11"/>
      <c r="Y179" s="11"/>
      <c r="Z179" s="11"/>
      <c r="AA179" s="11"/>
    </row>
    <row r="180" ht="13.5" customHeight="1" outlineLevel="1">
      <c r="A180" s="315"/>
      <c r="B180" s="85" t="s">
        <v>86</v>
      </c>
      <c r="C180" s="238">
        <v>0.045</v>
      </c>
      <c r="D180" s="239">
        <v>0.12</v>
      </c>
      <c r="E180" s="245">
        <v>2.4</v>
      </c>
      <c r="F180" s="156">
        <f t="shared" si="150"/>
        <v>0.01296</v>
      </c>
      <c r="G180" s="156">
        <f t="shared" si="151"/>
        <v>0.288</v>
      </c>
      <c r="H180" s="240">
        <v>343.0</v>
      </c>
      <c r="I180" s="158">
        <f t="shared" si="160"/>
        <v>400</v>
      </c>
      <c r="J180" s="159">
        <f t="shared" si="161"/>
        <v>6.2208</v>
      </c>
      <c r="K180" s="160">
        <f t="shared" si="152"/>
        <v>21.6</v>
      </c>
      <c r="L180" s="161">
        <f t="shared" si="153"/>
        <v>89</v>
      </c>
      <c r="M180" s="241">
        <f t="shared" si="154"/>
        <v>1.15344</v>
      </c>
      <c r="N180" s="163">
        <f t="shared" si="155"/>
        <v>25.632</v>
      </c>
      <c r="O180" s="252"/>
      <c r="P180" s="165" t="str">
        <f t="shared" si="156"/>
        <v/>
      </c>
      <c r="Q180" s="172"/>
      <c r="R180" s="243"/>
      <c r="S180" s="165">
        <f t="shared" si="157"/>
        <v>0</v>
      </c>
      <c r="T180" s="244">
        <v>89.0</v>
      </c>
      <c r="U180" s="169">
        <f t="shared" si="158"/>
        <v>553.6512</v>
      </c>
      <c r="V180" s="38" t="str">
        <f t="shared" si="159"/>
        <v/>
      </c>
      <c r="W180" s="38" t="str">
        <f t="shared" si="140"/>
        <v/>
      </c>
      <c r="X180" s="11"/>
      <c r="Y180" s="11"/>
      <c r="Z180" s="11"/>
      <c r="AA180" s="11"/>
    </row>
    <row r="181" ht="13.5" customHeight="1" outlineLevel="1">
      <c r="A181" s="315"/>
      <c r="B181" s="349" t="s">
        <v>103</v>
      </c>
      <c r="C181" s="238">
        <v>0.045</v>
      </c>
      <c r="D181" s="239">
        <v>0.12</v>
      </c>
      <c r="E181" s="245">
        <v>3.9</v>
      </c>
      <c r="F181" s="156"/>
      <c r="G181" s="156"/>
      <c r="H181" s="240"/>
      <c r="I181" s="158"/>
      <c r="J181" s="159"/>
      <c r="K181" s="160"/>
      <c r="L181" s="161"/>
      <c r="M181" s="241"/>
      <c r="N181" s="163"/>
      <c r="O181" s="252"/>
      <c r="P181" s="165" t="str">
        <f t="shared" si="156"/>
        <v/>
      </c>
      <c r="Q181" s="172"/>
      <c r="R181" s="243"/>
      <c r="S181" s="165"/>
      <c r="T181" s="244"/>
      <c r="U181" s="169"/>
      <c r="V181" s="38"/>
      <c r="W181" s="38" t="str">
        <f t="shared" si="140"/>
        <v/>
      </c>
      <c r="X181" s="11"/>
      <c r="Y181" s="11"/>
      <c r="Z181" s="11"/>
      <c r="AA181" s="11"/>
    </row>
    <row r="182" ht="13.5" customHeight="1" outlineLevel="1">
      <c r="A182" s="315"/>
      <c r="B182" s="349" t="s">
        <v>103</v>
      </c>
      <c r="C182" s="238">
        <v>0.045</v>
      </c>
      <c r="D182" s="239">
        <v>0.12</v>
      </c>
      <c r="E182" s="245">
        <v>4.2</v>
      </c>
      <c r="F182" s="156"/>
      <c r="G182" s="156"/>
      <c r="H182" s="240"/>
      <c r="I182" s="158"/>
      <c r="J182" s="159"/>
      <c r="K182" s="160"/>
      <c r="L182" s="161"/>
      <c r="M182" s="241"/>
      <c r="N182" s="163"/>
      <c r="O182" s="252"/>
      <c r="P182" s="165" t="str">
        <f t="shared" si="156"/>
        <v/>
      </c>
      <c r="Q182" s="172"/>
      <c r="R182" s="243"/>
      <c r="S182" s="165"/>
      <c r="T182" s="244"/>
      <c r="U182" s="169"/>
      <c r="V182" s="38"/>
      <c r="W182" s="38" t="str">
        <f t="shared" si="140"/>
        <v/>
      </c>
      <c r="X182" s="11"/>
      <c r="Y182" s="11"/>
      <c r="Z182" s="11"/>
      <c r="AA182" s="11"/>
    </row>
    <row r="183" ht="13.5" customHeight="1" outlineLevel="1">
      <c r="A183" s="315"/>
      <c r="B183" s="85"/>
      <c r="C183" s="238">
        <v>0.045</v>
      </c>
      <c r="D183" s="239">
        <v>0.12</v>
      </c>
      <c r="E183" s="245">
        <v>5.4</v>
      </c>
      <c r="F183" s="156">
        <f t="shared" ref="F183:F185" si="162">C183*D183*E183</f>
        <v>0.02916</v>
      </c>
      <c r="G183" s="156">
        <f t="shared" ref="G183:G185" si="163">D183*E183</f>
        <v>0.648</v>
      </c>
      <c r="H183" s="240">
        <v>343.0</v>
      </c>
      <c r="I183" s="158">
        <f t="shared" ref="I183:I185" si="164">ROUND(H183*1.1667,0)</f>
        <v>400</v>
      </c>
      <c r="J183" s="159">
        <f t="shared" ref="J183:J185" si="165">ROUND((I183*0.992)*1.21,0)*(C183*D183*E183)</f>
        <v>13.9968</v>
      </c>
      <c r="K183" s="160">
        <f t="shared" ref="K183:K185" si="166">J183/(D183*E183)</f>
        <v>21.6</v>
      </c>
      <c r="L183" s="161">
        <f t="shared" ref="L183:L185" si="167">T183+R183-O183</f>
        <v>57</v>
      </c>
      <c r="M183" s="241">
        <f t="shared" ref="M183:M185" si="168">L183*F183</f>
        <v>1.66212</v>
      </c>
      <c r="N183" s="163">
        <f t="shared" ref="N183:N185" si="169">L183*G183</f>
        <v>36.936</v>
      </c>
      <c r="O183" s="252"/>
      <c r="P183" s="165" t="str">
        <f t="shared" si="156"/>
        <v/>
      </c>
      <c r="Q183" s="172"/>
      <c r="R183" s="243"/>
      <c r="S183" s="165">
        <f t="shared" ref="S183:S185" si="170">R183*F183</f>
        <v>0</v>
      </c>
      <c r="T183" s="244">
        <v>57.0</v>
      </c>
      <c r="U183" s="169">
        <f t="shared" ref="U183:U185" si="171">J183*L183</f>
        <v>797.8176</v>
      </c>
      <c r="V183" s="38" t="str">
        <f t="shared" ref="V183:V185" si="172">IF(O183="","",Q183-(O183*(H183*F183)))</f>
        <v/>
      </c>
      <c r="W183" s="38" t="str">
        <f t="shared" si="140"/>
        <v/>
      </c>
      <c r="X183" s="11"/>
      <c r="Y183" s="11"/>
      <c r="Z183" s="11"/>
      <c r="AA183" s="11"/>
    </row>
    <row r="184" ht="13.5" customHeight="1" outlineLevel="1">
      <c r="A184" s="315"/>
      <c r="B184" s="85" t="s">
        <v>86</v>
      </c>
      <c r="C184" s="238">
        <v>0.045</v>
      </c>
      <c r="D184" s="239">
        <v>0.145</v>
      </c>
      <c r="E184" s="245">
        <v>2.4</v>
      </c>
      <c r="F184" s="156">
        <f t="shared" si="162"/>
        <v>0.01566</v>
      </c>
      <c r="G184" s="156">
        <f t="shared" si="163"/>
        <v>0.348</v>
      </c>
      <c r="H184" s="240">
        <v>343.0</v>
      </c>
      <c r="I184" s="158">
        <f t="shared" si="164"/>
        <v>400</v>
      </c>
      <c r="J184" s="159">
        <f t="shared" si="165"/>
        <v>7.5168</v>
      </c>
      <c r="K184" s="160">
        <f t="shared" si="166"/>
        <v>21.6</v>
      </c>
      <c r="L184" s="161">
        <f t="shared" si="167"/>
        <v>92</v>
      </c>
      <c r="M184" s="241">
        <f t="shared" si="168"/>
        <v>1.44072</v>
      </c>
      <c r="N184" s="163">
        <f t="shared" si="169"/>
        <v>32.016</v>
      </c>
      <c r="O184" s="246"/>
      <c r="P184" s="165" t="str">
        <f t="shared" si="156"/>
        <v/>
      </c>
      <c r="Q184" s="166"/>
      <c r="R184" s="243"/>
      <c r="S184" s="165">
        <f t="shared" si="170"/>
        <v>0</v>
      </c>
      <c r="T184" s="244">
        <v>92.0</v>
      </c>
      <c r="U184" s="169">
        <f t="shared" si="171"/>
        <v>691.5456</v>
      </c>
      <c r="V184" s="38" t="str">
        <f t="shared" si="172"/>
        <v/>
      </c>
      <c r="W184" s="38" t="str">
        <f t="shared" si="140"/>
        <v/>
      </c>
      <c r="X184" s="11"/>
      <c r="Y184" s="11"/>
      <c r="Z184" s="11"/>
      <c r="AA184" s="11"/>
    </row>
    <row r="185" ht="13.5" customHeight="1" outlineLevel="1">
      <c r="A185" s="315"/>
      <c r="B185" s="85"/>
      <c r="C185" s="238">
        <v>0.045</v>
      </c>
      <c r="D185" s="239">
        <v>0.145</v>
      </c>
      <c r="E185" s="245">
        <v>4.8</v>
      </c>
      <c r="F185" s="156">
        <f t="shared" si="162"/>
        <v>0.03132</v>
      </c>
      <c r="G185" s="156">
        <f t="shared" si="163"/>
        <v>0.696</v>
      </c>
      <c r="H185" s="240">
        <v>343.0</v>
      </c>
      <c r="I185" s="158">
        <f t="shared" si="164"/>
        <v>400</v>
      </c>
      <c r="J185" s="159">
        <f t="shared" si="165"/>
        <v>15.0336</v>
      </c>
      <c r="K185" s="160">
        <f t="shared" si="166"/>
        <v>21.6</v>
      </c>
      <c r="L185" s="161">
        <f t="shared" si="167"/>
        <v>1305</v>
      </c>
      <c r="M185" s="241">
        <f t="shared" si="168"/>
        <v>40.8726</v>
      </c>
      <c r="N185" s="163">
        <f t="shared" si="169"/>
        <v>908.28</v>
      </c>
      <c r="O185" s="246"/>
      <c r="P185" s="165" t="str">
        <f t="shared" si="156"/>
        <v/>
      </c>
      <c r="Q185" s="166"/>
      <c r="R185" s="243"/>
      <c r="S185" s="165">
        <f t="shared" si="170"/>
        <v>0</v>
      </c>
      <c r="T185" s="244">
        <v>1305.0</v>
      </c>
      <c r="U185" s="169">
        <f t="shared" si="171"/>
        <v>19618.848</v>
      </c>
      <c r="V185" s="38" t="str">
        <f t="shared" si="172"/>
        <v/>
      </c>
      <c r="W185" s="38" t="str">
        <f t="shared" si="140"/>
        <v/>
      </c>
      <c r="X185" s="11"/>
      <c r="Y185" s="11"/>
      <c r="Z185" s="11"/>
      <c r="AA185" s="11"/>
    </row>
    <row r="186" ht="13.5" customHeight="1" outlineLevel="1">
      <c r="A186" s="315"/>
      <c r="B186" s="349" t="s">
        <v>103</v>
      </c>
      <c r="C186" s="238">
        <v>0.045</v>
      </c>
      <c r="D186" s="239">
        <v>0.145</v>
      </c>
      <c r="E186" s="245">
        <v>4.8</v>
      </c>
      <c r="F186" s="156"/>
      <c r="G186" s="156"/>
      <c r="H186" s="240"/>
      <c r="I186" s="158"/>
      <c r="J186" s="159"/>
      <c r="K186" s="160"/>
      <c r="L186" s="161"/>
      <c r="M186" s="241"/>
      <c r="N186" s="163"/>
      <c r="O186" s="252"/>
      <c r="P186" s="165" t="str">
        <f t="shared" si="156"/>
        <v/>
      </c>
      <c r="Q186" s="166"/>
      <c r="R186" s="243"/>
      <c r="S186" s="165"/>
      <c r="T186" s="244"/>
      <c r="U186" s="169"/>
      <c r="V186" s="38"/>
      <c r="W186" s="38" t="str">
        <f t="shared" si="140"/>
        <v/>
      </c>
      <c r="X186" s="11"/>
      <c r="Y186" s="11"/>
      <c r="Z186" s="11"/>
      <c r="AA186" s="11"/>
    </row>
    <row r="187" ht="13.5" customHeight="1" outlineLevel="1">
      <c r="A187" s="315"/>
      <c r="B187" s="349" t="s">
        <v>103</v>
      </c>
      <c r="C187" s="238">
        <v>0.045</v>
      </c>
      <c r="D187" s="239">
        <v>0.145</v>
      </c>
      <c r="E187" s="245">
        <v>6.0</v>
      </c>
      <c r="F187" s="156"/>
      <c r="G187" s="156"/>
      <c r="H187" s="240"/>
      <c r="I187" s="158"/>
      <c r="J187" s="159"/>
      <c r="K187" s="160"/>
      <c r="L187" s="161"/>
      <c r="M187" s="241"/>
      <c r="N187" s="163"/>
      <c r="O187" s="252"/>
      <c r="P187" s="165" t="str">
        <f t="shared" si="156"/>
        <v/>
      </c>
      <c r="Q187" s="166"/>
      <c r="R187" s="243"/>
      <c r="S187" s="165"/>
      <c r="T187" s="244"/>
      <c r="U187" s="169"/>
      <c r="V187" s="38"/>
      <c r="W187" s="38" t="str">
        <f t="shared" si="140"/>
        <v/>
      </c>
      <c r="X187" s="11"/>
      <c r="Y187" s="11"/>
      <c r="Z187" s="11"/>
      <c r="AA187" s="11"/>
    </row>
    <row r="188" ht="13.5" customHeight="1" outlineLevel="1">
      <c r="A188" s="315"/>
      <c r="B188" s="85" t="s">
        <v>86</v>
      </c>
      <c r="C188" s="238">
        <v>0.045</v>
      </c>
      <c r="D188" s="239">
        <v>0.145</v>
      </c>
      <c r="E188" s="245">
        <v>6.0</v>
      </c>
      <c r="F188" s="156">
        <f>C188*D188*E188</f>
        <v>0.03915</v>
      </c>
      <c r="G188" s="156">
        <f>D188*E188</f>
        <v>0.87</v>
      </c>
      <c r="H188" s="240">
        <v>343.0</v>
      </c>
      <c r="I188" s="158">
        <f>ROUND(H188*1.1667,0)</f>
        <v>400</v>
      </c>
      <c r="J188" s="159">
        <f>ROUND((I188*0.992)*1.21,0)*(C188*D188*E188)</f>
        <v>18.792</v>
      </c>
      <c r="K188" s="160">
        <f>J188/(D188*E188)</f>
        <v>21.6</v>
      </c>
      <c r="L188" s="161">
        <f>T188+R188-O188</f>
        <v>1003</v>
      </c>
      <c r="M188" s="241">
        <f>L188*F188</f>
        <v>39.26745</v>
      </c>
      <c r="N188" s="163">
        <f>L188*G188</f>
        <v>872.61</v>
      </c>
      <c r="O188" s="252"/>
      <c r="P188" s="165" t="str">
        <f t="shared" si="156"/>
        <v/>
      </c>
      <c r="Q188" s="166"/>
      <c r="R188" s="243"/>
      <c r="S188" s="165">
        <f>R188*F188</f>
        <v>0</v>
      </c>
      <c r="T188" s="244">
        <v>1003.0</v>
      </c>
      <c r="U188" s="169">
        <f>J188*L188</f>
        <v>18848.376</v>
      </c>
      <c r="V188" s="38" t="str">
        <f>IF(O188="","",Q188-(O188*(H188*F188)))</f>
        <v/>
      </c>
      <c r="W188" s="38" t="str">
        <f t="shared" si="140"/>
        <v/>
      </c>
      <c r="X188" s="11"/>
      <c r="Y188" s="11"/>
      <c r="Z188" s="11"/>
      <c r="AA188" s="11"/>
    </row>
    <row r="189" ht="13.5" customHeight="1" outlineLevel="1">
      <c r="A189" s="315"/>
      <c r="B189" s="349" t="s">
        <v>103</v>
      </c>
      <c r="C189" s="86">
        <v>0.045</v>
      </c>
      <c r="D189" s="87">
        <v>0.195</v>
      </c>
      <c r="E189" s="88">
        <v>4.8</v>
      </c>
      <c r="F189" s="156"/>
      <c r="G189" s="156"/>
      <c r="H189" s="240"/>
      <c r="I189" s="158"/>
      <c r="J189" s="159"/>
      <c r="K189" s="160"/>
      <c r="L189" s="161"/>
      <c r="M189" s="241"/>
      <c r="N189" s="163"/>
      <c r="O189" s="246"/>
      <c r="P189" s="165" t="str">
        <f t="shared" si="156"/>
        <v/>
      </c>
      <c r="Q189" s="166"/>
      <c r="R189" s="243"/>
      <c r="S189" s="165"/>
      <c r="T189" s="244"/>
      <c r="U189" s="169"/>
      <c r="V189" s="38"/>
      <c r="W189" s="38" t="str">
        <f t="shared" si="140"/>
        <v/>
      </c>
      <c r="X189" s="11"/>
      <c r="Y189" s="11"/>
      <c r="Z189" s="11"/>
      <c r="AA189" s="11"/>
    </row>
    <row r="190" ht="13.5" customHeight="1" outlineLevel="1">
      <c r="A190" s="315"/>
      <c r="B190" s="349" t="s">
        <v>104</v>
      </c>
      <c r="C190" s="238">
        <v>0.045</v>
      </c>
      <c r="D190" s="239">
        <v>0.195</v>
      </c>
      <c r="E190" s="245">
        <v>6.0</v>
      </c>
      <c r="F190" s="156"/>
      <c r="G190" s="156"/>
      <c r="H190" s="240"/>
      <c r="I190" s="158"/>
      <c r="J190" s="159"/>
      <c r="K190" s="160"/>
      <c r="L190" s="161"/>
      <c r="M190" s="241"/>
      <c r="N190" s="163"/>
      <c r="O190" s="246"/>
      <c r="P190" s="165" t="str">
        <f t="shared" si="156"/>
        <v/>
      </c>
      <c r="Q190" s="166"/>
      <c r="R190" s="243"/>
      <c r="S190" s="165"/>
      <c r="T190" s="244"/>
      <c r="U190" s="169"/>
      <c r="V190" s="38"/>
      <c r="W190" s="38" t="str">
        <f t="shared" si="140"/>
        <v/>
      </c>
      <c r="X190" s="11"/>
      <c r="Y190" s="11"/>
      <c r="Z190" s="11"/>
      <c r="AA190" s="11"/>
    </row>
    <row r="191" ht="13.5" customHeight="1" outlineLevel="1">
      <c r="A191" s="315"/>
      <c r="B191" s="85"/>
      <c r="C191" s="238">
        <v>0.045</v>
      </c>
      <c r="D191" s="239">
        <v>0.22</v>
      </c>
      <c r="E191" s="245">
        <v>3.6</v>
      </c>
      <c r="F191" s="156">
        <f>C191*D191*E191</f>
        <v>0.03564</v>
      </c>
      <c r="G191" s="156">
        <f>D191*E191</f>
        <v>0.792</v>
      </c>
      <c r="H191" s="240">
        <v>343.0</v>
      </c>
      <c r="I191" s="158">
        <f>ROUND(H191*1.1667,0)</f>
        <v>400</v>
      </c>
      <c r="J191" s="159">
        <f>ROUND((I191*0.992)*1.21,0)*(C191*D191*E191)</f>
        <v>17.1072</v>
      </c>
      <c r="K191" s="160">
        <f>J191/(D191*E191)</f>
        <v>21.6</v>
      </c>
      <c r="L191" s="161">
        <f>T191+R191-O191</f>
        <v>40</v>
      </c>
      <c r="M191" s="241">
        <f>L191*F191</f>
        <v>1.4256</v>
      </c>
      <c r="N191" s="163">
        <f>L191*G191</f>
        <v>31.68</v>
      </c>
      <c r="O191" s="246"/>
      <c r="P191" s="165" t="str">
        <f t="shared" si="156"/>
        <v/>
      </c>
      <c r="Q191" s="166"/>
      <c r="R191" s="243"/>
      <c r="S191" s="165">
        <f>R191*F191</f>
        <v>0</v>
      </c>
      <c r="T191" s="244">
        <v>40.0</v>
      </c>
      <c r="U191" s="169">
        <f>J191*L191</f>
        <v>684.288</v>
      </c>
      <c r="V191" s="38" t="str">
        <f>IF(O191="","",Q191-(O191*(H191*F191)))</f>
        <v/>
      </c>
      <c r="W191" s="38" t="str">
        <f t="shared" si="140"/>
        <v/>
      </c>
      <c r="X191" s="11"/>
      <c r="Y191" s="11"/>
      <c r="Z191" s="11"/>
      <c r="AA191" s="11"/>
    </row>
    <row r="192" ht="13.5" customHeight="1" outlineLevel="1">
      <c r="A192" s="315"/>
      <c r="B192" s="350" t="s">
        <v>105</v>
      </c>
      <c r="C192" s="238">
        <v>0.045</v>
      </c>
      <c r="D192" s="239">
        <v>0.22</v>
      </c>
      <c r="E192" s="245">
        <v>4.8</v>
      </c>
      <c r="F192" s="156"/>
      <c r="G192" s="156"/>
      <c r="H192" s="240"/>
      <c r="I192" s="158"/>
      <c r="J192" s="159"/>
      <c r="K192" s="160"/>
      <c r="L192" s="161"/>
      <c r="M192" s="241"/>
      <c r="N192" s="163"/>
      <c r="O192" s="246"/>
      <c r="P192" s="165" t="str">
        <f t="shared" si="156"/>
        <v/>
      </c>
      <c r="Q192" s="166"/>
      <c r="R192" s="243"/>
      <c r="S192" s="165"/>
      <c r="T192" s="244"/>
      <c r="U192" s="169"/>
      <c r="V192" s="38"/>
      <c r="W192" s="38"/>
      <c r="X192" s="11"/>
      <c r="Y192" s="11"/>
      <c r="Z192" s="11"/>
      <c r="AA192" s="11"/>
    </row>
    <row r="193" ht="13.5" customHeight="1" outlineLevel="1">
      <c r="A193" s="315"/>
      <c r="B193" s="85"/>
      <c r="C193" s="238">
        <v>0.045</v>
      </c>
      <c r="D193" s="239">
        <v>0.22</v>
      </c>
      <c r="E193" s="245">
        <v>6.0</v>
      </c>
      <c r="F193" s="156">
        <f t="shared" ref="F193:F195" si="173">C193*D193*E193</f>
        <v>0.0594</v>
      </c>
      <c r="G193" s="156">
        <f t="shared" ref="G193:G195" si="174">D193*E193</f>
        <v>1.32</v>
      </c>
      <c r="H193" s="240">
        <v>343.0</v>
      </c>
      <c r="I193" s="158">
        <f t="shared" ref="I193:I195" si="175">ROUND(H193*1.1667,0)</f>
        <v>400</v>
      </c>
      <c r="J193" s="159">
        <f t="shared" ref="J193:J195" si="176">ROUND((I193*0.992)*1.21,0)*(C193*D193*E193)</f>
        <v>28.512</v>
      </c>
      <c r="K193" s="160">
        <f t="shared" ref="K193:K195" si="177">J193/(D193*E193)</f>
        <v>21.6</v>
      </c>
      <c r="L193" s="161">
        <f t="shared" ref="L193:L195" si="178">T193+R193-O193</f>
        <v>45</v>
      </c>
      <c r="M193" s="241">
        <f t="shared" ref="M193:M195" si="179">L193*F193</f>
        <v>2.673</v>
      </c>
      <c r="N193" s="163">
        <f t="shared" ref="N193:N195" si="180">L193*G193</f>
        <v>59.4</v>
      </c>
      <c r="O193" s="246"/>
      <c r="P193" s="165"/>
      <c r="Q193" s="166"/>
      <c r="R193" s="243"/>
      <c r="S193" s="165">
        <f t="shared" ref="S193:S195" si="181">R193*F193</f>
        <v>0</v>
      </c>
      <c r="T193" s="263">
        <v>45.0</v>
      </c>
      <c r="U193" s="169">
        <f t="shared" ref="U193:U195" si="182">J193*L193</f>
        <v>1283.04</v>
      </c>
      <c r="V193" s="38" t="str">
        <f t="shared" ref="V193:V195" si="183">IF(O193="","",Q193-(O193*(H193*F193)))</f>
        <v/>
      </c>
      <c r="W193" s="38" t="str">
        <f t="shared" ref="W193:W198" si="184">IF(O193="","",(P193*H193))</f>
        <v/>
      </c>
      <c r="X193" s="11"/>
      <c r="Y193" s="11"/>
      <c r="Z193" s="11"/>
      <c r="AA193" s="11"/>
    </row>
    <row r="194" ht="13.5" customHeight="1" outlineLevel="1">
      <c r="A194" s="315"/>
      <c r="B194" s="85"/>
      <c r="C194" s="238">
        <v>0.047</v>
      </c>
      <c r="D194" s="239">
        <v>0.2</v>
      </c>
      <c r="E194" s="245">
        <v>6.0</v>
      </c>
      <c r="F194" s="156">
        <f t="shared" si="173"/>
        <v>0.0564</v>
      </c>
      <c r="G194" s="156">
        <f t="shared" si="174"/>
        <v>1.2</v>
      </c>
      <c r="H194" s="240">
        <v>343.0</v>
      </c>
      <c r="I194" s="158">
        <f t="shared" si="175"/>
        <v>400</v>
      </c>
      <c r="J194" s="159">
        <f t="shared" si="176"/>
        <v>27.072</v>
      </c>
      <c r="K194" s="160">
        <f t="shared" si="177"/>
        <v>22.56</v>
      </c>
      <c r="L194" s="161">
        <f t="shared" si="178"/>
        <v>44</v>
      </c>
      <c r="M194" s="241">
        <f t="shared" si="179"/>
        <v>2.4816</v>
      </c>
      <c r="N194" s="163">
        <f t="shared" si="180"/>
        <v>52.8</v>
      </c>
      <c r="O194" s="252"/>
      <c r="P194" s="165" t="str">
        <f t="shared" ref="P194:P195" si="185">IF(O194="","",(O194*F194))</f>
        <v/>
      </c>
      <c r="Q194" s="172"/>
      <c r="R194" s="243"/>
      <c r="S194" s="165">
        <f t="shared" si="181"/>
        <v>0</v>
      </c>
      <c r="T194" s="244">
        <v>44.0</v>
      </c>
      <c r="U194" s="169">
        <f t="shared" si="182"/>
        <v>1191.168</v>
      </c>
      <c r="V194" s="38" t="str">
        <f t="shared" si="183"/>
        <v/>
      </c>
      <c r="W194" s="38" t="str">
        <f t="shared" si="184"/>
        <v/>
      </c>
      <c r="X194" s="11"/>
      <c r="Y194" s="11"/>
      <c r="Z194" s="11"/>
      <c r="AA194" s="11"/>
    </row>
    <row r="195" ht="13.5" customHeight="1" outlineLevel="1">
      <c r="A195" s="315"/>
      <c r="B195" s="85"/>
      <c r="C195" s="238">
        <v>0.075</v>
      </c>
      <c r="D195" s="239">
        <v>0.195</v>
      </c>
      <c r="E195" s="245">
        <v>6.0</v>
      </c>
      <c r="F195" s="156">
        <f t="shared" si="173"/>
        <v>0.08775</v>
      </c>
      <c r="G195" s="156">
        <f t="shared" si="174"/>
        <v>1.17</v>
      </c>
      <c r="H195" s="240">
        <v>343.0</v>
      </c>
      <c r="I195" s="158">
        <f t="shared" si="175"/>
        <v>400</v>
      </c>
      <c r="J195" s="159">
        <f t="shared" si="176"/>
        <v>42.12</v>
      </c>
      <c r="K195" s="160">
        <f t="shared" si="177"/>
        <v>36</v>
      </c>
      <c r="L195" s="161">
        <f t="shared" si="178"/>
        <v>104</v>
      </c>
      <c r="M195" s="241">
        <f t="shared" si="179"/>
        <v>9.126</v>
      </c>
      <c r="N195" s="163">
        <f t="shared" si="180"/>
        <v>121.68</v>
      </c>
      <c r="O195" s="351"/>
      <c r="P195" s="165" t="str">
        <f t="shared" si="185"/>
        <v/>
      </c>
      <c r="Q195" s="352"/>
      <c r="R195" s="243"/>
      <c r="S195" s="165">
        <f t="shared" si="181"/>
        <v>0</v>
      </c>
      <c r="T195" s="263">
        <v>104.0</v>
      </c>
      <c r="U195" s="169">
        <f t="shared" si="182"/>
        <v>4380.48</v>
      </c>
      <c r="V195" s="38" t="str">
        <f t="shared" si="183"/>
        <v/>
      </c>
      <c r="W195" s="38" t="str">
        <f t="shared" si="184"/>
        <v/>
      </c>
      <c r="X195" s="11"/>
      <c r="Y195" s="11"/>
      <c r="Z195" s="11"/>
      <c r="AA195" s="11"/>
    </row>
    <row r="196" ht="13.5" customHeight="1">
      <c r="A196" s="315"/>
      <c r="B196" s="211" t="s">
        <v>56</v>
      </c>
      <c r="C196" s="298"/>
      <c r="D196" s="298"/>
      <c r="E196" s="298"/>
      <c r="F196" s="298"/>
      <c r="G196" s="298"/>
      <c r="H196" s="215">
        <f t="shared" ref="H196:I196" si="186">AVERAGE(H175:H195)</f>
        <v>338.9142857</v>
      </c>
      <c r="I196" s="215">
        <f t="shared" si="186"/>
        <v>396.2142857</v>
      </c>
      <c r="J196" s="216"/>
      <c r="K196" s="214">
        <f>AVERAGE(K175:K195)</f>
        <v>19.59621429</v>
      </c>
      <c r="L196" s="217"/>
      <c r="M196" s="353">
        <f>SUM(M175:M195)</f>
        <v>109.9267354</v>
      </c>
      <c r="N196" s="301"/>
      <c r="O196" s="219"/>
      <c r="P196" s="278">
        <f t="shared" ref="P196:Q196" si="187">SUM(P175:P195)</f>
        <v>0</v>
      </c>
      <c r="Q196" s="353">
        <f t="shared" si="187"/>
        <v>0</v>
      </c>
      <c r="R196" s="262"/>
      <c r="S196" s="223">
        <f>SUM(S175:S195)</f>
        <v>0</v>
      </c>
      <c r="T196" s="224"/>
      <c r="U196" s="348">
        <f>SUM(U175:U195)</f>
        <v>52965.49961</v>
      </c>
      <c r="V196" s="11"/>
      <c r="W196" s="38" t="str">
        <f t="shared" si="184"/>
        <v/>
      </c>
      <c r="X196" s="11"/>
      <c r="Y196" s="11"/>
      <c r="Z196" s="11"/>
      <c r="AA196" s="11"/>
    </row>
    <row r="197" ht="15.0" customHeight="1">
      <c r="A197" s="315"/>
      <c r="B197" s="354" t="s">
        <v>106</v>
      </c>
      <c r="C197" s="355"/>
      <c r="D197" s="355"/>
      <c r="E197" s="355"/>
      <c r="F197" s="355"/>
      <c r="G197" s="355"/>
      <c r="H197" s="355"/>
      <c r="I197" s="356">
        <f>AVERAGE(I173,I196)</f>
        <v>342.1635945</v>
      </c>
      <c r="J197" s="357"/>
      <c r="K197" s="358">
        <f>AVERAGE(K173,K196)</f>
        <v>20.66212327</v>
      </c>
      <c r="L197" s="359"/>
      <c r="M197" s="360">
        <f>SUM(M173+M196)</f>
        <v>399.8539754</v>
      </c>
      <c r="N197" s="361"/>
      <c r="O197" s="362"/>
      <c r="P197" s="363">
        <f t="shared" ref="P197:Q197" si="188">SUM(P173+P196)</f>
        <v>0</v>
      </c>
      <c r="Q197" s="364">
        <f t="shared" si="188"/>
        <v>0</v>
      </c>
      <c r="R197" s="365"/>
      <c r="S197" s="366">
        <f>SUM(S173+S196)</f>
        <v>0</v>
      </c>
      <c r="T197" s="367"/>
      <c r="U197" s="368">
        <f>U196+U173</f>
        <v>150026.3246</v>
      </c>
      <c r="V197" s="11"/>
      <c r="W197" s="38" t="str">
        <f t="shared" si="184"/>
        <v/>
      </c>
      <c r="X197" s="11"/>
      <c r="Y197" s="11"/>
      <c r="Z197" s="11"/>
      <c r="AA197" s="11"/>
    </row>
    <row r="198" ht="13.5" customHeight="1">
      <c r="A198" s="369"/>
      <c r="B198" s="370"/>
      <c r="C198" s="370"/>
      <c r="D198" s="371"/>
      <c r="E198" s="371"/>
      <c r="F198" s="372"/>
      <c r="G198" s="372"/>
      <c r="H198" s="370"/>
      <c r="I198" s="373"/>
      <c r="J198" s="374"/>
      <c r="K198" s="375"/>
      <c r="L198" s="376"/>
      <c r="M198" s="377"/>
      <c r="N198" s="370"/>
      <c r="O198" s="378"/>
      <c r="P198" s="371"/>
      <c r="Q198" s="379"/>
      <c r="R198" s="380"/>
      <c r="S198" s="371"/>
      <c r="T198" s="381"/>
      <c r="U198" s="382"/>
      <c r="V198" s="11"/>
      <c r="W198" s="38" t="str">
        <f t="shared" si="184"/>
        <v/>
      </c>
      <c r="X198" s="11"/>
      <c r="Y198" s="11"/>
      <c r="Z198" s="11"/>
      <c r="AA198" s="11"/>
    </row>
    <row r="199" ht="13.5" customHeight="1">
      <c r="A199" s="383"/>
      <c r="B199" s="384" t="s">
        <v>31</v>
      </c>
      <c r="C199" s="92"/>
      <c r="D199" s="93"/>
      <c r="E199" s="92"/>
      <c r="F199" s="385"/>
      <c r="G199" s="385"/>
      <c r="H199" s="92"/>
      <c r="I199" s="386">
        <f>AVERAGE(I100,I108,I197)</f>
        <v>420.0925757</v>
      </c>
      <c r="J199" s="96"/>
      <c r="K199" s="94"/>
      <c r="L199" s="387"/>
      <c r="M199" s="94">
        <f>SUM(M100+M108+M197)</f>
        <v>633.4427638</v>
      </c>
      <c r="N199" s="388"/>
      <c r="O199" s="95"/>
      <c r="P199" s="94">
        <f t="shared" ref="P199:Q199" si="189">SUM(P100+P108+P197)</f>
        <v>0</v>
      </c>
      <c r="Q199" s="389">
        <f t="shared" si="189"/>
        <v>0</v>
      </c>
      <c r="R199" s="390"/>
      <c r="S199" s="94">
        <f>SUM(S100+S108+S197)</f>
        <v>0</v>
      </c>
      <c r="T199" s="391"/>
      <c r="U199" s="392">
        <f>SUM(U100+U108+U197)</f>
        <v>271652.189</v>
      </c>
      <c r="V199" s="11">
        <f t="shared" ref="V199:W199" si="190">SUM(V2:V198)</f>
        <v>0</v>
      </c>
      <c r="W199" s="11">
        <f t="shared" si="190"/>
        <v>0</v>
      </c>
      <c r="X199" s="11"/>
      <c r="Y199" s="11"/>
      <c r="Z199" s="11"/>
      <c r="AA199" s="11"/>
    </row>
    <row r="200" ht="13.5" customHeight="1">
      <c r="A200" s="11"/>
      <c r="B200" s="11"/>
      <c r="C200" s="11"/>
      <c r="D200" s="11"/>
      <c r="E200" s="11"/>
      <c r="F200" s="253"/>
      <c r="G200" s="253"/>
      <c r="H200" s="11"/>
      <c r="I200" s="393"/>
      <c r="J200" s="394"/>
      <c r="K200" s="395"/>
      <c r="L200" s="396"/>
      <c r="M200" s="11"/>
      <c r="N200" s="11"/>
      <c r="O200" s="71"/>
      <c r="P200" s="11"/>
      <c r="Q200" s="72"/>
      <c r="R200" s="397"/>
      <c r="S200" s="395"/>
      <c r="T200" s="398"/>
      <c r="U200" s="399"/>
      <c r="V200" s="11"/>
      <c r="W200" s="38"/>
      <c r="X200" s="11"/>
      <c r="Y200" s="11"/>
      <c r="Z200" s="11"/>
      <c r="AA200" s="11"/>
    </row>
    <row r="201" ht="13.5" customHeight="1">
      <c r="A201" s="11"/>
      <c r="B201" s="38"/>
      <c r="C201" s="400"/>
      <c r="D201" s="400"/>
      <c r="E201" s="400"/>
      <c r="F201" s="400"/>
      <c r="G201" s="400"/>
      <c r="H201" s="400"/>
      <c r="I201" s="400"/>
      <c r="J201" s="400"/>
      <c r="K201" s="400"/>
      <c r="L201" s="400"/>
      <c r="M201" s="400"/>
      <c r="N201" s="400"/>
      <c r="O201" s="400"/>
      <c r="P201" s="401"/>
      <c r="Q201" s="400"/>
      <c r="R201" s="398"/>
      <c r="S201" s="11"/>
      <c r="T201" s="11"/>
      <c r="U201" s="11"/>
      <c r="V201" s="11"/>
      <c r="W201" s="11"/>
      <c r="X201" s="11"/>
      <c r="Y201" s="11"/>
      <c r="Z201" s="402"/>
      <c r="AA201" s="402"/>
    </row>
    <row r="202" ht="13.5" customHeight="1">
      <c r="A202" s="11"/>
      <c r="B202" s="38"/>
      <c r="C202" s="400"/>
      <c r="D202" s="400"/>
      <c r="E202" s="400"/>
      <c r="F202" s="400"/>
      <c r="G202" s="400"/>
      <c r="H202" s="400"/>
      <c r="I202" s="400"/>
      <c r="J202" s="400"/>
      <c r="K202" s="400"/>
      <c r="L202" s="400"/>
      <c r="M202" s="400"/>
      <c r="N202" s="400"/>
      <c r="O202" s="400"/>
      <c r="P202" s="401"/>
      <c r="Q202" s="400"/>
      <c r="R202" s="398"/>
      <c r="S202" s="11"/>
      <c r="T202" s="11"/>
      <c r="U202" s="11"/>
      <c r="V202" s="11"/>
      <c r="W202" s="11"/>
      <c r="X202" s="11"/>
      <c r="Y202" s="11"/>
      <c r="Z202" s="402"/>
      <c r="AA202" s="402"/>
    </row>
    <row r="203" ht="13.5" customHeight="1">
      <c r="A203" s="11"/>
      <c r="B203" s="38"/>
      <c r="C203" s="400"/>
      <c r="D203" s="400"/>
      <c r="E203" s="400"/>
      <c r="F203" s="400"/>
      <c r="G203" s="400"/>
      <c r="H203" s="400"/>
      <c r="I203" s="400"/>
      <c r="J203" s="400"/>
      <c r="K203" s="400"/>
      <c r="L203" s="400"/>
      <c r="M203" s="400"/>
      <c r="N203" s="400"/>
      <c r="O203" s="400"/>
      <c r="P203" s="401"/>
      <c r="Q203" s="400"/>
      <c r="R203" s="398"/>
      <c r="S203" s="11"/>
      <c r="T203" s="11"/>
      <c r="U203" s="11"/>
      <c r="V203" s="11"/>
      <c r="W203" s="11"/>
      <c r="X203" s="11"/>
      <c r="Y203" s="11"/>
      <c r="Z203" s="402"/>
      <c r="AA203" s="402"/>
    </row>
    <row r="204" ht="13.5" customHeight="1">
      <c r="A204" s="11"/>
      <c r="B204" s="11"/>
      <c r="C204" s="400"/>
      <c r="D204" s="400"/>
      <c r="E204" s="400"/>
      <c r="F204" s="400"/>
      <c r="G204" s="400"/>
      <c r="H204" s="400"/>
      <c r="I204" s="400"/>
      <c r="J204" s="400"/>
      <c r="K204" s="400"/>
      <c r="L204" s="400"/>
      <c r="M204" s="400"/>
      <c r="N204" s="400"/>
      <c r="O204" s="400"/>
      <c r="P204" s="401"/>
      <c r="Q204" s="400"/>
      <c r="R204" s="398"/>
      <c r="S204" s="11"/>
      <c r="T204" s="11"/>
      <c r="U204" s="11"/>
      <c r="V204" s="11"/>
      <c r="W204" s="11"/>
      <c r="X204" s="11"/>
      <c r="Y204" s="11"/>
      <c r="Z204" s="402"/>
      <c r="AA204" s="402"/>
    </row>
    <row r="205" ht="13.5" customHeight="1">
      <c r="A205" s="11"/>
      <c r="B205" s="11"/>
      <c r="C205" s="400"/>
      <c r="D205" s="400"/>
      <c r="E205" s="400"/>
      <c r="F205" s="400"/>
      <c r="G205" s="400"/>
      <c r="H205" s="400"/>
      <c r="I205" s="400"/>
      <c r="J205" s="400"/>
      <c r="K205" s="400"/>
      <c r="L205" s="400"/>
      <c r="M205" s="400"/>
      <c r="N205" s="400"/>
      <c r="O205" s="400"/>
      <c r="P205" s="401"/>
      <c r="Q205" s="400"/>
      <c r="R205" s="398"/>
      <c r="S205" s="11"/>
      <c r="T205" s="11"/>
      <c r="U205" s="11"/>
      <c r="V205" s="11"/>
      <c r="W205" s="11"/>
      <c r="X205" s="11"/>
      <c r="Y205" s="11"/>
      <c r="Z205" s="402"/>
      <c r="AA205" s="402"/>
    </row>
    <row r="206" ht="13.5" customHeight="1">
      <c r="A206" s="11"/>
      <c r="B206" s="11"/>
      <c r="C206" s="400"/>
      <c r="D206" s="400"/>
      <c r="E206" s="400"/>
      <c r="F206" s="400"/>
      <c r="G206" s="400"/>
      <c r="H206" s="400"/>
      <c r="I206" s="400"/>
      <c r="J206" s="400"/>
      <c r="K206" s="400"/>
      <c r="L206" s="400"/>
      <c r="M206" s="400"/>
      <c r="N206" s="400"/>
      <c r="O206" s="400"/>
      <c r="P206" s="401"/>
      <c r="Q206" s="400"/>
      <c r="R206" s="398"/>
      <c r="S206" s="11"/>
      <c r="T206" s="11"/>
      <c r="U206" s="11"/>
      <c r="V206" s="11"/>
      <c r="W206" s="11"/>
      <c r="X206" s="11"/>
      <c r="Y206" s="11"/>
      <c r="Z206" s="402"/>
      <c r="AA206" s="402"/>
    </row>
    <row r="207" ht="13.5" customHeight="1">
      <c r="A207" s="11"/>
      <c r="B207" s="11"/>
      <c r="C207" s="400"/>
      <c r="D207" s="400"/>
      <c r="E207" s="400"/>
      <c r="F207" s="400"/>
      <c r="G207" s="400"/>
      <c r="H207" s="400"/>
      <c r="I207" s="400"/>
      <c r="J207" s="400"/>
      <c r="K207" s="400"/>
      <c r="L207" s="400"/>
      <c r="M207" s="400"/>
      <c r="N207" s="400"/>
      <c r="O207" s="400"/>
      <c r="P207" s="401"/>
      <c r="Q207" s="400"/>
      <c r="R207" s="398"/>
      <c r="S207" s="11"/>
      <c r="T207" s="11"/>
      <c r="U207" s="11"/>
      <c r="V207" s="11"/>
      <c r="W207" s="11"/>
      <c r="X207" s="11"/>
      <c r="Y207" s="11"/>
      <c r="Z207" s="402"/>
      <c r="AA207" s="402"/>
    </row>
    <row r="208" ht="13.5" customHeight="1">
      <c r="A208" s="11"/>
      <c r="B208" s="11"/>
      <c r="C208" s="403" t="s">
        <v>107</v>
      </c>
      <c r="D208" s="280"/>
      <c r="E208" s="280"/>
      <c r="F208" s="280"/>
      <c r="G208" s="280"/>
      <c r="H208" s="280"/>
      <c r="I208" s="280"/>
      <c r="J208" s="280"/>
      <c r="K208" s="280"/>
      <c r="L208" s="281"/>
      <c r="M208" s="403" t="s">
        <v>108</v>
      </c>
      <c r="N208" s="280"/>
      <c r="O208" s="280"/>
      <c r="P208" s="280"/>
      <c r="Q208" s="280"/>
      <c r="R208" s="281"/>
      <c r="S208" s="398"/>
      <c r="T208" s="11"/>
      <c r="U208" s="11"/>
      <c r="V208" s="11"/>
      <c r="W208" s="11"/>
      <c r="X208" s="11"/>
      <c r="Y208" s="11"/>
      <c r="Z208" s="402"/>
      <c r="AA208" s="402"/>
    </row>
    <row r="209" ht="13.5" customHeight="1">
      <c r="A209" s="11"/>
      <c r="B209" s="11"/>
      <c r="C209" s="404" t="s">
        <v>35</v>
      </c>
      <c r="D209" s="405" t="s">
        <v>24</v>
      </c>
      <c r="E209" s="405" t="s">
        <v>25</v>
      </c>
      <c r="F209" s="405" t="s">
        <v>36</v>
      </c>
      <c r="G209" s="406" t="s">
        <v>37</v>
      </c>
      <c r="H209" s="405"/>
      <c r="I209" s="407" t="s">
        <v>26</v>
      </c>
      <c r="J209" s="408" t="s">
        <v>27</v>
      </c>
      <c r="K209" s="409" t="s">
        <v>109</v>
      </c>
      <c r="L209" s="409" t="s">
        <v>110</v>
      </c>
      <c r="M209" s="404" t="s">
        <v>35</v>
      </c>
      <c r="N209" s="405" t="s">
        <v>24</v>
      </c>
      <c r="O209" s="405" t="s">
        <v>25</v>
      </c>
      <c r="P209" s="410" t="s">
        <v>111</v>
      </c>
      <c r="Q209" s="281"/>
      <c r="R209" s="409" t="s">
        <v>112</v>
      </c>
      <c r="S209" s="71"/>
      <c r="T209" s="72"/>
      <c r="U209" s="397"/>
      <c r="V209" s="395"/>
      <c r="W209" s="398"/>
      <c r="X209" s="399"/>
      <c r="Y209" s="11"/>
      <c r="Z209" s="11"/>
      <c r="AA209" s="11"/>
    </row>
    <row r="210" ht="13.5" customHeight="1">
      <c r="A210" s="11"/>
      <c r="B210" s="11"/>
      <c r="C210" s="238">
        <v>0.05</v>
      </c>
      <c r="D210" s="239">
        <v>0.2</v>
      </c>
      <c r="E210" s="245">
        <v>6.0</v>
      </c>
      <c r="F210" s="156">
        <f t="shared" ref="F210:F215" si="191">C210*D210*E210</f>
        <v>0.06</v>
      </c>
      <c r="G210" s="156">
        <f t="shared" ref="G210:G215" si="192">D210*E210</f>
        <v>1.2</v>
      </c>
      <c r="H210" s="240">
        <v>240.0</v>
      </c>
      <c r="I210" s="158">
        <f t="shared" ref="I210:I213" si="193">ROUND(H210*1.1667,0)</f>
        <v>280</v>
      </c>
      <c r="J210" s="159">
        <f t="shared" ref="J210:J215" si="194">ROUND((I210*0.992)*1.21,0)*(C210*D210*E210)</f>
        <v>20.16</v>
      </c>
      <c r="K210" s="411">
        <v>95.0</v>
      </c>
      <c r="L210" s="412">
        <f t="shared" ref="L210:L218" si="195">IF($P$219&gt;=1,I210*((C210*D210*E210)*K210),J210*K210)</f>
        <v>1596</v>
      </c>
      <c r="M210" s="412">
        <f t="shared" ref="M210:M218" si="196">IF(C210=0,0,C210*MAX(1,ROUNDUP(K210/INT(1.1/D210),0)))</f>
        <v>0.95</v>
      </c>
      <c r="N210" s="413">
        <f t="shared" ref="N210:N218" si="197">IF(D210=0,0,IF(D210*K210&lt;=1.1,D210*K210,INT(1.1/D210)*D210))</f>
        <v>1</v>
      </c>
      <c r="O210" s="412">
        <f t="shared" ref="O210:O218" si="198">E210</f>
        <v>6</v>
      </c>
      <c r="P210" s="414">
        <f t="shared" ref="P210:P218" si="199">ROUND((C210*D210*E210)*K210,2)</f>
        <v>5.7</v>
      </c>
      <c r="Q210" s="281"/>
      <c r="R210" s="412">
        <f t="shared" ref="R210:R218" si="200">P210*480</f>
        <v>2736</v>
      </c>
      <c r="S210" s="453"/>
      <c r="T210" s="454"/>
      <c r="U210" s="415"/>
      <c r="V210" s="395"/>
      <c r="W210" s="38"/>
      <c r="X210" s="416"/>
      <c r="Y210" s="11"/>
      <c r="Z210" s="11"/>
      <c r="AA210" s="11"/>
    </row>
    <row r="211" ht="13.5" customHeight="1">
      <c r="A211" s="11"/>
      <c r="B211" s="11"/>
      <c r="C211" s="238">
        <v>0.05</v>
      </c>
      <c r="D211" s="239">
        <v>0.2</v>
      </c>
      <c r="E211" s="245">
        <v>4.9</v>
      </c>
      <c r="F211" s="156">
        <f t="shared" si="191"/>
        <v>0.049</v>
      </c>
      <c r="G211" s="156">
        <f t="shared" si="192"/>
        <v>0.98</v>
      </c>
      <c r="H211" s="240">
        <v>240.0</v>
      </c>
      <c r="I211" s="158">
        <f t="shared" si="193"/>
        <v>280</v>
      </c>
      <c r="J211" s="159">
        <f t="shared" si="194"/>
        <v>16.464</v>
      </c>
      <c r="K211" s="411">
        <v>51.0</v>
      </c>
      <c r="L211" s="412">
        <f t="shared" si="195"/>
        <v>699.72</v>
      </c>
      <c r="M211" s="412">
        <f t="shared" si="196"/>
        <v>0.55</v>
      </c>
      <c r="N211" s="413">
        <f t="shared" si="197"/>
        <v>1</v>
      </c>
      <c r="O211" s="412">
        <f t="shared" si="198"/>
        <v>4.9</v>
      </c>
      <c r="P211" s="414">
        <f t="shared" si="199"/>
        <v>2.5</v>
      </c>
      <c r="Q211" s="281"/>
      <c r="R211" s="412">
        <f t="shared" si="200"/>
        <v>1200</v>
      </c>
      <c r="S211" s="71"/>
      <c r="T211" s="454"/>
      <c r="U211" s="415"/>
      <c r="V211" s="395"/>
      <c r="W211" s="38"/>
      <c r="X211" s="416"/>
      <c r="Y211" s="11"/>
      <c r="Z211" s="11"/>
      <c r="AA211" s="11"/>
    </row>
    <row r="212" ht="13.5" customHeight="1">
      <c r="A212" s="11"/>
      <c r="B212" s="11"/>
      <c r="C212" s="238">
        <v>0.1</v>
      </c>
      <c r="D212" s="239">
        <v>0.15</v>
      </c>
      <c r="E212" s="245">
        <v>6.0</v>
      </c>
      <c r="F212" s="156">
        <f t="shared" si="191"/>
        <v>0.09</v>
      </c>
      <c r="G212" s="156">
        <f t="shared" si="192"/>
        <v>0.9</v>
      </c>
      <c r="H212" s="332">
        <v>240.0</v>
      </c>
      <c r="I212" s="158">
        <f t="shared" si="193"/>
        <v>280</v>
      </c>
      <c r="J212" s="159">
        <f t="shared" si="194"/>
        <v>30.24</v>
      </c>
      <c r="K212" s="411">
        <v>10.0</v>
      </c>
      <c r="L212" s="412">
        <f t="shared" si="195"/>
        <v>252</v>
      </c>
      <c r="M212" s="412">
        <f t="shared" si="196"/>
        <v>0.2</v>
      </c>
      <c r="N212" s="413">
        <f t="shared" si="197"/>
        <v>1.05</v>
      </c>
      <c r="O212" s="412">
        <f t="shared" si="198"/>
        <v>6</v>
      </c>
      <c r="P212" s="414">
        <f t="shared" si="199"/>
        <v>0.9</v>
      </c>
      <c r="Q212" s="281"/>
      <c r="R212" s="412">
        <f t="shared" si="200"/>
        <v>432</v>
      </c>
      <c r="S212" s="71"/>
      <c r="T212" s="454"/>
      <c r="U212" s="415"/>
      <c r="V212" s="395"/>
      <c r="W212" s="11"/>
      <c r="X212" s="416"/>
      <c r="Y212" s="11"/>
      <c r="Z212" s="11"/>
      <c r="AA212" s="11"/>
    </row>
    <row r="213" ht="13.5" customHeight="1">
      <c r="A213" s="11"/>
      <c r="B213" s="11"/>
      <c r="C213" s="238">
        <v>0.1</v>
      </c>
      <c r="D213" s="239">
        <v>0.1</v>
      </c>
      <c r="E213" s="245">
        <v>6.0</v>
      </c>
      <c r="F213" s="156">
        <f t="shared" si="191"/>
        <v>0.06</v>
      </c>
      <c r="G213" s="156">
        <f t="shared" si="192"/>
        <v>0.6</v>
      </c>
      <c r="H213" s="240">
        <v>240.0</v>
      </c>
      <c r="I213" s="158">
        <f t="shared" si="193"/>
        <v>280</v>
      </c>
      <c r="J213" s="159">
        <f t="shared" si="194"/>
        <v>20.16</v>
      </c>
      <c r="K213" s="411">
        <v>10.0</v>
      </c>
      <c r="L213" s="412">
        <f t="shared" si="195"/>
        <v>168</v>
      </c>
      <c r="M213" s="412">
        <f t="shared" si="196"/>
        <v>0.1</v>
      </c>
      <c r="N213" s="413">
        <f t="shared" si="197"/>
        <v>1</v>
      </c>
      <c r="O213" s="412">
        <f t="shared" si="198"/>
        <v>6</v>
      </c>
      <c r="P213" s="414">
        <f t="shared" si="199"/>
        <v>0.6</v>
      </c>
      <c r="Q213" s="281"/>
      <c r="R213" s="412">
        <f t="shared" si="200"/>
        <v>288</v>
      </c>
      <c r="S213" s="453"/>
      <c r="T213" s="454"/>
      <c r="U213" s="415"/>
      <c r="V213" s="395"/>
      <c r="W213" s="11"/>
      <c r="X213" s="399"/>
      <c r="Y213" s="11"/>
      <c r="Z213" s="11"/>
      <c r="AA213" s="11"/>
    </row>
    <row r="214" ht="13.5" customHeight="1">
      <c r="A214" s="11"/>
      <c r="B214" s="11"/>
      <c r="C214" s="334">
        <v>0.023</v>
      </c>
      <c r="D214" s="335">
        <v>0.1</v>
      </c>
      <c r="E214" s="273">
        <v>4.8</v>
      </c>
      <c r="F214" s="184">
        <f t="shared" si="191"/>
        <v>0.01104</v>
      </c>
      <c r="G214" s="184">
        <f t="shared" si="192"/>
        <v>0.48</v>
      </c>
      <c r="H214" s="451">
        <v>228.8</v>
      </c>
      <c r="I214" s="337">
        <f>ROUND(H214*1.225,0)</f>
        <v>280</v>
      </c>
      <c r="J214" s="338">
        <f t="shared" si="194"/>
        <v>3.70944</v>
      </c>
      <c r="K214" s="411">
        <v>150.0</v>
      </c>
      <c r="L214" s="412">
        <f t="shared" si="195"/>
        <v>463.68</v>
      </c>
      <c r="M214" s="412">
        <f t="shared" si="196"/>
        <v>0.322</v>
      </c>
      <c r="N214" s="413">
        <f t="shared" si="197"/>
        <v>1.1</v>
      </c>
      <c r="O214" s="412">
        <f t="shared" si="198"/>
        <v>4.8</v>
      </c>
      <c r="P214" s="414">
        <f t="shared" si="199"/>
        <v>1.66</v>
      </c>
      <c r="Q214" s="281"/>
      <c r="R214" s="412">
        <f t="shared" si="200"/>
        <v>796.8</v>
      </c>
      <c r="S214" s="453"/>
      <c r="T214" s="454"/>
      <c r="U214" s="415"/>
      <c r="V214" s="395"/>
      <c r="W214" s="11"/>
      <c r="X214" s="399"/>
      <c r="Y214" s="11"/>
      <c r="Z214" s="11"/>
      <c r="AA214" s="11"/>
    </row>
    <row r="215" ht="13.5" customHeight="1">
      <c r="A215" s="11"/>
      <c r="B215" s="11"/>
      <c r="C215" s="238">
        <v>0.05</v>
      </c>
      <c r="D215" s="239">
        <v>0.05</v>
      </c>
      <c r="E215" s="245">
        <v>6.0</v>
      </c>
      <c r="F215" s="156">
        <f t="shared" si="191"/>
        <v>0.015</v>
      </c>
      <c r="G215" s="156">
        <f t="shared" si="192"/>
        <v>0.3</v>
      </c>
      <c r="H215" s="240">
        <v>283.0</v>
      </c>
      <c r="I215" s="158">
        <f>ROUND(H215*1.1667,0)</f>
        <v>330</v>
      </c>
      <c r="J215" s="159">
        <f t="shared" si="194"/>
        <v>5.94</v>
      </c>
      <c r="K215" s="411">
        <v>60.0</v>
      </c>
      <c r="L215" s="412">
        <f t="shared" si="195"/>
        <v>297</v>
      </c>
      <c r="M215" s="412">
        <f t="shared" si="196"/>
        <v>0.15</v>
      </c>
      <c r="N215" s="413">
        <f t="shared" si="197"/>
        <v>1.1</v>
      </c>
      <c r="O215" s="412">
        <f t="shared" si="198"/>
        <v>6</v>
      </c>
      <c r="P215" s="414">
        <f t="shared" si="199"/>
        <v>0.9</v>
      </c>
      <c r="Q215" s="281"/>
      <c r="R215" s="412">
        <f t="shared" si="200"/>
        <v>432</v>
      </c>
      <c r="S215" s="71"/>
      <c r="T215" s="454"/>
      <c r="U215" s="397"/>
      <c r="V215" s="395"/>
      <c r="W215" s="11"/>
      <c r="X215" s="399"/>
      <c r="Y215" s="11"/>
      <c r="Z215" s="11"/>
      <c r="AA215" s="11"/>
    </row>
    <row r="216" ht="13.5" customHeight="1">
      <c r="A216" s="11"/>
      <c r="B216" s="11"/>
      <c r="C216" s="418"/>
      <c r="D216" s="182"/>
      <c r="E216" s="183"/>
      <c r="F216" s="417"/>
      <c r="G216" s="417"/>
      <c r="H216" s="417"/>
      <c r="I216" s="417"/>
      <c r="J216" s="288"/>
      <c r="K216" s="411"/>
      <c r="L216" s="412">
        <f t="shared" si="195"/>
        <v>0</v>
      </c>
      <c r="M216" s="412">
        <f t="shared" si="196"/>
        <v>0</v>
      </c>
      <c r="N216" s="413">
        <f t="shared" si="197"/>
        <v>0</v>
      </c>
      <c r="O216" s="412" t="str">
        <f t="shared" si="198"/>
        <v/>
      </c>
      <c r="P216" s="414">
        <f t="shared" si="199"/>
        <v>0</v>
      </c>
      <c r="Q216" s="281"/>
      <c r="R216" s="412">
        <f t="shared" si="200"/>
        <v>0</v>
      </c>
      <c r="S216" s="71"/>
      <c r="T216" s="72"/>
      <c r="U216" s="397"/>
      <c r="V216" s="395"/>
      <c r="W216" s="11"/>
      <c r="X216" s="399"/>
      <c r="Y216" s="11"/>
      <c r="Z216" s="11"/>
      <c r="AA216" s="11"/>
    </row>
    <row r="217" ht="13.5" customHeight="1">
      <c r="A217" s="11"/>
      <c r="B217" s="11"/>
      <c r="C217" s="86"/>
      <c r="D217" s="87"/>
      <c r="E217" s="88"/>
      <c r="F217" s="173"/>
      <c r="G217" s="173"/>
      <c r="H217" s="157"/>
      <c r="I217" s="419"/>
      <c r="J217" s="288"/>
      <c r="K217" s="420"/>
      <c r="L217" s="412">
        <f t="shared" si="195"/>
        <v>0</v>
      </c>
      <c r="M217" s="412">
        <f t="shared" si="196"/>
        <v>0</v>
      </c>
      <c r="N217" s="413">
        <f t="shared" si="197"/>
        <v>0</v>
      </c>
      <c r="O217" s="412" t="str">
        <f t="shared" si="198"/>
        <v/>
      </c>
      <c r="P217" s="414">
        <f t="shared" si="199"/>
        <v>0</v>
      </c>
      <c r="Q217" s="281"/>
      <c r="R217" s="412">
        <f t="shared" si="200"/>
        <v>0</v>
      </c>
      <c r="S217" s="71"/>
      <c r="T217" s="454">
        <v>40.0</v>
      </c>
      <c r="U217" s="397"/>
      <c r="V217" s="395"/>
      <c r="W217" s="11"/>
      <c r="X217" s="399"/>
      <c r="Y217" s="11"/>
      <c r="Z217" s="11"/>
      <c r="AA217" s="11"/>
    </row>
    <row r="218" ht="13.5" customHeight="1">
      <c r="A218" s="11"/>
      <c r="B218" s="11"/>
      <c r="C218" s="195"/>
      <c r="D218" s="87"/>
      <c r="E218" s="88"/>
      <c r="F218" s="419"/>
      <c r="G218" s="419"/>
      <c r="H218" s="419"/>
      <c r="I218" s="419"/>
      <c r="J218" s="288"/>
      <c r="K218" s="420"/>
      <c r="L218" s="412">
        <f t="shared" si="195"/>
        <v>0</v>
      </c>
      <c r="M218" s="412">
        <f t="shared" si="196"/>
        <v>0</v>
      </c>
      <c r="N218" s="413">
        <f t="shared" si="197"/>
        <v>0</v>
      </c>
      <c r="O218" s="412" t="str">
        <f t="shared" si="198"/>
        <v/>
      </c>
      <c r="P218" s="414">
        <f t="shared" si="199"/>
        <v>0</v>
      </c>
      <c r="Q218" s="281"/>
      <c r="R218" s="412">
        <f t="shared" si="200"/>
        <v>0</v>
      </c>
      <c r="S218" s="71"/>
      <c r="T218" s="72">
        <f>SUM(T210:T217)</f>
        <v>40</v>
      </c>
      <c r="U218" s="397"/>
      <c r="V218" s="395"/>
      <c r="W218" s="11"/>
      <c r="X218" s="399"/>
      <c r="Y218" s="11"/>
      <c r="Z218" s="11"/>
      <c r="AA218" s="11"/>
    </row>
    <row r="219" ht="13.5" customHeight="1">
      <c r="A219" s="11"/>
      <c r="B219" s="11"/>
      <c r="C219" s="421" t="s">
        <v>13</v>
      </c>
      <c r="D219" s="280"/>
      <c r="E219" s="280"/>
      <c r="F219" s="280"/>
      <c r="G219" s="280"/>
      <c r="H219" s="280"/>
      <c r="I219" s="280"/>
      <c r="J219" s="280"/>
      <c r="K219" s="281"/>
      <c r="L219" s="422">
        <f t="shared" ref="L219:M219" si="201">SUM(L210:L218)</f>
        <v>3476.4</v>
      </c>
      <c r="M219" s="422">
        <f t="shared" si="201"/>
        <v>2.272</v>
      </c>
      <c r="N219" s="423">
        <f t="shared" ref="N219:O219" si="202">MAX(N210:N218)</f>
        <v>1.1</v>
      </c>
      <c r="O219" s="422">
        <f t="shared" si="202"/>
        <v>6</v>
      </c>
      <c r="P219" s="424">
        <f>SUM(P210:P218)</f>
        <v>12.26</v>
      </c>
      <c r="Q219" s="281"/>
      <c r="R219" s="422">
        <f>SUM(R210:R218)</f>
        <v>5884.8</v>
      </c>
      <c r="S219" s="453"/>
      <c r="T219" s="72"/>
      <c r="U219" s="397"/>
      <c r="V219" s="395"/>
      <c r="W219" s="398"/>
      <c r="X219" s="399"/>
      <c r="Y219" s="11"/>
      <c r="Z219" s="11"/>
      <c r="AA219" s="11"/>
    </row>
    <row r="220" ht="13.5" customHeight="1">
      <c r="A220" s="11"/>
      <c r="B220" s="11"/>
      <c r="C220" s="425" t="s">
        <v>113</v>
      </c>
      <c r="L220" s="426"/>
      <c r="M220" s="11"/>
      <c r="N220" s="11"/>
      <c r="O220" s="71"/>
      <c r="P220" s="427"/>
      <c r="Q220" s="397"/>
      <c r="R220" s="395"/>
      <c r="S220" s="398"/>
      <c r="T220" s="399"/>
      <c r="U220" s="11"/>
      <c r="V220" s="11"/>
      <c r="W220" s="428"/>
      <c r="X220" s="11"/>
      <c r="Y220" s="11"/>
      <c r="Z220" s="402"/>
      <c r="AA220" s="402"/>
    </row>
    <row r="221" ht="13.5" customHeight="1">
      <c r="A221" s="11"/>
      <c r="B221" s="11"/>
      <c r="C221" s="11"/>
      <c r="D221" s="11"/>
      <c r="E221" s="11"/>
      <c r="F221" s="253"/>
      <c r="G221" s="253"/>
      <c r="H221" s="11"/>
      <c r="I221" s="429"/>
      <c r="J221" s="427"/>
      <c r="K221" s="430" t="s">
        <v>13</v>
      </c>
      <c r="L221" s="431">
        <f>L219+L220</f>
        <v>3476.4</v>
      </c>
      <c r="M221" s="11"/>
      <c r="N221" s="11"/>
      <c r="O221" s="71"/>
      <c r="P221" s="427"/>
      <c r="Q221" s="397"/>
      <c r="R221" s="395"/>
      <c r="S221" s="398"/>
      <c r="T221" s="399"/>
      <c r="U221" s="11"/>
      <c r="V221" s="11"/>
      <c r="W221" s="398"/>
      <c r="X221" s="11"/>
      <c r="Y221" s="11"/>
      <c r="Z221" s="402"/>
      <c r="AA221" s="402"/>
    </row>
    <row r="222" ht="13.5" customHeight="1">
      <c r="A222" s="11"/>
      <c r="B222" s="11"/>
      <c r="C222" s="11"/>
      <c r="D222" s="11"/>
      <c r="E222" s="11"/>
      <c r="F222" s="253"/>
      <c r="G222" s="253"/>
      <c r="H222" s="11"/>
      <c r="I222" s="429"/>
      <c r="J222" s="427"/>
      <c r="K222" s="395"/>
      <c r="L222" s="431"/>
      <c r="M222" s="11"/>
      <c r="N222" s="11"/>
      <c r="O222" s="71"/>
      <c r="P222" s="427"/>
      <c r="Q222" s="397"/>
      <c r="R222" s="395"/>
      <c r="S222" s="398"/>
      <c r="T222" s="399"/>
      <c r="U222" s="11"/>
      <c r="V222" s="11"/>
      <c r="W222" s="11"/>
      <c r="X222" s="11"/>
      <c r="Y222" s="11"/>
      <c r="Z222" s="402"/>
      <c r="AA222" s="402"/>
    </row>
    <row r="223" ht="13.5" customHeight="1">
      <c r="A223" s="11"/>
      <c r="B223" s="11"/>
      <c r="C223" s="403" t="s">
        <v>114</v>
      </c>
      <c r="D223" s="280"/>
      <c r="E223" s="280"/>
      <c r="F223" s="280"/>
      <c r="G223" s="280"/>
      <c r="H223" s="280"/>
      <c r="I223" s="280"/>
      <c r="J223" s="280"/>
      <c r="K223" s="280"/>
      <c r="L223" s="281"/>
      <c r="M223" s="403" t="s">
        <v>108</v>
      </c>
      <c r="N223" s="280"/>
      <c r="O223" s="280"/>
      <c r="P223" s="280"/>
      <c r="Q223" s="280"/>
      <c r="R223" s="281"/>
      <c r="S223" s="398"/>
      <c r="T223" s="399"/>
      <c r="U223" s="11"/>
      <c r="V223" s="11"/>
      <c r="W223" s="11"/>
      <c r="X223" s="11"/>
      <c r="Y223" s="11"/>
      <c r="Z223" s="402"/>
      <c r="AA223" s="402"/>
    </row>
    <row r="224" ht="13.5" customHeight="1">
      <c r="A224" s="11"/>
      <c r="B224" s="11"/>
      <c r="C224" s="404" t="s">
        <v>35</v>
      </c>
      <c r="D224" s="405" t="s">
        <v>24</v>
      </c>
      <c r="E224" s="405" t="s">
        <v>25</v>
      </c>
      <c r="F224" s="405" t="s">
        <v>36</v>
      </c>
      <c r="G224" s="406" t="s">
        <v>37</v>
      </c>
      <c r="H224" s="405"/>
      <c r="I224" s="407" t="s">
        <v>26</v>
      </c>
      <c r="J224" s="408" t="s">
        <v>27</v>
      </c>
      <c r="K224" s="409" t="s">
        <v>109</v>
      </c>
      <c r="L224" s="409" t="s">
        <v>110</v>
      </c>
      <c r="M224" s="404" t="s">
        <v>35</v>
      </c>
      <c r="N224" s="405" t="s">
        <v>24</v>
      </c>
      <c r="O224" s="405" t="s">
        <v>25</v>
      </c>
      <c r="P224" s="410" t="s">
        <v>111</v>
      </c>
      <c r="Q224" s="281"/>
      <c r="R224" s="409" t="s">
        <v>112</v>
      </c>
      <c r="S224" s="398"/>
      <c r="T224" s="399"/>
      <c r="U224" s="11"/>
      <c r="V224" s="11"/>
      <c r="W224" s="11"/>
      <c r="X224" s="11"/>
      <c r="Y224" s="11"/>
      <c r="Z224" s="402"/>
      <c r="AA224" s="402"/>
    </row>
    <row r="225" ht="13.5" customHeight="1">
      <c r="A225" s="11"/>
      <c r="B225" s="11"/>
      <c r="C225" s="238"/>
      <c r="D225" s="239"/>
      <c r="E225" s="245"/>
      <c r="F225" s="156"/>
      <c r="G225" s="156"/>
      <c r="H225" s="332"/>
      <c r="I225" s="316"/>
      <c r="J225" s="159"/>
      <c r="K225" s="411"/>
      <c r="L225" s="412">
        <f t="shared" ref="L225:L233" si="203">I225*((C225*D225*E225)*K225)</f>
        <v>0</v>
      </c>
      <c r="M225" s="412">
        <f t="shared" ref="M225:M233" si="204">IF(C225=0,0,C225*MAX(1,ROUNDUP(K225/INT(1.1/D225),0)))</f>
        <v>0</v>
      </c>
      <c r="N225" s="413">
        <f t="shared" ref="N225:N233" si="205">IF(D225=0,0,IF(D225*K225&lt;=1.1,D225*K225,INT(1.1/D225)*D225))</f>
        <v>0</v>
      </c>
      <c r="O225" s="412" t="str">
        <f t="shared" ref="O225:O233" si="206">E225</f>
        <v/>
      </c>
      <c r="P225" s="414">
        <f t="shared" ref="P225:P233" si="207">ROUND((C225*D225*E225)*K225,2)</f>
        <v>0</v>
      </c>
      <c r="Q225" s="281"/>
      <c r="R225" s="412">
        <f t="shared" ref="R225:R233" si="208">P225*480</f>
        <v>0</v>
      </c>
      <c r="S225" s="398"/>
      <c r="T225" s="399"/>
      <c r="U225" s="38"/>
      <c r="V225" s="11"/>
      <c r="W225" s="38"/>
      <c r="X225" s="11"/>
      <c r="Y225" s="11"/>
      <c r="Z225" s="402"/>
      <c r="AA225" s="402"/>
    </row>
    <row r="226" ht="13.5" customHeight="1">
      <c r="A226" s="11"/>
      <c r="B226" s="11"/>
      <c r="C226" s="238"/>
      <c r="D226" s="239"/>
      <c r="E226" s="245"/>
      <c r="F226" s="156"/>
      <c r="G226" s="156"/>
      <c r="H226" s="332"/>
      <c r="I226" s="316"/>
      <c r="J226" s="159"/>
      <c r="K226" s="411"/>
      <c r="L226" s="412">
        <f t="shared" si="203"/>
        <v>0</v>
      </c>
      <c r="M226" s="412">
        <f t="shared" si="204"/>
        <v>0</v>
      </c>
      <c r="N226" s="413">
        <f t="shared" si="205"/>
        <v>0</v>
      </c>
      <c r="O226" s="412" t="str">
        <f t="shared" si="206"/>
        <v/>
      </c>
      <c r="P226" s="414">
        <f t="shared" si="207"/>
        <v>0</v>
      </c>
      <c r="Q226" s="281"/>
      <c r="R226" s="412">
        <f t="shared" si="208"/>
        <v>0</v>
      </c>
      <c r="S226" s="398"/>
      <c r="T226" s="399"/>
      <c r="U226" s="38"/>
      <c r="V226" s="11"/>
      <c r="W226" s="38"/>
      <c r="X226" s="11"/>
      <c r="Y226" s="11"/>
      <c r="Z226" s="402"/>
      <c r="AA226" s="402"/>
    </row>
    <row r="227" ht="13.5" customHeight="1">
      <c r="A227" s="11"/>
      <c r="B227" s="11"/>
      <c r="C227" s="238"/>
      <c r="D227" s="239"/>
      <c r="E227" s="245"/>
      <c r="F227" s="156"/>
      <c r="G227" s="156"/>
      <c r="H227" s="332"/>
      <c r="I227" s="316"/>
      <c r="J227" s="159"/>
      <c r="K227" s="411"/>
      <c r="L227" s="412">
        <f t="shared" si="203"/>
        <v>0</v>
      </c>
      <c r="M227" s="412">
        <f t="shared" si="204"/>
        <v>0</v>
      </c>
      <c r="N227" s="413">
        <f t="shared" si="205"/>
        <v>0</v>
      </c>
      <c r="O227" s="412" t="str">
        <f t="shared" si="206"/>
        <v/>
      </c>
      <c r="P227" s="414">
        <f t="shared" si="207"/>
        <v>0</v>
      </c>
      <c r="Q227" s="281"/>
      <c r="R227" s="412">
        <f t="shared" si="208"/>
        <v>0</v>
      </c>
      <c r="S227" s="398"/>
      <c r="T227" s="399"/>
      <c r="U227" s="11"/>
      <c r="V227" s="11"/>
      <c r="W227" s="11"/>
      <c r="X227" s="11"/>
      <c r="Y227" s="11"/>
      <c r="Z227" s="402"/>
      <c r="AA227" s="402"/>
    </row>
    <row r="228" ht="13.5" customHeight="1">
      <c r="A228" s="11"/>
      <c r="B228" s="11"/>
      <c r="C228" s="238"/>
      <c r="D228" s="239"/>
      <c r="E228" s="245"/>
      <c r="F228" s="156"/>
      <c r="G228" s="156"/>
      <c r="H228" s="332"/>
      <c r="I228" s="316"/>
      <c r="J228" s="159"/>
      <c r="K228" s="411"/>
      <c r="L228" s="412">
        <f t="shared" si="203"/>
        <v>0</v>
      </c>
      <c r="M228" s="412">
        <f t="shared" si="204"/>
        <v>0</v>
      </c>
      <c r="N228" s="413">
        <f t="shared" si="205"/>
        <v>0</v>
      </c>
      <c r="O228" s="412" t="str">
        <f t="shared" si="206"/>
        <v/>
      </c>
      <c r="P228" s="414">
        <f t="shared" si="207"/>
        <v>0</v>
      </c>
      <c r="Q228" s="281"/>
      <c r="R228" s="412">
        <f t="shared" si="208"/>
        <v>0</v>
      </c>
      <c r="S228" s="398"/>
      <c r="T228" s="399"/>
      <c r="U228" s="11"/>
      <c r="V228" s="11"/>
      <c r="W228" s="11"/>
      <c r="X228" s="11"/>
      <c r="Y228" s="11"/>
      <c r="Z228" s="402"/>
      <c r="AA228" s="402"/>
    </row>
    <row r="229" ht="13.5" customHeight="1">
      <c r="A229" s="11"/>
      <c r="B229" s="11"/>
      <c r="C229" s="238"/>
      <c r="D229" s="239"/>
      <c r="E229" s="245"/>
      <c r="F229" s="156"/>
      <c r="G229" s="156"/>
      <c r="H229" s="240"/>
      <c r="I229" s="158"/>
      <c r="J229" s="159"/>
      <c r="K229" s="411"/>
      <c r="L229" s="412">
        <f t="shared" si="203"/>
        <v>0</v>
      </c>
      <c r="M229" s="412">
        <f t="shared" si="204"/>
        <v>0</v>
      </c>
      <c r="N229" s="413">
        <f t="shared" si="205"/>
        <v>0</v>
      </c>
      <c r="O229" s="412" t="str">
        <f t="shared" si="206"/>
        <v/>
      </c>
      <c r="P229" s="414">
        <f t="shared" si="207"/>
        <v>0</v>
      </c>
      <c r="Q229" s="281"/>
      <c r="R229" s="412">
        <f t="shared" si="208"/>
        <v>0</v>
      </c>
      <c r="S229" s="398"/>
      <c r="T229" s="399"/>
      <c r="U229" s="11"/>
      <c r="V229" s="11"/>
      <c r="W229" s="11"/>
      <c r="X229" s="11"/>
      <c r="Y229" s="11"/>
      <c r="Z229" s="402"/>
      <c r="AA229" s="402"/>
    </row>
    <row r="230" ht="13.5" customHeight="1">
      <c r="A230" s="11"/>
      <c r="B230" s="11"/>
      <c r="C230" s="86"/>
      <c r="D230" s="87"/>
      <c r="E230" s="88"/>
      <c r="F230" s="156"/>
      <c r="G230" s="156"/>
      <c r="H230" s="240"/>
      <c r="I230" s="158"/>
      <c r="J230" s="159"/>
      <c r="K230" s="411"/>
      <c r="L230" s="412">
        <f t="shared" si="203"/>
        <v>0</v>
      </c>
      <c r="M230" s="412">
        <f t="shared" si="204"/>
        <v>0</v>
      </c>
      <c r="N230" s="413">
        <f t="shared" si="205"/>
        <v>0</v>
      </c>
      <c r="O230" s="412" t="str">
        <f t="shared" si="206"/>
        <v/>
      </c>
      <c r="P230" s="414">
        <f t="shared" si="207"/>
        <v>0</v>
      </c>
      <c r="Q230" s="281"/>
      <c r="R230" s="412">
        <f t="shared" si="208"/>
        <v>0</v>
      </c>
      <c r="S230" s="398"/>
      <c r="T230" s="399"/>
      <c r="U230" s="11"/>
      <c r="V230" s="11"/>
      <c r="W230" s="11"/>
      <c r="X230" s="11"/>
      <c r="Y230" s="11"/>
      <c r="Z230" s="402"/>
      <c r="AA230" s="402"/>
    </row>
    <row r="231" ht="13.5" customHeight="1">
      <c r="A231" s="11"/>
      <c r="B231" s="11"/>
      <c r="C231" s="238"/>
      <c r="D231" s="239"/>
      <c r="E231" s="245"/>
      <c r="F231" s="156"/>
      <c r="G231" s="156"/>
      <c r="H231" s="157"/>
      <c r="I231" s="158"/>
      <c r="J231" s="159"/>
      <c r="K231" s="411"/>
      <c r="L231" s="412">
        <f t="shared" si="203"/>
        <v>0</v>
      </c>
      <c r="M231" s="412">
        <f t="shared" si="204"/>
        <v>0</v>
      </c>
      <c r="N231" s="413">
        <f t="shared" si="205"/>
        <v>0</v>
      </c>
      <c r="O231" s="412" t="str">
        <f t="shared" si="206"/>
        <v/>
      </c>
      <c r="P231" s="414">
        <f t="shared" si="207"/>
        <v>0</v>
      </c>
      <c r="Q231" s="281"/>
      <c r="R231" s="412">
        <f t="shared" si="208"/>
        <v>0</v>
      </c>
      <c r="S231" s="398"/>
      <c r="T231" s="399"/>
      <c r="U231" s="11"/>
      <c r="V231" s="11"/>
      <c r="W231" s="11"/>
      <c r="X231" s="11"/>
      <c r="Y231" s="11"/>
      <c r="Z231" s="402"/>
      <c r="AA231" s="402"/>
    </row>
    <row r="232" ht="13.5" customHeight="1">
      <c r="A232" s="11"/>
      <c r="B232" s="11"/>
      <c r="C232" s="249"/>
      <c r="D232" s="170"/>
      <c r="E232" s="155"/>
      <c r="F232" s="156"/>
      <c r="G232" s="156"/>
      <c r="H232" s="240"/>
      <c r="I232" s="158"/>
      <c r="J232" s="159"/>
      <c r="K232" s="420"/>
      <c r="L232" s="412">
        <f t="shared" si="203"/>
        <v>0</v>
      </c>
      <c r="M232" s="412">
        <f t="shared" si="204"/>
        <v>0</v>
      </c>
      <c r="N232" s="413">
        <f t="shared" si="205"/>
        <v>0</v>
      </c>
      <c r="O232" s="412" t="str">
        <f t="shared" si="206"/>
        <v/>
      </c>
      <c r="P232" s="414">
        <f t="shared" si="207"/>
        <v>0</v>
      </c>
      <c r="Q232" s="281"/>
      <c r="R232" s="412">
        <f t="shared" si="208"/>
        <v>0</v>
      </c>
      <c r="S232" s="398"/>
      <c r="T232" s="399"/>
      <c r="U232" s="11"/>
      <c r="V232" s="11"/>
      <c r="W232" s="11"/>
      <c r="X232" s="11"/>
      <c r="Y232" s="11"/>
      <c r="Z232" s="402"/>
      <c r="AA232" s="402"/>
    </row>
    <row r="233" ht="13.5" customHeight="1">
      <c r="A233" s="11"/>
      <c r="B233" s="11"/>
      <c r="C233" s="249"/>
      <c r="D233" s="170"/>
      <c r="E233" s="155"/>
      <c r="F233" s="156"/>
      <c r="G233" s="156"/>
      <c r="H233" s="240"/>
      <c r="I233" s="158"/>
      <c r="J233" s="159"/>
      <c r="K233" s="420"/>
      <c r="L233" s="412">
        <f t="shared" si="203"/>
        <v>0</v>
      </c>
      <c r="M233" s="412">
        <f t="shared" si="204"/>
        <v>0</v>
      </c>
      <c r="N233" s="413">
        <f t="shared" si="205"/>
        <v>0</v>
      </c>
      <c r="O233" s="412" t="str">
        <f t="shared" si="206"/>
        <v/>
      </c>
      <c r="P233" s="414">
        <f t="shared" si="207"/>
        <v>0</v>
      </c>
      <c r="Q233" s="281"/>
      <c r="R233" s="412">
        <f t="shared" si="208"/>
        <v>0</v>
      </c>
      <c r="S233" s="398"/>
      <c r="T233" s="399"/>
      <c r="U233" s="11"/>
      <c r="V233" s="11"/>
      <c r="W233" s="11"/>
      <c r="X233" s="11"/>
      <c r="Y233" s="11"/>
      <c r="Z233" s="402"/>
      <c r="AA233" s="402"/>
    </row>
    <row r="234" ht="13.5" customHeight="1">
      <c r="A234" s="11"/>
      <c r="B234" s="11"/>
      <c r="C234" s="421" t="s">
        <v>13</v>
      </c>
      <c r="D234" s="280"/>
      <c r="E234" s="280"/>
      <c r="F234" s="280"/>
      <c r="G234" s="280"/>
      <c r="H234" s="280"/>
      <c r="I234" s="280"/>
      <c r="J234" s="280"/>
      <c r="K234" s="281"/>
      <c r="L234" s="422">
        <f t="shared" ref="L234:M234" si="209">SUM(L225:L233)</f>
        <v>0</v>
      </c>
      <c r="M234" s="422">
        <f t="shared" si="209"/>
        <v>0</v>
      </c>
      <c r="N234" s="423">
        <f t="shared" ref="N234:O234" si="210">MAX(N225:N233)</f>
        <v>0</v>
      </c>
      <c r="O234" s="422">
        <f t="shared" si="210"/>
        <v>0</v>
      </c>
      <c r="P234" s="424">
        <f>SUM(P225:P233)</f>
        <v>0</v>
      </c>
      <c r="Q234" s="281"/>
      <c r="R234" s="422">
        <f>SUM(R225:R233)</f>
        <v>0</v>
      </c>
      <c r="S234" s="398"/>
      <c r="T234" s="399"/>
      <c r="U234" s="11"/>
      <c r="V234" s="11"/>
      <c r="W234" s="11"/>
      <c r="X234" s="11"/>
      <c r="Y234" s="11"/>
      <c r="Z234" s="402"/>
      <c r="AA234" s="402"/>
    </row>
    <row r="235" ht="13.5" customHeight="1">
      <c r="A235" s="11"/>
      <c r="B235" s="11"/>
      <c r="C235" s="11"/>
      <c r="D235" s="11"/>
      <c r="E235" s="11"/>
      <c r="F235" s="253"/>
      <c r="G235" s="253"/>
      <c r="H235" s="11"/>
      <c r="I235" s="429"/>
      <c r="J235" s="427"/>
      <c r="K235" s="430" t="s">
        <v>113</v>
      </c>
      <c r="L235" s="426"/>
      <c r="M235" s="11"/>
      <c r="N235" s="11"/>
      <c r="O235" s="71"/>
      <c r="P235" s="427"/>
      <c r="Q235" s="397"/>
      <c r="R235" s="395"/>
      <c r="S235" s="398"/>
      <c r="T235" s="399"/>
      <c r="U235" s="11"/>
      <c r="V235" s="11"/>
      <c r="W235" s="11"/>
      <c r="X235" s="11"/>
      <c r="Y235" s="11"/>
      <c r="Z235" s="402"/>
      <c r="AA235" s="402"/>
    </row>
    <row r="236" ht="13.5" customHeight="1">
      <c r="A236" s="11"/>
      <c r="B236" s="11"/>
      <c r="C236" s="11"/>
      <c r="D236" s="11"/>
      <c r="E236" s="11"/>
      <c r="F236" s="253"/>
      <c r="G236" s="253"/>
      <c r="H236" s="11"/>
      <c r="I236" s="429"/>
      <c r="J236" s="427"/>
      <c r="K236" s="430" t="s">
        <v>115</v>
      </c>
      <c r="L236" s="431">
        <f>L234+L235</f>
        <v>0</v>
      </c>
      <c r="M236" s="11"/>
      <c r="N236" s="11"/>
      <c r="O236" s="71"/>
      <c r="P236" s="427"/>
      <c r="Q236" s="397"/>
      <c r="R236" s="395"/>
      <c r="S236" s="398"/>
      <c r="T236" s="399"/>
      <c r="U236" s="11"/>
      <c r="V236" s="11"/>
      <c r="W236" s="11"/>
      <c r="X236" s="11"/>
      <c r="Y236" s="11"/>
      <c r="Z236" s="402"/>
      <c r="AA236" s="402"/>
    </row>
    <row r="237" ht="13.5" customHeight="1">
      <c r="A237" s="11"/>
      <c r="B237" s="11"/>
      <c r="C237" s="11"/>
      <c r="D237" s="11"/>
      <c r="E237" s="11"/>
      <c r="F237" s="253"/>
      <c r="G237" s="253"/>
      <c r="H237" s="11"/>
      <c r="I237" s="429"/>
      <c r="J237" s="427"/>
      <c r="K237" s="395"/>
      <c r="L237" s="431"/>
      <c r="M237" s="11"/>
      <c r="N237" s="11"/>
      <c r="O237" s="71"/>
      <c r="P237" s="427"/>
      <c r="Q237" s="397"/>
      <c r="R237" s="395"/>
      <c r="S237" s="398"/>
      <c r="T237" s="399"/>
      <c r="U237" s="11"/>
      <c r="V237" s="11"/>
      <c r="W237" s="11"/>
      <c r="X237" s="11"/>
      <c r="Y237" s="11"/>
      <c r="Z237" s="402"/>
      <c r="AA237" s="402"/>
    </row>
    <row r="238" ht="13.5" customHeight="1">
      <c r="A238" s="11"/>
      <c r="B238" s="11"/>
      <c r="C238" s="403" t="s">
        <v>107</v>
      </c>
      <c r="D238" s="280"/>
      <c r="E238" s="280"/>
      <c r="F238" s="280"/>
      <c r="G238" s="280"/>
      <c r="H238" s="280"/>
      <c r="I238" s="280"/>
      <c r="J238" s="280"/>
      <c r="K238" s="280"/>
      <c r="L238" s="281"/>
      <c r="M238" s="403" t="s">
        <v>108</v>
      </c>
      <c r="N238" s="280"/>
      <c r="O238" s="280"/>
      <c r="P238" s="280"/>
      <c r="Q238" s="280"/>
      <c r="R238" s="281"/>
      <c r="S238" s="398"/>
      <c r="T238" s="399"/>
      <c r="U238" s="11"/>
      <c r="V238" s="11"/>
      <c r="W238" s="11"/>
      <c r="X238" s="11"/>
      <c r="Y238" s="11"/>
      <c r="Z238" s="402"/>
      <c r="AA238" s="402"/>
    </row>
    <row r="239" ht="13.5" customHeight="1">
      <c r="A239" s="11"/>
      <c r="B239" s="11"/>
      <c r="C239" s="404" t="s">
        <v>35</v>
      </c>
      <c r="D239" s="405" t="s">
        <v>24</v>
      </c>
      <c r="E239" s="405" t="s">
        <v>25</v>
      </c>
      <c r="F239" s="405" t="s">
        <v>36</v>
      </c>
      <c r="G239" s="406" t="s">
        <v>37</v>
      </c>
      <c r="H239" s="405"/>
      <c r="I239" s="407" t="s">
        <v>26</v>
      </c>
      <c r="J239" s="408" t="s">
        <v>27</v>
      </c>
      <c r="K239" s="409" t="s">
        <v>109</v>
      </c>
      <c r="L239" s="409" t="s">
        <v>110</v>
      </c>
      <c r="M239" s="404" t="s">
        <v>35</v>
      </c>
      <c r="N239" s="405" t="s">
        <v>24</v>
      </c>
      <c r="O239" s="405" t="s">
        <v>25</v>
      </c>
      <c r="P239" s="410" t="s">
        <v>111</v>
      </c>
      <c r="Q239" s="281"/>
      <c r="R239" s="409" t="s">
        <v>112</v>
      </c>
      <c r="S239" s="398"/>
      <c r="T239" s="399"/>
      <c r="U239" s="11"/>
      <c r="V239" s="11"/>
      <c r="W239" s="11"/>
      <c r="X239" s="11"/>
      <c r="Y239" s="11"/>
      <c r="Z239" s="402"/>
      <c r="AA239" s="402"/>
    </row>
    <row r="240" ht="13.5" customHeight="1">
      <c r="A240" s="11"/>
      <c r="B240" s="11"/>
      <c r="C240" s="238">
        <v>0.1</v>
      </c>
      <c r="D240" s="239">
        <v>0.1</v>
      </c>
      <c r="E240" s="245">
        <v>6.0</v>
      </c>
      <c r="F240" s="156">
        <f>C240*D240*E240</f>
        <v>0.06</v>
      </c>
      <c r="G240" s="156">
        <f>D240*E240</f>
        <v>0.6</v>
      </c>
      <c r="H240" s="332">
        <v>240.0</v>
      </c>
      <c r="I240" s="158">
        <f>ROUND(H240*1.1667,0)</f>
        <v>280</v>
      </c>
      <c r="J240" s="159">
        <f>ROUND((I240*0.992)*1.21,0)*(C240*D240*E240)</f>
        <v>20.16</v>
      </c>
      <c r="K240" s="411">
        <v>35.0</v>
      </c>
      <c r="L240" s="412">
        <f t="shared" ref="L240:L248" si="211">IF($P$249&gt;=1,I240*((C240*D240*E240)*K240),J240*K240)</f>
        <v>588</v>
      </c>
      <c r="M240" s="412">
        <f t="shared" ref="M240:M248" si="212">IF(C240=0,0,C240*MAX(1,ROUNDUP(K240/INT(1.1/D240),0)))</f>
        <v>0.4</v>
      </c>
      <c r="N240" s="413">
        <f t="shared" ref="N240:N248" si="213">IF(D240=0,0,IF(D240*K240&lt;=1.1,D240*K240,INT(1.1/D240)*D240))</f>
        <v>1.1</v>
      </c>
      <c r="O240" s="412">
        <f t="shared" ref="O240:O248" si="214">E240</f>
        <v>6</v>
      </c>
      <c r="P240" s="414">
        <f t="shared" ref="P240:P248" si="215">ROUND((C240*D240*E240)*K240,2)</f>
        <v>2.1</v>
      </c>
      <c r="Q240" s="281"/>
      <c r="R240" s="412">
        <f t="shared" ref="R240:R248" si="216">P240*480</f>
        <v>1008</v>
      </c>
      <c r="S240" s="398">
        <f>L240*1.21</f>
        <v>711.48</v>
      </c>
      <c r="T240" s="399">
        <f>2690/300</f>
        <v>8.966666667</v>
      </c>
      <c r="U240" s="11"/>
      <c r="V240" s="11"/>
      <c r="W240" s="11"/>
      <c r="X240" s="11"/>
      <c r="Y240" s="11"/>
      <c r="Z240" s="402"/>
      <c r="AA240" s="402"/>
    </row>
    <row r="241" ht="13.5" customHeight="1">
      <c r="A241" s="11"/>
      <c r="B241" s="11"/>
      <c r="C241" s="238"/>
      <c r="D241" s="239"/>
      <c r="E241" s="245"/>
      <c r="F241" s="156"/>
      <c r="G241" s="156"/>
      <c r="H241" s="332"/>
      <c r="I241" s="158"/>
      <c r="J241" s="159"/>
      <c r="K241" s="411"/>
      <c r="L241" s="412">
        <f t="shared" si="211"/>
        <v>0</v>
      </c>
      <c r="M241" s="412">
        <f t="shared" si="212"/>
        <v>0</v>
      </c>
      <c r="N241" s="413">
        <f t="shared" si="213"/>
        <v>0</v>
      </c>
      <c r="O241" s="412" t="str">
        <f t="shared" si="214"/>
        <v/>
      </c>
      <c r="P241" s="414">
        <f t="shared" si="215"/>
        <v>0</v>
      </c>
      <c r="Q241" s="281"/>
      <c r="R241" s="412">
        <f t="shared" si="216"/>
        <v>0</v>
      </c>
      <c r="S241" s="11">
        <f>53/15</f>
        <v>3.533333333</v>
      </c>
      <c r="T241" s="399"/>
      <c r="U241" s="11"/>
      <c r="V241" s="11"/>
      <c r="W241" s="11"/>
      <c r="X241" s="11"/>
      <c r="Y241" s="11"/>
      <c r="Z241" s="402"/>
      <c r="AA241" s="402"/>
    </row>
    <row r="242" ht="13.5" customHeight="1">
      <c r="A242" s="11"/>
      <c r="B242" s="11"/>
      <c r="C242" s="238"/>
      <c r="D242" s="239"/>
      <c r="E242" s="245"/>
      <c r="F242" s="156"/>
      <c r="G242" s="156"/>
      <c r="H242" s="240"/>
      <c r="I242" s="158"/>
      <c r="J242" s="159"/>
      <c r="K242" s="411"/>
      <c r="L242" s="412">
        <f t="shared" si="211"/>
        <v>0</v>
      </c>
      <c r="M242" s="412">
        <f t="shared" si="212"/>
        <v>0</v>
      </c>
      <c r="N242" s="413">
        <f t="shared" si="213"/>
        <v>0</v>
      </c>
      <c r="O242" s="412" t="str">
        <f t="shared" si="214"/>
        <v/>
      </c>
      <c r="P242" s="414">
        <f t="shared" si="215"/>
        <v>0</v>
      </c>
      <c r="Q242" s="281"/>
      <c r="R242" s="412">
        <f t="shared" si="216"/>
        <v>0</v>
      </c>
      <c r="S242" s="398">
        <f>15*3.5</f>
        <v>52.5</v>
      </c>
      <c r="T242" s="399"/>
      <c r="U242" s="11"/>
      <c r="V242" s="11"/>
      <c r="W242" s="11"/>
      <c r="X242" s="11"/>
      <c r="Y242" s="11"/>
      <c r="Z242" s="402"/>
      <c r="AA242" s="402"/>
    </row>
    <row r="243" ht="13.5" customHeight="1">
      <c r="A243" s="11"/>
      <c r="B243" s="11"/>
      <c r="C243" s="238"/>
      <c r="D243" s="239"/>
      <c r="E243" s="245"/>
      <c r="F243" s="156"/>
      <c r="G243" s="156"/>
      <c r="H243" s="240"/>
      <c r="I243" s="316"/>
      <c r="J243" s="159"/>
      <c r="K243" s="411"/>
      <c r="L243" s="412">
        <f t="shared" si="211"/>
        <v>0</v>
      </c>
      <c r="M243" s="412">
        <f t="shared" si="212"/>
        <v>0</v>
      </c>
      <c r="N243" s="413">
        <f t="shared" si="213"/>
        <v>0</v>
      </c>
      <c r="O243" s="412" t="str">
        <f t="shared" si="214"/>
        <v/>
      </c>
      <c r="P243" s="414">
        <f t="shared" si="215"/>
        <v>0</v>
      </c>
      <c r="Q243" s="281"/>
      <c r="R243" s="412">
        <f t="shared" si="216"/>
        <v>0</v>
      </c>
      <c r="S243" s="398"/>
      <c r="T243" s="399"/>
      <c r="U243" s="11"/>
      <c r="V243" s="11"/>
      <c r="W243" s="11"/>
      <c r="X243" s="11"/>
      <c r="Y243" s="11"/>
      <c r="Z243" s="402"/>
      <c r="AA243" s="402"/>
    </row>
    <row r="244" ht="13.5" customHeight="1">
      <c r="A244" s="11"/>
      <c r="B244" s="11"/>
      <c r="C244" s="238"/>
      <c r="D244" s="239"/>
      <c r="E244" s="245"/>
      <c r="F244" s="156"/>
      <c r="G244" s="156"/>
      <c r="H244" s="240"/>
      <c r="I244" s="316"/>
      <c r="J244" s="159"/>
      <c r="K244" s="411"/>
      <c r="L244" s="412">
        <f t="shared" si="211"/>
        <v>0</v>
      </c>
      <c r="M244" s="412">
        <f t="shared" si="212"/>
        <v>0</v>
      </c>
      <c r="N244" s="413">
        <f t="shared" si="213"/>
        <v>0</v>
      </c>
      <c r="O244" s="412" t="str">
        <f t="shared" si="214"/>
        <v/>
      </c>
      <c r="P244" s="414">
        <f t="shared" si="215"/>
        <v>0</v>
      </c>
      <c r="Q244" s="281"/>
      <c r="R244" s="412">
        <f t="shared" si="216"/>
        <v>0</v>
      </c>
      <c r="S244" s="11">
        <f>770/250</f>
        <v>3.08</v>
      </c>
      <c r="T244" s="399"/>
      <c r="U244" s="11"/>
      <c r="V244" s="11"/>
      <c r="W244" s="11"/>
      <c r="X244" s="11"/>
      <c r="Y244" s="11"/>
      <c r="Z244" s="402"/>
      <c r="AA244" s="402"/>
    </row>
    <row r="245" ht="13.5" customHeight="1">
      <c r="A245" s="11"/>
      <c r="B245" s="11"/>
      <c r="C245" s="238"/>
      <c r="D245" s="239"/>
      <c r="E245" s="245"/>
      <c r="F245" s="156"/>
      <c r="G245" s="156"/>
      <c r="H245" s="240"/>
      <c r="I245" s="158"/>
      <c r="J245" s="159"/>
      <c r="K245" s="411"/>
      <c r="L245" s="412">
        <f t="shared" si="211"/>
        <v>0</v>
      </c>
      <c r="M245" s="412">
        <f t="shared" si="212"/>
        <v>0</v>
      </c>
      <c r="N245" s="413">
        <f t="shared" si="213"/>
        <v>0</v>
      </c>
      <c r="O245" s="412" t="str">
        <f t="shared" si="214"/>
        <v/>
      </c>
      <c r="P245" s="414">
        <f t="shared" si="215"/>
        <v>0</v>
      </c>
      <c r="Q245" s="281"/>
      <c r="R245" s="412">
        <f t="shared" si="216"/>
        <v>0</v>
      </c>
      <c r="S245" s="38">
        <f>1235/400</f>
        <v>3.0875</v>
      </c>
      <c r="T245" s="399"/>
      <c r="U245" s="11"/>
      <c r="V245" s="11"/>
      <c r="W245" s="11"/>
      <c r="X245" s="11"/>
      <c r="Y245" s="11"/>
      <c r="Z245" s="402"/>
      <c r="AA245" s="402"/>
    </row>
    <row r="246" ht="13.5" customHeight="1">
      <c r="A246" s="11"/>
      <c r="B246" s="11"/>
      <c r="C246" s="238"/>
      <c r="D246" s="239"/>
      <c r="E246" s="245"/>
      <c r="F246" s="156"/>
      <c r="G246" s="156"/>
      <c r="H246" s="240"/>
      <c r="I246" s="158"/>
      <c r="J246" s="159"/>
      <c r="K246" s="411"/>
      <c r="L246" s="412">
        <f t="shared" si="211"/>
        <v>0</v>
      </c>
      <c r="M246" s="412">
        <f t="shared" si="212"/>
        <v>0</v>
      </c>
      <c r="N246" s="413">
        <f t="shared" si="213"/>
        <v>0</v>
      </c>
      <c r="O246" s="412" t="str">
        <f t="shared" si="214"/>
        <v/>
      </c>
      <c r="P246" s="414">
        <f t="shared" si="215"/>
        <v>0</v>
      </c>
      <c r="Q246" s="281"/>
      <c r="R246" s="412">
        <f t="shared" si="216"/>
        <v>0</v>
      </c>
      <c r="S246" s="11">
        <f>100/120</f>
        <v>0.8333333333</v>
      </c>
      <c r="T246" s="399"/>
      <c r="U246" s="11"/>
      <c r="V246" s="11"/>
      <c r="W246" s="11"/>
      <c r="X246" s="11"/>
      <c r="Y246" s="11"/>
      <c r="Z246" s="402"/>
      <c r="AA246" s="402"/>
    </row>
    <row r="247" ht="13.5" customHeight="1">
      <c r="A247" s="11"/>
      <c r="B247" s="11"/>
      <c r="C247" s="238"/>
      <c r="D247" s="239"/>
      <c r="E247" s="245"/>
      <c r="F247" s="156"/>
      <c r="G247" s="156"/>
      <c r="H247" s="240"/>
      <c r="I247" s="158"/>
      <c r="J247" s="159"/>
      <c r="K247" s="411"/>
      <c r="L247" s="412">
        <f t="shared" si="211"/>
        <v>0</v>
      </c>
      <c r="M247" s="412">
        <f t="shared" si="212"/>
        <v>0</v>
      </c>
      <c r="N247" s="413">
        <f t="shared" si="213"/>
        <v>0</v>
      </c>
      <c r="O247" s="412" t="str">
        <f t="shared" si="214"/>
        <v/>
      </c>
      <c r="P247" s="414">
        <f t="shared" si="215"/>
        <v>0</v>
      </c>
      <c r="Q247" s="281"/>
      <c r="R247" s="412">
        <f t="shared" si="216"/>
        <v>0</v>
      </c>
      <c r="S247" s="398"/>
      <c r="T247" s="399"/>
      <c r="U247" s="11"/>
      <c r="V247" s="11"/>
      <c r="W247" s="11"/>
      <c r="X247" s="11"/>
      <c r="Y247" s="11"/>
      <c r="Z247" s="402"/>
      <c r="AA247" s="402"/>
    </row>
    <row r="248" ht="13.5" customHeight="1">
      <c r="A248" s="11"/>
      <c r="B248" s="11"/>
      <c r="C248" s="238"/>
      <c r="D248" s="239"/>
      <c r="E248" s="245"/>
      <c r="F248" s="156"/>
      <c r="G248" s="156"/>
      <c r="H248" s="240"/>
      <c r="I248" s="158"/>
      <c r="J248" s="159"/>
      <c r="K248" s="411"/>
      <c r="L248" s="412">
        <f t="shared" si="211"/>
        <v>0</v>
      </c>
      <c r="M248" s="412">
        <f t="shared" si="212"/>
        <v>0</v>
      </c>
      <c r="N248" s="413">
        <f t="shared" si="213"/>
        <v>0</v>
      </c>
      <c r="O248" s="412" t="str">
        <f t="shared" si="214"/>
        <v/>
      </c>
      <c r="P248" s="414">
        <f t="shared" si="215"/>
        <v>0</v>
      </c>
      <c r="Q248" s="281"/>
      <c r="R248" s="412">
        <f t="shared" si="216"/>
        <v>0</v>
      </c>
      <c r="S248" s="398"/>
      <c r="T248" s="399"/>
      <c r="U248" s="11"/>
      <c r="V248" s="11"/>
      <c r="W248" s="11"/>
      <c r="X248" s="11"/>
      <c r="Y248" s="11"/>
      <c r="Z248" s="402"/>
      <c r="AA248" s="402"/>
    </row>
    <row r="249" ht="13.5" customHeight="1">
      <c r="A249" s="11"/>
      <c r="B249" s="11"/>
      <c r="C249" s="421" t="s">
        <v>13</v>
      </c>
      <c r="D249" s="280"/>
      <c r="E249" s="280"/>
      <c r="F249" s="280"/>
      <c r="G249" s="280"/>
      <c r="H249" s="280"/>
      <c r="I249" s="280"/>
      <c r="J249" s="280"/>
      <c r="K249" s="281"/>
      <c r="L249" s="422">
        <f t="shared" ref="L249:M249" si="217">SUM(L240:L248)</f>
        <v>588</v>
      </c>
      <c r="M249" s="422">
        <f t="shared" si="217"/>
        <v>0.4</v>
      </c>
      <c r="N249" s="423">
        <f t="shared" ref="N249:O249" si="218">MAX(N240:N248)</f>
        <v>1.1</v>
      </c>
      <c r="O249" s="422">
        <f t="shared" si="218"/>
        <v>6</v>
      </c>
      <c r="P249" s="424">
        <f>SUM(P240:P248)</f>
        <v>2.1</v>
      </c>
      <c r="Q249" s="281"/>
      <c r="R249" s="422">
        <f>SUM(R240:R248)</f>
        <v>1008</v>
      </c>
      <c r="S249" s="398"/>
      <c r="T249" s="399"/>
      <c r="U249" s="11"/>
      <c r="V249" s="11"/>
      <c r="W249" s="11"/>
      <c r="X249" s="11"/>
      <c r="Y249" s="11"/>
      <c r="Z249" s="402"/>
      <c r="AA249" s="402"/>
    </row>
    <row r="250" ht="13.5" customHeight="1">
      <c r="A250" s="11"/>
      <c r="B250" s="11"/>
      <c r="C250" s="11"/>
      <c r="D250" s="11"/>
      <c r="E250" s="11"/>
      <c r="F250" s="253"/>
      <c r="G250" s="253"/>
      <c r="H250" s="11"/>
      <c r="I250" s="429"/>
      <c r="J250" s="427"/>
      <c r="K250" s="430" t="s">
        <v>113</v>
      </c>
      <c r="L250" s="426">
        <v>120.0</v>
      </c>
      <c r="M250" s="11"/>
      <c r="N250" s="11"/>
      <c r="O250" s="71"/>
      <c r="P250" s="427"/>
      <c r="Q250" s="397"/>
      <c r="R250" s="395"/>
      <c r="S250" s="398"/>
      <c r="T250" s="399"/>
      <c r="U250" s="11"/>
      <c r="V250" s="11"/>
      <c r="W250" s="11"/>
      <c r="X250" s="11"/>
      <c r="Y250" s="11"/>
      <c r="Z250" s="402"/>
      <c r="AA250" s="402"/>
    </row>
    <row r="251" ht="13.5" customHeight="1">
      <c r="A251" s="11"/>
      <c r="B251" s="11"/>
      <c r="C251" s="11"/>
      <c r="D251" s="11"/>
      <c r="E251" s="11"/>
      <c r="F251" s="253"/>
      <c r="G251" s="253"/>
      <c r="H251" s="38"/>
      <c r="I251" s="432"/>
      <c r="J251" s="433"/>
      <c r="K251" s="430" t="s">
        <v>115</v>
      </c>
      <c r="L251" s="431">
        <f>L249+L250</f>
        <v>708</v>
      </c>
      <c r="M251" s="38"/>
      <c r="N251" s="11"/>
      <c r="O251" s="71"/>
      <c r="P251" s="427"/>
      <c r="Q251" s="397"/>
      <c r="R251" s="395"/>
      <c r="S251" s="398"/>
      <c r="T251" s="399"/>
      <c r="U251" s="11"/>
      <c r="V251" s="11"/>
      <c r="W251" s="11"/>
      <c r="X251" s="11"/>
      <c r="Y251" s="11"/>
      <c r="Z251" s="402"/>
      <c r="AA251" s="402"/>
    </row>
    <row r="252" ht="13.5" customHeight="1">
      <c r="A252" s="11"/>
      <c r="B252" s="11"/>
      <c r="C252" s="434"/>
      <c r="D252" s="434"/>
      <c r="E252" s="435"/>
      <c r="F252" s="436"/>
      <c r="G252" s="436"/>
      <c r="H252" s="437"/>
      <c r="I252" s="438"/>
      <c r="J252" s="439"/>
      <c r="K252" s="440"/>
      <c r="L252" s="426"/>
      <c r="M252" s="11"/>
      <c r="N252" s="11"/>
      <c r="O252" s="71"/>
      <c r="P252" s="427"/>
      <c r="Q252" s="397"/>
      <c r="R252" s="395"/>
      <c r="S252" s="398"/>
      <c r="T252" s="399"/>
      <c r="U252" s="11"/>
      <c r="V252" s="11"/>
      <c r="W252" s="11"/>
      <c r="X252" s="11"/>
      <c r="Y252" s="11"/>
      <c r="Z252" s="402"/>
      <c r="AA252" s="402"/>
    </row>
    <row r="253" ht="13.5" customHeight="1">
      <c r="A253" s="11"/>
      <c r="B253" s="11"/>
      <c r="C253" s="434"/>
      <c r="D253" s="434"/>
      <c r="E253" s="435"/>
      <c r="F253" s="436"/>
      <c r="G253" s="436"/>
      <c r="H253" s="437"/>
      <c r="I253" s="438"/>
      <c r="J253" s="439"/>
      <c r="K253" s="440"/>
      <c r="L253" s="426"/>
      <c r="M253" s="11"/>
      <c r="N253" s="11"/>
      <c r="O253" s="71"/>
      <c r="P253" s="427"/>
      <c r="Q253" s="397"/>
      <c r="R253" s="395"/>
      <c r="S253" s="398"/>
      <c r="T253" s="399"/>
      <c r="U253" s="11"/>
      <c r="V253" s="11"/>
      <c r="W253" s="11"/>
      <c r="X253" s="11"/>
      <c r="Y253" s="11"/>
      <c r="Z253" s="402"/>
      <c r="AA253" s="402"/>
    </row>
    <row r="254" ht="13.5" customHeight="1">
      <c r="A254" s="11"/>
      <c r="B254" s="11"/>
      <c r="C254" s="434"/>
      <c r="D254" s="434"/>
      <c r="E254" s="435"/>
      <c r="F254" s="436"/>
      <c r="G254" s="436"/>
      <c r="H254" s="437"/>
      <c r="I254" s="438"/>
      <c r="J254" s="439"/>
      <c r="K254" s="440"/>
      <c r="L254" s="426"/>
      <c r="M254" s="11"/>
      <c r="N254" s="11"/>
      <c r="O254" s="71"/>
      <c r="P254" s="427"/>
      <c r="Q254" s="397"/>
      <c r="R254" s="395"/>
      <c r="S254" s="398"/>
      <c r="T254" s="399"/>
      <c r="U254" s="11"/>
      <c r="V254" s="11"/>
      <c r="W254" s="11"/>
      <c r="X254" s="11"/>
      <c r="Y254" s="11"/>
      <c r="Z254" s="402"/>
      <c r="AA254" s="402"/>
    </row>
    <row r="255" ht="13.5" customHeight="1">
      <c r="A255" s="11"/>
      <c r="B255" s="11"/>
      <c r="C255" s="434"/>
      <c r="D255" s="434"/>
      <c r="E255" s="435"/>
      <c r="F255" s="436"/>
      <c r="G255" s="436"/>
      <c r="H255" s="437"/>
      <c r="I255" s="438" t="s">
        <v>116</v>
      </c>
      <c r="J255" s="439" t="s">
        <v>117</v>
      </c>
      <c r="K255" s="440"/>
      <c r="L255" s="426"/>
      <c r="M255" s="11"/>
      <c r="N255" s="11"/>
      <c r="O255" s="71"/>
      <c r="P255" s="427"/>
      <c r="Q255" s="397"/>
      <c r="R255" s="395"/>
      <c r="S255" s="398"/>
      <c r="T255" s="399"/>
      <c r="U255" s="11"/>
      <c r="V255" s="11"/>
      <c r="W255" s="11"/>
      <c r="X255" s="11"/>
      <c r="Y255" s="11"/>
      <c r="Z255" s="402"/>
      <c r="AA255" s="402"/>
    </row>
    <row r="256" ht="13.5" customHeight="1">
      <c r="A256" s="11"/>
      <c r="B256" s="11"/>
      <c r="C256" s="195">
        <f t="shared" ref="C256:D256" si="219">C258+0.004</f>
        <v>0.025</v>
      </c>
      <c r="D256" s="195">
        <f t="shared" si="219"/>
        <v>0.174</v>
      </c>
      <c r="E256" s="155">
        <f>E258</f>
        <v>6</v>
      </c>
      <c r="F256" s="156"/>
      <c r="G256" s="156"/>
      <c r="H256" s="157"/>
      <c r="I256" s="441">
        <v>300.0</v>
      </c>
      <c r="J256" s="442">
        <f>J258</f>
        <v>46.6853408</v>
      </c>
      <c r="K256" s="160">
        <f>J256*(C256*D256*E256)</f>
        <v>1.218487395</v>
      </c>
      <c r="L256" s="426">
        <f>I256*K256</f>
        <v>365.5462185</v>
      </c>
      <c r="M256" s="11"/>
      <c r="N256" s="11"/>
      <c r="O256" s="71"/>
      <c r="P256" s="427"/>
      <c r="Q256" s="397"/>
      <c r="R256" s="395"/>
      <c r="S256" s="398"/>
      <c r="T256" s="399"/>
      <c r="U256" s="11"/>
      <c r="V256" s="11"/>
      <c r="W256" s="11"/>
      <c r="X256" s="11"/>
      <c r="Y256" s="11"/>
      <c r="Z256" s="402"/>
      <c r="AA256" s="402"/>
    </row>
    <row r="257" ht="13.5" customHeight="1">
      <c r="A257" s="11"/>
      <c r="B257" s="11"/>
      <c r="C257" s="443"/>
      <c r="D257" s="444"/>
      <c r="E257" s="435"/>
      <c r="F257" s="436"/>
      <c r="G257" s="436"/>
      <c r="H257" s="437"/>
      <c r="I257" s="445"/>
      <c r="J257" s="446"/>
      <c r="K257" s="440"/>
      <c r="L257" s="431"/>
      <c r="M257" s="11"/>
      <c r="N257" s="11"/>
      <c r="O257" s="71"/>
      <c r="P257" s="427"/>
      <c r="Q257" s="397"/>
      <c r="R257" s="395"/>
      <c r="S257" s="398"/>
      <c r="T257" s="399"/>
      <c r="U257" s="11"/>
      <c r="V257" s="11"/>
      <c r="W257" s="11"/>
      <c r="X257" s="11"/>
      <c r="Y257" s="11"/>
      <c r="Z257" s="402"/>
      <c r="AA257" s="402"/>
    </row>
    <row r="258" ht="13.5" customHeight="1">
      <c r="A258" s="11"/>
      <c r="B258" s="11"/>
      <c r="C258" s="238">
        <v>0.021</v>
      </c>
      <c r="D258" s="239">
        <v>0.17</v>
      </c>
      <c r="E258" s="245">
        <v>6.0</v>
      </c>
      <c r="F258" s="156"/>
      <c r="G258" s="156"/>
      <c r="H258" s="157"/>
      <c r="I258" s="447">
        <f>L256+L258</f>
        <v>465.5462185</v>
      </c>
      <c r="J258" s="442">
        <f>1/(C258*D258*E258)</f>
        <v>46.6853408</v>
      </c>
      <c r="K258" s="160"/>
      <c r="L258" s="426">
        <v>100.0</v>
      </c>
      <c r="M258" s="11"/>
      <c r="N258" s="11"/>
      <c r="O258" s="71"/>
      <c r="P258" s="427"/>
      <c r="Q258" s="397"/>
      <c r="R258" s="395"/>
      <c r="S258" s="398"/>
      <c r="T258" s="399"/>
      <c r="U258" s="11"/>
      <c r="V258" s="11"/>
      <c r="W258" s="11"/>
      <c r="X258" s="11"/>
      <c r="Y258" s="11"/>
      <c r="Z258" s="402"/>
      <c r="AA258" s="402"/>
    </row>
    <row r="259" ht="13.5" customHeight="1">
      <c r="A259" s="11"/>
      <c r="B259" s="11"/>
      <c r="C259" s="11"/>
      <c r="D259" s="11"/>
      <c r="E259" s="11"/>
      <c r="F259" s="253"/>
      <c r="G259" s="253"/>
      <c r="H259" s="11"/>
      <c r="I259" s="429"/>
      <c r="J259" s="427"/>
      <c r="K259" s="395"/>
      <c r="L259" s="431"/>
      <c r="M259" s="11"/>
      <c r="N259" s="11"/>
      <c r="O259" s="71"/>
      <c r="P259" s="427"/>
      <c r="Q259" s="397"/>
      <c r="R259" s="395"/>
      <c r="S259" s="398"/>
      <c r="T259" s="399"/>
      <c r="U259" s="11"/>
      <c r="V259" s="11"/>
      <c r="W259" s="11"/>
      <c r="X259" s="11"/>
      <c r="Y259" s="11"/>
      <c r="Z259" s="402"/>
      <c r="AA259" s="402"/>
    </row>
    <row r="260" ht="13.5" customHeight="1">
      <c r="A260" s="11"/>
      <c r="B260" s="11"/>
      <c r="C260" s="11"/>
      <c r="D260" s="11"/>
      <c r="E260" s="11"/>
      <c r="F260" s="253"/>
      <c r="G260" s="253"/>
      <c r="H260" s="11"/>
      <c r="I260" s="429"/>
      <c r="J260" s="427"/>
      <c r="K260" s="395"/>
      <c r="L260" s="431"/>
      <c r="M260" s="11"/>
      <c r="N260" s="11"/>
      <c r="O260" s="71"/>
      <c r="P260" s="427"/>
      <c r="Q260" s="397"/>
      <c r="R260" s="395"/>
      <c r="S260" s="398"/>
      <c r="T260" s="399"/>
      <c r="U260" s="11"/>
      <c r="V260" s="11"/>
      <c r="W260" s="11"/>
      <c r="X260" s="11"/>
      <c r="Y260" s="11"/>
      <c r="Z260" s="402"/>
      <c r="AA260" s="402"/>
    </row>
    <row r="261" ht="13.5" customHeight="1">
      <c r="A261" s="11"/>
      <c r="B261" s="334">
        <v>0.025</v>
      </c>
      <c r="C261" s="335">
        <v>0.1</v>
      </c>
      <c r="D261" s="273">
        <v>6.0</v>
      </c>
      <c r="E261" s="455">
        <v>385.0</v>
      </c>
      <c r="F261" s="253"/>
      <c r="G261" s="253"/>
      <c r="H261" s="11"/>
      <c r="I261" s="429"/>
      <c r="J261" s="427"/>
      <c r="K261" s="395"/>
      <c r="L261" s="431"/>
      <c r="M261" s="11"/>
      <c r="N261" s="11"/>
      <c r="O261" s="71"/>
      <c r="P261" s="427"/>
      <c r="Q261" s="397"/>
      <c r="R261" s="395"/>
      <c r="S261" s="398"/>
      <c r="T261" s="399"/>
      <c r="U261" s="11"/>
      <c r="V261" s="11"/>
      <c r="W261" s="11"/>
      <c r="X261" s="11"/>
      <c r="Y261" s="11"/>
      <c r="Z261" s="402"/>
      <c r="AA261" s="402"/>
    </row>
    <row r="262" ht="13.5" customHeight="1">
      <c r="A262" s="11"/>
      <c r="B262" s="334">
        <v>0.05</v>
      </c>
      <c r="C262" s="335">
        <v>0.1</v>
      </c>
      <c r="D262" s="273">
        <v>6.0</v>
      </c>
      <c r="E262" s="455">
        <v>828.0</v>
      </c>
      <c r="F262" s="253"/>
      <c r="G262" s="253"/>
      <c r="H262" s="11"/>
      <c r="I262" s="429"/>
      <c r="J262" s="427"/>
      <c r="K262" s="395"/>
      <c r="L262" s="431"/>
      <c r="M262" s="11"/>
      <c r="N262" s="11"/>
      <c r="O262" s="71"/>
      <c r="P262" s="427"/>
      <c r="Q262" s="397"/>
      <c r="R262" s="395"/>
      <c r="S262" s="398"/>
      <c r="T262" s="399"/>
      <c r="U262" s="11"/>
      <c r="V262" s="11"/>
      <c r="W262" s="11"/>
      <c r="X262" s="11"/>
      <c r="Y262" s="11"/>
      <c r="Z262" s="402"/>
      <c r="AA262" s="402"/>
    </row>
    <row r="263" ht="13.5" customHeight="1">
      <c r="A263" s="11"/>
      <c r="B263" s="334">
        <v>0.05</v>
      </c>
      <c r="C263" s="335">
        <v>0.05</v>
      </c>
      <c r="D263" s="273">
        <v>6.0</v>
      </c>
      <c r="E263" s="455">
        <v>481.0</v>
      </c>
      <c r="F263" s="253"/>
      <c r="G263" s="253"/>
      <c r="H263" s="11"/>
      <c r="I263" s="429"/>
      <c r="J263" s="427"/>
      <c r="K263" s="395"/>
      <c r="L263" s="431"/>
      <c r="M263" s="11"/>
      <c r="N263" s="11"/>
      <c r="O263" s="71"/>
      <c r="P263" s="427"/>
      <c r="Q263" s="397"/>
      <c r="R263" s="395"/>
      <c r="S263" s="398"/>
      <c r="T263" s="399"/>
      <c r="U263" s="11"/>
      <c r="V263" s="11"/>
      <c r="W263" s="11"/>
      <c r="X263" s="11"/>
      <c r="Y263" s="11"/>
      <c r="Z263" s="402"/>
      <c r="AA263" s="402"/>
    </row>
    <row r="264" ht="13.5" customHeight="1">
      <c r="A264" s="11"/>
      <c r="B264" s="334">
        <v>0.05</v>
      </c>
      <c r="C264" s="335">
        <v>0.05</v>
      </c>
      <c r="D264" s="273">
        <v>2.5</v>
      </c>
      <c r="E264" s="455">
        <v>340.0</v>
      </c>
      <c r="F264" s="253"/>
      <c r="G264" s="253"/>
      <c r="H264" s="11"/>
      <c r="I264" s="429"/>
      <c r="J264" s="427"/>
      <c r="K264" s="395"/>
      <c r="L264" s="431"/>
      <c r="M264" s="11"/>
      <c r="N264" s="11"/>
      <c r="O264" s="71"/>
      <c r="P264" s="427"/>
      <c r="Q264" s="397"/>
      <c r="R264" s="395"/>
      <c r="S264" s="398"/>
      <c r="T264" s="399"/>
      <c r="U264" s="11"/>
      <c r="V264" s="11"/>
      <c r="W264" s="11"/>
      <c r="X264" s="11"/>
      <c r="Y264" s="11"/>
      <c r="Z264" s="402"/>
      <c r="AA264" s="402"/>
    </row>
    <row r="265" ht="13.5" customHeight="1">
      <c r="A265" s="11"/>
      <c r="B265" s="334">
        <v>0.05</v>
      </c>
      <c r="C265" s="335">
        <v>0.05</v>
      </c>
      <c r="D265" s="273">
        <v>3.7</v>
      </c>
      <c r="E265" s="455">
        <v>130.0</v>
      </c>
      <c r="F265" s="253"/>
      <c r="G265" s="253"/>
      <c r="H265" s="11"/>
      <c r="I265" s="429"/>
      <c r="J265" s="427"/>
      <c r="K265" s="395"/>
      <c r="L265" s="431"/>
      <c r="M265" s="11"/>
      <c r="N265" s="11"/>
      <c r="O265" s="71"/>
      <c r="P265" s="427"/>
      <c r="Q265" s="397"/>
      <c r="R265" s="395"/>
      <c r="S265" s="398"/>
      <c r="T265" s="399"/>
      <c r="U265" s="11"/>
      <c r="V265" s="11"/>
      <c r="W265" s="11"/>
      <c r="X265" s="11"/>
      <c r="Y265" s="11"/>
      <c r="Z265" s="402"/>
      <c r="AA265" s="402"/>
    </row>
    <row r="266" ht="13.5" customHeight="1">
      <c r="A266" s="11"/>
      <c r="B266" s="334">
        <v>0.05</v>
      </c>
      <c r="C266" s="335">
        <v>0.05</v>
      </c>
      <c r="D266" s="273">
        <v>6.0</v>
      </c>
      <c r="E266" s="455">
        <v>481.0</v>
      </c>
      <c r="F266" s="253"/>
      <c r="G266" s="253"/>
      <c r="H266" s="11"/>
      <c r="I266" s="429"/>
      <c r="J266" s="427"/>
      <c r="K266" s="395"/>
      <c r="L266" s="431"/>
      <c r="M266" s="11"/>
      <c r="N266" s="11"/>
      <c r="O266" s="71"/>
      <c r="P266" s="427"/>
      <c r="Q266" s="397"/>
      <c r="R266" s="395"/>
      <c r="S266" s="398"/>
      <c r="T266" s="399"/>
      <c r="U266" s="11"/>
      <c r="V266" s="11"/>
      <c r="W266" s="11"/>
      <c r="X266" s="11"/>
      <c r="Y266" s="11"/>
      <c r="Z266" s="402"/>
      <c r="AA266" s="402"/>
    </row>
    <row r="267" ht="13.5" customHeight="1">
      <c r="A267" s="11"/>
      <c r="B267" s="11"/>
      <c r="C267" s="11"/>
      <c r="D267" s="11"/>
      <c r="E267" s="11"/>
      <c r="F267" s="253"/>
      <c r="G267" s="253"/>
      <c r="H267" s="11"/>
      <c r="I267" s="429"/>
      <c r="J267" s="427"/>
      <c r="K267" s="395"/>
      <c r="L267" s="431"/>
      <c r="M267" s="11"/>
      <c r="N267" s="11"/>
      <c r="O267" s="71"/>
      <c r="P267" s="427"/>
      <c r="Q267" s="397"/>
      <c r="R267" s="395"/>
      <c r="S267" s="398"/>
      <c r="T267" s="399"/>
      <c r="U267" s="11"/>
      <c r="V267" s="11"/>
      <c r="W267" s="11"/>
      <c r="X267" s="11"/>
      <c r="Y267" s="11"/>
      <c r="Z267" s="402"/>
      <c r="AA267" s="402"/>
    </row>
    <row r="268" ht="13.5" customHeight="1">
      <c r="A268" s="11"/>
      <c r="B268" s="11"/>
      <c r="C268" s="11"/>
      <c r="D268" s="11"/>
      <c r="E268" s="11"/>
      <c r="F268" s="253"/>
      <c r="G268" s="253"/>
      <c r="H268" s="11"/>
      <c r="I268" s="429"/>
      <c r="J268" s="427"/>
      <c r="K268" s="395"/>
      <c r="L268" s="431"/>
      <c r="M268" s="11"/>
      <c r="N268" s="11"/>
      <c r="O268" s="71"/>
      <c r="P268" s="427"/>
      <c r="Q268" s="397"/>
      <c r="R268" s="395"/>
      <c r="S268" s="398"/>
      <c r="T268" s="399"/>
      <c r="U268" s="11"/>
      <c r="V268" s="11"/>
      <c r="W268" s="11"/>
      <c r="X268" s="11"/>
      <c r="Y268" s="11"/>
      <c r="Z268" s="402"/>
      <c r="AA268" s="402"/>
    </row>
    <row r="269" ht="13.5" customHeight="1">
      <c r="A269" s="11"/>
      <c r="B269" s="11"/>
      <c r="C269" s="11"/>
      <c r="D269" s="11"/>
      <c r="E269" s="11"/>
      <c r="F269" s="253"/>
      <c r="G269" s="253"/>
      <c r="H269" s="11"/>
      <c r="I269" s="429"/>
      <c r="J269" s="427"/>
      <c r="K269" s="395"/>
      <c r="L269" s="431"/>
      <c r="M269" s="11"/>
      <c r="N269" s="11"/>
      <c r="O269" s="71"/>
      <c r="P269" s="427"/>
      <c r="Q269" s="397"/>
      <c r="R269" s="395"/>
      <c r="S269" s="398"/>
      <c r="T269" s="399"/>
      <c r="U269" s="11"/>
      <c r="V269" s="11"/>
      <c r="W269" s="11"/>
      <c r="X269" s="11"/>
      <c r="Y269" s="11"/>
      <c r="Z269" s="402"/>
      <c r="AA269" s="402"/>
    </row>
    <row r="270" ht="13.5" customHeight="1">
      <c r="A270" s="11"/>
      <c r="B270" s="11"/>
      <c r="C270" s="11"/>
      <c r="D270" s="11"/>
      <c r="E270" s="11"/>
      <c r="F270" s="253"/>
      <c r="G270" s="253"/>
      <c r="H270" s="11"/>
      <c r="I270" s="429"/>
      <c r="J270" s="427"/>
      <c r="K270" s="395"/>
      <c r="L270" s="431"/>
      <c r="M270" s="11"/>
      <c r="N270" s="11"/>
      <c r="O270" s="71"/>
      <c r="P270" s="427"/>
      <c r="Q270" s="397"/>
      <c r="R270" s="395"/>
      <c r="S270" s="398"/>
      <c r="T270" s="399"/>
      <c r="U270" s="11"/>
      <c r="V270" s="11"/>
      <c r="W270" s="11"/>
      <c r="X270" s="11"/>
      <c r="Y270" s="11"/>
      <c r="Z270" s="402"/>
      <c r="AA270" s="402"/>
    </row>
    <row r="271" ht="13.5" customHeight="1">
      <c r="A271" s="11"/>
      <c r="B271" s="11"/>
      <c r="C271" s="11"/>
      <c r="D271" s="11"/>
      <c r="E271" s="11"/>
      <c r="F271" s="253"/>
      <c r="G271" s="253"/>
      <c r="H271" s="11"/>
      <c r="I271" s="429"/>
      <c r="J271" s="427"/>
      <c r="K271" s="395"/>
      <c r="L271" s="431"/>
      <c r="M271" s="11"/>
      <c r="N271" s="11"/>
      <c r="O271" s="71"/>
      <c r="P271" s="427"/>
      <c r="Q271" s="397"/>
      <c r="R271" s="395"/>
      <c r="S271" s="398"/>
      <c r="T271" s="399"/>
      <c r="U271" s="11"/>
      <c r="V271" s="11"/>
      <c r="W271" s="11"/>
      <c r="X271" s="11"/>
      <c r="Y271" s="11"/>
      <c r="Z271" s="402"/>
      <c r="AA271" s="402"/>
    </row>
    <row r="272" ht="13.5" customHeight="1">
      <c r="A272" s="11"/>
      <c r="B272" s="11"/>
      <c r="C272" s="11"/>
      <c r="D272" s="11"/>
      <c r="E272" s="11"/>
      <c r="F272" s="253"/>
      <c r="G272" s="253"/>
      <c r="H272" s="11"/>
      <c r="I272" s="429"/>
      <c r="J272" s="427"/>
      <c r="K272" s="395"/>
      <c r="L272" s="431"/>
      <c r="M272" s="11"/>
      <c r="N272" s="11"/>
      <c r="O272" s="71"/>
      <c r="P272" s="427"/>
      <c r="Q272" s="397"/>
      <c r="R272" s="395"/>
      <c r="S272" s="398"/>
      <c r="T272" s="399"/>
      <c r="U272" s="11"/>
      <c r="V272" s="11"/>
      <c r="W272" s="11"/>
      <c r="X272" s="11"/>
      <c r="Y272" s="11"/>
      <c r="Z272" s="402"/>
      <c r="AA272" s="402"/>
    </row>
    <row r="273" ht="13.5" customHeight="1">
      <c r="A273" s="11"/>
      <c r="B273" s="11"/>
      <c r="C273" s="11"/>
      <c r="D273" s="11"/>
      <c r="E273" s="11"/>
      <c r="F273" s="253"/>
      <c r="G273" s="253"/>
      <c r="H273" s="11"/>
      <c r="I273" s="429"/>
      <c r="J273" s="427"/>
      <c r="K273" s="395"/>
      <c r="L273" s="431"/>
      <c r="M273" s="11"/>
      <c r="N273" s="11"/>
      <c r="O273" s="71"/>
      <c r="P273" s="427"/>
      <c r="Q273" s="397"/>
      <c r="R273" s="395"/>
      <c r="S273" s="398"/>
      <c r="T273" s="399"/>
      <c r="U273" s="11"/>
      <c r="V273" s="11"/>
      <c r="W273" s="11"/>
      <c r="X273" s="11"/>
      <c r="Y273" s="11"/>
      <c r="Z273" s="402"/>
      <c r="AA273" s="402"/>
    </row>
    <row r="274" ht="13.5" customHeight="1">
      <c r="A274" s="11"/>
      <c r="B274" s="11"/>
      <c r="C274" s="11"/>
      <c r="D274" s="11"/>
      <c r="E274" s="11"/>
      <c r="F274" s="253"/>
      <c r="G274" s="253"/>
      <c r="H274" s="11"/>
      <c r="I274" s="429"/>
      <c r="J274" s="427"/>
      <c r="K274" s="395"/>
      <c r="L274" s="431"/>
      <c r="M274" s="11"/>
      <c r="N274" s="11"/>
      <c r="O274" s="71"/>
      <c r="P274" s="427"/>
      <c r="Q274" s="397"/>
      <c r="R274" s="395"/>
      <c r="S274" s="398"/>
      <c r="T274" s="399"/>
      <c r="U274" s="11"/>
      <c r="V274" s="11"/>
      <c r="W274" s="11"/>
      <c r="X274" s="11"/>
      <c r="Y274" s="11"/>
      <c r="Z274" s="402"/>
      <c r="AA274" s="402"/>
    </row>
    <row r="275" ht="13.5" customHeight="1">
      <c r="A275" s="11"/>
      <c r="B275" s="11"/>
      <c r="C275" s="11"/>
      <c r="D275" s="11"/>
      <c r="E275" s="11"/>
      <c r="F275" s="253"/>
      <c r="G275" s="253"/>
      <c r="H275" s="11"/>
      <c r="I275" s="429"/>
      <c r="J275" s="427"/>
      <c r="K275" s="395"/>
      <c r="L275" s="431"/>
      <c r="M275" s="11"/>
      <c r="N275" s="11"/>
      <c r="O275" s="71"/>
      <c r="P275" s="427"/>
      <c r="Q275" s="397"/>
      <c r="R275" s="395"/>
      <c r="S275" s="398"/>
      <c r="T275" s="399"/>
      <c r="U275" s="11"/>
      <c r="V275" s="11"/>
      <c r="W275" s="11"/>
      <c r="X275" s="11"/>
      <c r="Y275" s="11"/>
      <c r="Z275" s="402"/>
      <c r="AA275" s="402"/>
    </row>
    <row r="276" ht="13.5" customHeight="1">
      <c r="A276" s="11"/>
      <c r="B276" s="11"/>
      <c r="C276" s="11"/>
      <c r="D276" s="11"/>
      <c r="E276" s="11"/>
      <c r="F276" s="253"/>
      <c r="G276" s="253"/>
      <c r="H276" s="11"/>
      <c r="I276" s="429"/>
      <c r="J276" s="427"/>
      <c r="K276" s="395"/>
      <c r="L276" s="431"/>
      <c r="M276" s="11"/>
      <c r="N276" s="11"/>
      <c r="O276" s="71"/>
      <c r="P276" s="427"/>
      <c r="Q276" s="397"/>
      <c r="R276" s="395"/>
      <c r="S276" s="398"/>
      <c r="T276" s="399"/>
      <c r="U276" s="11"/>
      <c r="V276" s="11"/>
      <c r="W276" s="11"/>
      <c r="X276" s="11"/>
      <c r="Y276" s="11"/>
      <c r="Z276" s="402"/>
      <c r="AA276" s="402"/>
    </row>
    <row r="277" ht="13.5" customHeight="1">
      <c r="A277" s="11"/>
      <c r="B277" s="11"/>
      <c r="C277" s="11"/>
      <c r="D277" s="11"/>
      <c r="E277" s="11"/>
      <c r="F277" s="253"/>
      <c r="G277" s="253"/>
      <c r="H277" s="11"/>
      <c r="I277" s="429"/>
      <c r="J277" s="427"/>
      <c r="K277" s="395"/>
      <c r="L277" s="431"/>
      <c r="M277" s="11"/>
      <c r="N277" s="11"/>
      <c r="O277" s="71"/>
      <c r="P277" s="427"/>
      <c r="Q277" s="397"/>
      <c r="R277" s="395"/>
      <c r="S277" s="398"/>
      <c r="T277" s="399"/>
      <c r="U277" s="11"/>
      <c r="V277" s="11"/>
      <c r="W277" s="11"/>
      <c r="X277" s="11"/>
      <c r="Y277" s="11"/>
      <c r="Z277" s="402"/>
      <c r="AA277" s="402"/>
    </row>
    <row r="278" ht="13.5" customHeight="1">
      <c r="A278" s="11"/>
      <c r="B278" s="11"/>
      <c r="C278" s="11"/>
      <c r="D278" s="11"/>
      <c r="E278" s="11"/>
      <c r="F278" s="253"/>
      <c r="G278" s="253"/>
      <c r="H278" s="11"/>
      <c r="I278" s="429"/>
      <c r="J278" s="427"/>
      <c r="K278" s="395"/>
      <c r="L278" s="431"/>
      <c r="M278" s="11"/>
      <c r="N278" s="11"/>
      <c r="O278" s="71"/>
      <c r="P278" s="427"/>
      <c r="Q278" s="397"/>
      <c r="R278" s="395"/>
      <c r="S278" s="398"/>
      <c r="T278" s="399"/>
      <c r="U278" s="11"/>
      <c r="V278" s="11"/>
      <c r="W278" s="11"/>
      <c r="X278" s="11"/>
      <c r="Y278" s="11"/>
      <c r="Z278" s="402"/>
      <c r="AA278" s="402"/>
    </row>
    <row r="279" ht="13.5" customHeight="1">
      <c r="A279" s="11"/>
      <c r="B279" s="11"/>
      <c r="C279" s="11"/>
      <c r="D279" s="11"/>
      <c r="E279" s="11"/>
      <c r="F279" s="253"/>
      <c r="G279" s="253"/>
      <c r="H279" s="11"/>
      <c r="I279" s="429"/>
      <c r="J279" s="427"/>
      <c r="K279" s="395"/>
      <c r="L279" s="431"/>
      <c r="M279" s="11"/>
      <c r="N279" s="11"/>
      <c r="O279" s="71"/>
      <c r="P279" s="427"/>
      <c r="Q279" s="397"/>
      <c r="R279" s="395"/>
      <c r="S279" s="398"/>
      <c r="T279" s="399"/>
      <c r="U279" s="11"/>
      <c r="V279" s="11"/>
      <c r="W279" s="11"/>
      <c r="X279" s="11"/>
      <c r="Y279" s="11"/>
      <c r="Z279" s="402"/>
      <c r="AA279" s="402"/>
    </row>
    <row r="280" ht="13.5" customHeight="1">
      <c r="A280" s="11"/>
      <c r="B280" s="11"/>
      <c r="C280" s="11"/>
      <c r="D280" s="11"/>
      <c r="E280" s="11"/>
      <c r="F280" s="253"/>
      <c r="G280" s="253"/>
      <c r="H280" s="11"/>
      <c r="I280" s="429"/>
      <c r="J280" s="427"/>
      <c r="K280" s="395"/>
      <c r="L280" s="431"/>
      <c r="M280" s="11"/>
      <c r="N280" s="11"/>
      <c r="O280" s="71"/>
      <c r="P280" s="427"/>
      <c r="Q280" s="397"/>
      <c r="R280" s="395"/>
      <c r="S280" s="398"/>
      <c r="T280" s="399"/>
      <c r="U280" s="11"/>
      <c r="V280" s="11"/>
      <c r="W280" s="11"/>
      <c r="X280" s="11"/>
      <c r="Y280" s="11"/>
      <c r="Z280" s="402"/>
      <c r="AA280" s="402"/>
    </row>
    <row r="281" ht="13.5" customHeight="1">
      <c r="A281" s="11"/>
      <c r="B281" s="11"/>
      <c r="C281" s="11"/>
      <c r="D281" s="11"/>
      <c r="E281" s="11"/>
      <c r="F281" s="253"/>
      <c r="G281" s="253"/>
      <c r="H281" s="11"/>
      <c r="I281" s="429"/>
      <c r="J281" s="427"/>
      <c r="K281" s="395"/>
      <c r="L281" s="431"/>
      <c r="M281" s="11"/>
      <c r="N281" s="11"/>
      <c r="O281" s="71"/>
      <c r="P281" s="427"/>
      <c r="Q281" s="397"/>
      <c r="R281" s="395"/>
      <c r="S281" s="398"/>
      <c r="T281" s="399"/>
      <c r="U281" s="11"/>
      <c r="V281" s="11"/>
      <c r="W281" s="11"/>
      <c r="X281" s="11"/>
      <c r="Y281" s="11"/>
      <c r="Z281" s="402"/>
      <c r="AA281" s="402"/>
    </row>
    <row r="282" ht="13.5" customHeight="1">
      <c r="A282" s="11"/>
      <c r="B282" s="11"/>
      <c r="C282" s="11"/>
      <c r="D282" s="11"/>
      <c r="E282" s="11"/>
      <c r="F282" s="253"/>
      <c r="G282" s="253"/>
      <c r="H282" s="11"/>
      <c r="I282" s="429"/>
      <c r="J282" s="427"/>
      <c r="K282" s="395"/>
      <c r="L282" s="431"/>
      <c r="M282" s="11"/>
      <c r="N282" s="11"/>
      <c r="O282" s="71"/>
      <c r="P282" s="427"/>
      <c r="Q282" s="397"/>
      <c r="R282" s="395"/>
      <c r="S282" s="398"/>
      <c r="T282" s="399"/>
      <c r="U282" s="11"/>
      <c r="V282" s="11"/>
      <c r="W282" s="11"/>
      <c r="X282" s="11"/>
      <c r="Y282" s="11"/>
      <c r="Z282" s="402"/>
      <c r="AA282" s="402"/>
    </row>
    <row r="283" ht="13.5" customHeight="1">
      <c r="A283" s="11"/>
      <c r="B283" s="11"/>
      <c r="C283" s="11"/>
      <c r="D283" s="11"/>
      <c r="E283" s="11"/>
      <c r="F283" s="253"/>
      <c r="G283" s="253"/>
      <c r="H283" s="11"/>
      <c r="I283" s="429"/>
      <c r="J283" s="427"/>
      <c r="K283" s="395"/>
      <c r="L283" s="431"/>
      <c r="M283" s="11"/>
      <c r="N283" s="11"/>
      <c r="O283" s="71"/>
      <c r="P283" s="427"/>
      <c r="Q283" s="397"/>
      <c r="R283" s="395"/>
      <c r="S283" s="398"/>
      <c r="T283" s="399"/>
      <c r="U283" s="11"/>
      <c r="V283" s="11"/>
      <c r="W283" s="11"/>
      <c r="X283" s="11"/>
      <c r="Y283" s="11"/>
      <c r="Z283" s="402"/>
      <c r="AA283" s="402"/>
    </row>
    <row r="284" ht="13.5" customHeight="1">
      <c r="A284" s="11"/>
      <c r="B284" s="11"/>
      <c r="C284" s="11"/>
      <c r="D284" s="11"/>
      <c r="E284" s="11"/>
      <c r="F284" s="253"/>
      <c r="G284" s="253"/>
      <c r="H284" s="11"/>
      <c r="I284" s="429"/>
      <c r="J284" s="427"/>
      <c r="K284" s="395"/>
      <c r="L284" s="431"/>
      <c r="M284" s="11"/>
      <c r="N284" s="11"/>
      <c r="O284" s="71"/>
      <c r="P284" s="427"/>
      <c r="Q284" s="397"/>
      <c r="R284" s="395"/>
      <c r="S284" s="398"/>
      <c r="T284" s="399"/>
      <c r="U284" s="11"/>
      <c r="V284" s="11"/>
      <c r="W284" s="11"/>
      <c r="X284" s="11"/>
      <c r="Y284" s="11"/>
      <c r="Z284" s="402"/>
      <c r="AA284" s="402"/>
    </row>
    <row r="285" ht="13.5" customHeight="1">
      <c r="A285" s="11"/>
      <c r="B285" s="11"/>
      <c r="C285" s="11"/>
      <c r="D285" s="11"/>
      <c r="E285" s="11"/>
      <c r="F285" s="253"/>
      <c r="G285" s="253"/>
      <c r="H285" s="11"/>
      <c r="I285" s="429"/>
      <c r="J285" s="427"/>
      <c r="K285" s="395"/>
      <c r="L285" s="431"/>
      <c r="M285" s="11"/>
      <c r="N285" s="11"/>
      <c r="O285" s="71"/>
      <c r="P285" s="427"/>
      <c r="Q285" s="397"/>
      <c r="R285" s="395"/>
      <c r="S285" s="398"/>
      <c r="T285" s="399"/>
      <c r="U285" s="11"/>
      <c r="V285" s="11"/>
      <c r="W285" s="11"/>
      <c r="X285" s="11"/>
      <c r="Y285" s="11"/>
      <c r="Z285" s="402"/>
      <c r="AA285" s="402"/>
    </row>
    <row r="286" ht="13.5" customHeight="1">
      <c r="A286" s="11"/>
      <c r="B286" s="11"/>
      <c r="C286" s="11"/>
      <c r="D286" s="11"/>
      <c r="E286" s="11"/>
      <c r="F286" s="253"/>
      <c r="G286" s="253"/>
      <c r="H286" s="11"/>
      <c r="I286" s="429"/>
      <c r="J286" s="427"/>
      <c r="K286" s="395"/>
      <c r="L286" s="431"/>
      <c r="M286" s="11"/>
      <c r="N286" s="11"/>
      <c r="O286" s="71"/>
      <c r="P286" s="427"/>
      <c r="Q286" s="397"/>
      <c r="R286" s="395"/>
      <c r="S286" s="398"/>
      <c r="T286" s="399"/>
      <c r="U286" s="11"/>
      <c r="V286" s="11"/>
      <c r="W286" s="11"/>
      <c r="X286" s="11"/>
      <c r="Y286" s="11"/>
      <c r="Z286" s="402"/>
      <c r="AA286" s="402"/>
    </row>
    <row r="287" ht="13.5" customHeight="1">
      <c r="A287" s="11"/>
      <c r="B287" s="11"/>
      <c r="C287" s="11"/>
      <c r="D287" s="11"/>
      <c r="E287" s="11"/>
      <c r="F287" s="253"/>
      <c r="G287" s="253"/>
      <c r="H287" s="11"/>
      <c r="I287" s="429"/>
      <c r="J287" s="427"/>
      <c r="K287" s="395"/>
      <c r="L287" s="431"/>
      <c r="M287" s="11"/>
      <c r="N287" s="11"/>
      <c r="O287" s="71"/>
      <c r="P287" s="427"/>
      <c r="Q287" s="397"/>
      <c r="R287" s="395"/>
      <c r="S287" s="398"/>
      <c r="T287" s="399"/>
      <c r="U287" s="11"/>
      <c r="V287" s="11"/>
      <c r="W287" s="11"/>
      <c r="X287" s="11"/>
      <c r="Y287" s="11"/>
      <c r="Z287" s="402"/>
      <c r="AA287" s="402"/>
    </row>
    <row r="288" ht="13.5" customHeight="1">
      <c r="A288" s="11"/>
      <c r="B288" s="11"/>
      <c r="C288" s="11"/>
      <c r="D288" s="11"/>
      <c r="E288" s="11"/>
      <c r="F288" s="253"/>
      <c r="G288" s="253"/>
      <c r="H288" s="11"/>
      <c r="I288" s="429"/>
      <c r="J288" s="427"/>
      <c r="K288" s="395"/>
      <c r="L288" s="431"/>
      <c r="M288" s="11"/>
      <c r="N288" s="11"/>
      <c r="O288" s="71"/>
      <c r="P288" s="427"/>
      <c r="Q288" s="397"/>
      <c r="R288" s="395"/>
      <c r="S288" s="398"/>
      <c r="T288" s="399"/>
      <c r="U288" s="11"/>
      <c r="V288" s="11"/>
      <c r="W288" s="11"/>
      <c r="X288" s="11"/>
      <c r="Y288" s="11"/>
      <c r="Z288" s="402"/>
      <c r="AA288" s="402"/>
    </row>
    <row r="289" ht="13.5" customHeight="1">
      <c r="A289" s="11"/>
      <c r="B289" s="11"/>
      <c r="C289" s="11"/>
      <c r="D289" s="11"/>
      <c r="E289" s="11"/>
      <c r="F289" s="253"/>
      <c r="G289" s="253"/>
      <c r="H289" s="11"/>
      <c r="I289" s="429"/>
      <c r="J289" s="427"/>
      <c r="K289" s="395"/>
      <c r="L289" s="431"/>
      <c r="M289" s="11"/>
      <c r="N289" s="11"/>
      <c r="O289" s="71"/>
      <c r="P289" s="427"/>
      <c r="Q289" s="397"/>
      <c r="R289" s="395"/>
      <c r="S289" s="398"/>
      <c r="T289" s="399"/>
      <c r="U289" s="11"/>
      <c r="V289" s="11"/>
      <c r="W289" s="11"/>
      <c r="X289" s="11"/>
      <c r="Y289" s="11"/>
      <c r="Z289" s="402"/>
      <c r="AA289" s="402"/>
    </row>
    <row r="290" ht="13.5" customHeight="1">
      <c r="A290" s="11"/>
      <c r="B290" s="11"/>
      <c r="C290" s="11"/>
      <c r="D290" s="11"/>
      <c r="E290" s="11"/>
      <c r="F290" s="253"/>
      <c r="G290" s="253"/>
      <c r="H290" s="11"/>
      <c r="I290" s="429"/>
      <c r="J290" s="427"/>
      <c r="K290" s="395"/>
      <c r="L290" s="431"/>
      <c r="M290" s="11"/>
      <c r="N290" s="11"/>
      <c r="O290" s="71"/>
      <c r="P290" s="427"/>
      <c r="Q290" s="397"/>
      <c r="R290" s="395"/>
      <c r="S290" s="398"/>
      <c r="T290" s="399"/>
      <c r="U290" s="11"/>
      <c r="V290" s="11"/>
      <c r="W290" s="11"/>
      <c r="X290" s="11"/>
      <c r="Y290" s="11"/>
      <c r="Z290" s="402"/>
      <c r="AA290" s="402"/>
    </row>
    <row r="291" ht="13.5" customHeight="1">
      <c r="A291" s="11"/>
      <c r="B291" s="11"/>
      <c r="C291" s="11"/>
      <c r="D291" s="11"/>
      <c r="E291" s="11"/>
      <c r="F291" s="253"/>
      <c r="G291" s="253"/>
      <c r="H291" s="11"/>
      <c r="I291" s="429"/>
      <c r="J291" s="427"/>
      <c r="K291" s="395"/>
      <c r="L291" s="431"/>
      <c r="M291" s="11"/>
      <c r="N291" s="11"/>
      <c r="O291" s="71"/>
      <c r="P291" s="427"/>
      <c r="Q291" s="397"/>
      <c r="R291" s="395"/>
      <c r="S291" s="398"/>
      <c r="T291" s="399"/>
      <c r="U291" s="11"/>
      <c r="V291" s="11"/>
      <c r="W291" s="11"/>
      <c r="X291" s="11"/>
      <c r="Y291" s="11"/>
      <c r="Z291" s="402"/>
      <c r="AA291" s="402"/>
    </row>
    <row r="292" ht="13.5" customHeight="1">
      <c r="A292" s="11"/>
      <c r="B292" s="11"/>
      <c r="C292" s="11"/>
      <c r="D292" s="11"/>
      <c r="E292" s="11"/>
      <c r="F292" s="253"/>
      <c r="G292" s="253"/>
      <c r="H292" s="11"/>
      <c r="I292" s="429"/>
      <c r="J292" s="427"/>
      <c r="K292" s="395"/>
      <c r="L292" s="431"/>
      <c r="M292" s="11"/>
      <c r="N292" s="11"/>
      <c r="O292" s="71"/>
      <c r="P292" s="427"/>
      <c r="Q292" s="397"/>
      <c r="R292" s="395"/>
      <c r="S292" s="398"/>
      <c r="T292" s="399"/>
      <c r="U292" s="11"/>
      <c r="V292" s="11"/>
      <c r="W292" s="11"/>
      <c r="X292" s="11"/>
      <c r="Y292" s="11"/>
      <c r="Z292" s="402"/>
      <c r="AA292" s="402"/>
    </row>
    <row r="293" ht="13.5" customHeight="1">
      <c r="A293" s="11"/>
      <c r="B293" s="11"/>
      <c r="C293" s="11"/>
      <c r="D293" s="11"/>
      <c r="E293" s="11"/>
      <c r="F293" s="253"/>
      <c r="G293" s="253"/>
      <c r="H293" s="11"/>
      <c r="I293" s="429"/>
      <c r="J293" s="427"/>
      <c r="K293" s="395"/>
      <c r="L293" s="431"/>
      <c r="M293" s="11"/>
      <c r="N293" s="11"/>
      <c r="O293" s="71"/>
      <c r="P293" s="427"/>
      <c r="Q293" s="397"/>
      <c r="R293" s="395"/>
      <c r="S293" s="398"/>
      <c r="T293" s="399"/>
      <c r="U293" s="11"/>
      <c r="V293" s="11"/>
      <c r="W293" s="11"/>
      <c r="X293" s="11"/>
      <c r="Y293" s="11"/>
      <c r="Z293" s="402"/>
      <c r="AA293" s="402"/>
    </row>
    <row r="294" ht="13.5" customHeight="1">
      <c r="A294" s="11"/>
      <c r="B294" s="11"/>
      <c r="C294" s="11"/>
      <c r="D294" s="11"/>
      <c r="E294" s="11"/>
      <c r="F294" s="253"/>
      <c r="G294" s="253"/>
      <c r="H294" s="11"/>
      <c r="I294" s="429"/>
      <c r="J294" s="427"/>
      <c r="K294" s="395"/>
      <c r="L294" s="431"/>
      <c r="M294" s="11"/>
      <c r="N294" s="11"/>
      <c r="O294" s="71"/>
      <c r="P294" s="427"/>
      <c r="Q294" s="397"/>
      <c r="R294" s="395"/>
      <c r="S294" s="398"/>
      <c r="T294" s="399"/>
      <c r="U294" s="11"/>
      <c r="V294" s="11"/>
      <c r="W294" s="11"/>
      <c r="X294" s="11"/>
      <c r="Y294" s="11"/>
      <c r="Z294" s="402"/>
      <c r="AA294" s="402"/>
    </row>
    <row r="295" ht="13.5" customHeight="1">
      <c r="A295" s="11"/>
      <c r="B295" s="11"/>
      <c r="C295" s="11"/>
      <c r="D295" s="11"/>
      <c r="E295" s="11"/>
      <c r="F295" s="253"/>
      <c r="G295" s="253"/>
      <c r="H295" s="11"/>
      <c r="I295" s="429"/>
      <c r="J295" s="427"/>
      <c r="K295" s="395"/>
      <c r="L295" s="431"/>
      <c r="M295" s="11"/>
      <c r="N295" s="11"/>
      <c r="O295" s="71"/>
      <c r="P295" s="427"/>
      <c r="Q295" s="397"/>
      <c r="R295" s="395"/>
      <c r="S295" s="398"/>
      <c r="T295" s="399"/>
      <c r="U295" s="11"/>
      <c r="V295" s="11"/>
      <c r="W295" s="11"/>
      <c r="X295" s="11"/>
      <c r="Y295" s="11"/>
      <c r="Z295" s="402"/>
      <c r="AA295" s="402"/>
    </row>
    <row r="296" ht="13.5" customHeight="1">
      <c r="A296" s="11"/>
      <c r="B296" s="11"/>
      <c r="C296" s="11"/>
      <c r="D296" s="11"/>
      <c r="E296" s="11"/>
      <c r="F296" s="253"/>
      <c r="G296" s="253"/>
      <c r="H296" s="11"/>
      <c r="I296" s="429"/>
      <c r="J296" s="427"/>
      <c r="K296" s="395"/>
      <c r="L296" s="431"/>
      <c r="M296" s="11"/>
      <c r="N296" s="11"/>
      <c r="O296" s="71"/>
      <c r="P296" s="427"/>
      <c r="Q296" s="397"/>
      <c r="R296" s="395"/>
      <c r="S296" s="398"/>
      <c r="T296" s="399"/>
      <c r="U296" s="11"/>
      <c r="V296" s="11"/>
      <c r="W296" s="11"/>
      <c r="X296" s="11"/>
      <c r="Y296" s="11"/>
      <c r="Z296" s="402"/>
      <c r="AA296" s="402"/>
    </row>
    <row r="297" ht="13.5" customHeight="1">
      <c r="A297" s="11"/>
      <c r="B297" s="11"/>
      <c r="C297" s="11"/>
      <c r="D297" s="11"/>
      <c r="E297" s="11"/>
      <c r="F297" s="253"/>
      <c r="G297" s="253"/>
      <c r="H297" s="11"/>
      <c r="I297" s="429"/>
      <c r="J297" s="427"/>
      <c r="K297" s="395"/>
      <c r="L297" s="431"/>
      <c r="M297" s="11"/>
      <c r="N297" s="11"/>
      <c r="O297" s="71"/>
      <c r="P297" s="427"/>
      <c r="Q297" s="397"/>
      <c r="R297" s="395"/>
      <c r="S297" s="398"/>
      <c r="T297" s="399"/>
      <c r="U297" s="11"/>
      <c r="V297" s="11"/>
      <c r="W297" s="11"/>
      <c r="X297" s="11"/>
      <c r="Y297" s="11"/>
      <c r="Z297" s="402"/>
      <c r="AA297" s="402"/>
    </row>
    <row r="298" ht="13.5" customHeight="1">
      <c r="A298" s="11"/>
      <c r="B298" s="11"/>
      <c r="C298" s="11"/>
      <c r="D298" s="11"/>
      <c r="E298" s="11"/>
      <c r="F298" s="253"/>
      <c r="G298" s="253"/>
      <c r="H298" s="11"/>
      <c r="I298" s="429"/>
      <c r="J298" s="427"/>
      <c r="K298" s="395"/>
      <c r="L298" s="431"/>
      <c r="M298" s="11"/>
      <c r="N298" s="11"/>
      <c r="O298" s="71"/>
      <c r="P298" s="427"/>
      <c r="Q298" s="397"/>
      <c r="R298" s="395"/>
      <c r="S298" s="398"/>
      <c r="T298" s="399"/>
      <c r="U298" s="11"/>
      <c r="V298" s="11"/>
      <c r="W298" s="11"/>
      <c r="X298" s="11"/>
      <c r="Y298" s="11"/>
      <c r="Z298" s="402"/>
      <c r="AA298" s="402"/>
    </row>
    <row r="299" ht="13.5" customHeight="1">
      <c r="A299" s="11"/>
      <c r="B299" s="11"/>
      <c r="C299" s="11"/>
      <c r="D299" s="11"/>
      <c r="E299" s="11"/>
      <c r="F299" s="253"/>
      <c r="G299" s="253"/>
      <c r="H299" s="11"/>
      <c r="I299" s="429"/>
      <c r="J299" s="427"/>
      <c r="K299" s="395"/>
      <c r="L299" s="431"/>
      <c r="M299" s="11"/>
      <c r="N299" s="11"/>
      <c r="O299" s="71"/>
      <c r="P299" s="427"/>
      <c r="Q299" s="397"/>
      <c r="R299" s="395"/>
      <c r="S299" s="398"/>
      <c r="T299" s="399"/>
      <c r="U299" s="11"/>
      <c r="V299" s="11"/>
      <c r="W299" s="11"/>
      <c r="X299" s="11"/>
      <c r="Y299" s="11"/>
      <c r="Z299" s="402"/>
      <c r="AA299" s="402"/>
    </row>
    <row r="300" ht="13.5" customHeight="1">
      <c r="A300" s="11"/>
      <c r="B300" s="11"/>
      <c r="C300" s="11"/>
      <c r="D300" s="11"/>
      <c r="E300" s="11"/>
      <c r="F300" s="253"/>
      <c r="G300" s="253"/>
      <c r="H300" s="11"/>
      <c r="I300" s="429"/>
      <c r="J300" s="427"/>
      <c r="K300" s="395"/>
      <c r="L300" s="431"/>
      <c r="M300" s="11"/>
      <c r="N300" s="11"/>
      <c r="O300" s="71"/>
      <c r="P300" s="427"/>
      <c r="Q300" s="397"/>
      <c r="R300" s="395"/>
      <c r="S300" s="398"/>
      <c r="T300" s="399"/>
      <c r="U300" s="11"/>
      <c r="V300" s="11"/>
      <c r="W300" s="11"/>
      <c r="X300" s="11"/>
      <c r="Y300" s="11"/>
      <c r="Z300" s="402"/>
      <c r="AA300" s="402"/>
    </row>
    <row r="301" ht="13.5" customHeight="1">
      <c r="A301" s="11"/>
      <c r="B301" s="11"/>
      <c r="C301" s="11"/>
      <c r="D301" s="11"/>
      <c r="E301" s="11"/>
      <c r="F301" s="253"/>
      <c r="G301" s="253"/>
      <c r="H301" s="11"/>
      <c r="I301" s="429"/>
      <c r="J301" s="427"/>
      <c r="K301" s="395"/>
      <c r="L301" s="431"/>
      <c r="M301" s="11"/>
      <c r="N301" s="11"/>
      <c r="O301" s="71"/>
      <c r="P301" s="427"/>
      <c r="Q301" s="397"/>
      <c r="R301" s="395"/>
      <c r="S301" s="398"/>
      <c r="T301" s="399"/>
      <c r="U301" s="11"/>
      <c r="V301" s="11"/>
      <c r="W301" s="11"/>
      <c r="X301" s="11"/>
      <c r="Y301" s="11"/>
      <c r="Z301" s="402"/>
      <c r="AA301" s="402"/>
    </row>
    <row r="302" ht="13.5" customHeight="1">
      <c r="A302" s="11"/>
      <c r="B302" s="11"/>
      <c r="C302" s="11"/>
      <c r="D302" s="11"/>
      <c r="E302" s="11"/>
      <c r="F302" s="253"/>
      <c r="G302" s="253"/>
      <c r="H302" s="11"/>
      <c r="I302" s="429"/>
      <c r="J302" s="427"/>
      <c r="K302" s="395"/>
      <c r="L302" s="431"/>
      <c r="M302" s="11"/>
      <c r="N302" s="11"/>
      <c r="O302" s="71"/>
      <c r="P302" s="427"/>
      <c r="Q302" s="397"/>
      <c r="R302" s="395"/>
      <c r="S302" s="398"/>
      <c r="T302" s="399"/>
      <c r="U302" s="11"/>
      <c r="V302" s="11"/>
      <c r="W302" s="11"/>
      <c r="X302" s="11"/>
      <c r="Y302" s="11"/>
      <c r="Z302" s="402"/>
      <c r="AA302" s="402"/>
    </row>
    <row r="303" ht="13.5" customHeight="1">
      <c r="A303" s="11"/>
      <c r="B303" s="11"/>
      <c r="C303" s="11"/>
      <c r="D303" s="11"/>
      <c r="E303" s="11"/>
      <c r="F303" s="253"/>
      <c r="G303" s="253"/>
      <c r="H303" s="11"/>
      <c r="I303" s="429"/>
      <c r="J303" s="427"/>
      <c r="K303" s="395"/>
      <c r="L303" s="431"/>
      <c r="M303" s="11"/>
      <c r="N303" s="11"/>
      <c r="O303" s="71"/>
      <c r="P303" s="427"/>
      <c r="Q303" s="397"/>
      <c r="R303" s="395"/>
      <c r="S303" s="398"/>
      <c r="T303" s="399"/>
      <c r="U303" s="11"/>
      <c r="V303" s="11"/>
      <c r="W303" s="11"/>
      <c r="X303" s="11"/>
      <c r="Y303" s="11"/>
      <c r="Z303" s="402"/>
      <c r="AA303" s="402"/>
    </row>
    <row r="304" ht="13.5" customHeight="1">
      <c r="A304" s="11"/>
      <c r="B304" s="11"/>
      <c r="C304" s="11"/>
      <c r="D304" s="11"/>
      <c r="E304" s="11"/>
      <c r="F304" s="253"/>
      <c r="G304" s="253"/>
      <c r="H304" s="11"/>
      <c r="I304" s="429"/>
      <c r="J304" s="427"/>
      <c r="K304" s="395"/>
      <c r="L304" s="431"/>
      <c r="M304" s="11"/>
      <c r="N304" s="11"/>
      <c r="O304" s="71"/>
      <c r="P304" s="427"/>
      <c r="Q304" s="397"/>
      <c r="R304" s="395"/>
      <c r="S304" s="398"/>
      <c r="T304" s="399"/>
      <c r="U304" s="11"/>
      <c r="V304" s="11"/>
      <c r="W304" s="11"/>
      <c r="X304" s="11"/>
      <c r="Y304" s="11"/>
      <c r="Z304" s="402"/>
      <c r="AA304" s="402"/>
    </row>
    <row r="305" ht="13.5" customHeight="1">
      <c r="A305" s="11"/>
      <c r="B305" s="11"/>
      <c r="C305" s="11"/>
      <c r="D305" s="11"/>
      <c r="E305" s="11"/>
      <c r="F305" s="253"/>
      <c r="G305" s="253"/>
      <c r="H305" s="11"/>
      <c r="I305" s="429"/>
      <c r="J305" s="427"/>
      <c r="K305" s="395"/>
      <c r="L305" s="431"/>
      <c r="M305" s="11"/>
      <c r="N305" s="11"/>
      <c r="O305" s="71"/>
      <c r="P305" s="427"/>
      <c r="Q305" s="397"/>
      <c r="R305" s="395"/>
      <c r="S305" s="398"/>
      <c r="T305" s="399"/>
      <c r="U305" s="11"/>
      <c r="V305" s="11"/>
      <c r="W305" s="11"/>
      <c r="X305" s="11"/>
      <c r="Y305" s="11"/>
      <c r="Z305" s="402"/>
      <c r="AA305" s="402"/>
    </row>
    <row r="306" ht="13.5" customHeight="1">
      <c r="A306" s="11"/>
      <c r="B306" s="11"/>
      <c r="C306" s="11"/>
      <c r="D306" s="11"/>
      <c r="E306" s="11"/>
      <c r="F306" s="253"/>
      <c r="G306" s="253"/>
      <c r="H306" s="11"/>
      <c r="I306" s="429"/>
      <c r="J306" s="427"/>
      <c r="K306" s="395"/>
      <c r="L306" s="431"/>
      <c r="M306" s="11"/>
      <c r="N306" s="11"/>
      <c r="O306" s="71"/>
      <c r="P306" s="427"/>
      <c r="Q306" s="397"/>
      <c r="R306" s="395"/>
      <c r="S306" s="398"/>
      <c r="T306" s="399"/>
      <c r="U306" s="11"/>
      <c r="V306" s="11"/>
      <c r="W306" s="11"/>
      <c r="X306" s="11"/>
      <c r="Y306" s="11"/>
      <c r="Z306" s="402"/>
      <c r="AA306" s="402"/>
    </row>
    <row r="307" ht="13.5" customHeight="1">
      <c r="A307" s="11"/>
      <c r="B307" s="11"/>
      <c r="C307" s="11"/>
      <c r="D307" s="11"/>
      <c r="E307" s="11"/>
      <c r="F307" s="253"/>
      <c r="G307" s="253"/>
      <c r="H307" s="11"/>
      <c r="I307" s="429"/>
      <c r="J307" s="427"/>
      <c r="K307" s="395"/>
      <c r="L307" s="431"/>
      <c r="M307" s="11"/>
      <c r="N307" s="11"/>
      <c r="O307" s="71"/>
      <c r="P307" s="427"/>
      <c r="Q307" s="397"/>
      <c r="R307" s="395"/>
      <c r="S307" s="398"/>
      <c r="T307" s="399"/>
      <c r="U307" s="11"/>
      <c r="V307" s="11"/>
      <c r="W307" s="11"/>
      <c r="X307" s="11"/>
      <c r="Y307" s="11"/>
      <c r="Z307" s="402"/>
      <c r="AA307" s="402"/>
    </row>
    <row r="308" ht="13.5" customHeight="1">
      <c r="A308" s="11"/>
      <c r="B308" s="11"/>
      <c r="C308" s="11"/>
      <c r="D308" s="11"/>
      <c r="E308" s="11"/>
      <c r="F308" s="253"/>
      <c r="G308" s="253"/>
      <c r="H308" s="11"/>
      <c r="I308" s="429"/>
      <c r="J308" s="427"/>
      <c r="K308" s="395"/>
      <c r="L308" s="431"/>
      <c r="M308" s="11"/>
      <c r="N308" s="11"/>
      <c r="O308" s="71"/>
      <c r="P308" s="427"/>
      <c r="Q308" s="397"/>
      <c r="R308" s="395"/>
      <c r="S308" s="398"/>
      <c r="T308" s="399"/>
      <c r="U308" s="11"/>
      <c r="V308" s="11"/>
      <c r="W308" s="11"/>
      <c r="X308" s="11"/>
      <c r="Y308" s="11"/>
      <c r="Z308" s="402"/>
      <c r="AA308" s="402"/>
    </row>
    <row r="309" ht="13.5" customHeight="1">
      <c r="A309" s="11"/>
      <c r="B309" s="11"/>
      <c r="C309" s="11"/>
      <c r="D309" s="11"/>
      <c r="E309" s="11"/>
      <c r="F309" s="253"/>
      <c r="G309" s="253"/>
      <c r="H309" s="11"/>
      <c r="I309" s="429"/>
      <c r="J309" s="427"/>
      <c r="K309" s="395"/>
      <c r="L309" s="431"/>
      <c r="M309" s="11"/>
      <c r="N309" s="11"/>
      <c r="O309" s="71"/>
      <c r="P309" s="427"/>
      <c r="Q309" s="397"/>
      <c r="R309" s="395"/>
      <c r="S309" s="398"/>
      <c r="T309" s="399"/>
      <c r="U309" s="11"/>
      <c r="V309" s="11"/>
      <c r="W309" s="11"/>
      <c r="X309" s="11"/>
      <c r="Y309" s="11"/>
      <c r="Z309" s="402"/>
      <c r="AA309" s="402"/>
    </row>
    <row r="310" ht="13.5" customHeight="1">
      <c r="A310" s="11"/>
      <c r="B310" s="11"/>
      <c r="C310" s="11"/>
      <c r="D310" s="11"/>
      <c r="E310" s="11"/>
      <c r="F310" s="253"/>
      <c r="G310" s="253"/>
      <c r="H310" s="11"/>
      <c r="I310" s="429"/>
      <c r="J310" s="427"/>
      <c r="K310" s="395"/>
      <c r="L310" s="431"/>
      <c r="M310" s="11"/>
      <c r="N310" s="11"/>
      <c r="O310" s="71"/>
      <c r="P310" s="427"/>
      <c r="Q310" s="397"/>
      <c r="R310" s="395"/>
      <c r="S310" s="398"/>
      <c r="T310" s="399"/>
      <c r="U310" s="11"/>
      <c r="V310" s="11"/>
      <c r="W310" s="11"/>
      <c r="X310" s="11"/>
      <c r="Y310" s="11"/>
      <c r="Z310" s="402"/>
      <c r="AA310" s="402"/>
    </row>
    <row r="311" ht="13.5" customHeight="1">
      <c r="A311" s="11"/>
      <c r="B311" s="11"/>
      <c r="C311" s="11"/>
      <c r="D311" s="11"/>
      <c r="E311" s="11"/>
      <c r="F311" s="253"/>
      <c r="G311" s="253"/>
      <c r="H311" s="11"/>
      <c r="I311" s="429"/>
      <c r="J311" s="427"/>
      <c r="K311" s="395"/>
      <c r="L311" s="431"/>
      <c r="M311" s="11"/>
      <c r="N311" s="11"/>
      <c r="O311" s="71"/>
      <c r="P311" s="427"/>
      <c r="Q311" s="397"/>
      <c r="R311" s="395"/>
      <c r="S311" s="398"/>
      <c r="T311" s="399"/>
      <c r="U311" s="11"/>
      <c r="V311" s="11"/>
      <c r="W311" s="11"/>
      <c r="X311" s="11"/>
      <c r="Y311" s="11"/>
      <c r="Z311" s="402"/>
      <c r="AA311" s="402"/>
    </row>
    <row r="312" ht="13.5" customHeight="1">
      <c r="A312" s="11"/>
      <c r="B312" s="11"/>
      <c r="C312" s="11"/>
      <c r="D312" s="11"/>
      <c r="E312" s="11"/>
      <c r="F312" s="253"/>
      <c r="G312" s="253"/>
      <c r="H312" s="11"/>
      <c r="I312" s="429"/>
      <c r="J312" s="427"/>
      <c r="K312" s="395"/>
      <c r="L312" s="431"/>
      <c r="M312" s="11"/>
      <c r="N312" s="11"/>
      <c r="O312" s="71"/>
      <c r="P312" s="427"/>
      <c r="Q312" s="397"/>
      <c r="R312" s="395"/>
      <c r="S312" s="398"/>
      <c r="T312" s="399"/>
      <c r="U312" s="11"/>
      <c r="V312" s="11"/>
      <c r="W312" s="11"/>
      <c r="X312" s="11"/>
      <c r="Y312" s="11"/>
      <c r="Z312" s="402"/>
      <c r="AA312" s="402"/>
    </row>
    <row r="313" ht="13.5" customHeight="1">
      <c r="A313" s="11"/>
      <c r="B313" s="11"/>
      <c r="C313" s="11"/>
      <c r="D313" s="11"/>
      <c r="E313" s="11"/>
      <c r="F313" s="253"/>
      <c r="G313" s="253"/>
      <c r="H313" s="11"/>
      <c r="I313" s="429"/>
      <c r="J313" s="427"/>
      <c r="K313" s="395"/>
      <c r="L313" s="431"/>
      <c r="M313" s="11"/>
      <c r="N313" s="11"/>
      <c r="O313" s="71"/>
      <c r="P313" s="427"/>
      <c r="Q313" s="397"/>
      <c r="R313" s="395"/>
      <c r="S313" s="398"/>
      <c r="T313" s="399"/>
      <c r="U313" s="11"/>
      <c r="V313" s="11"/>
      <c r="W313" s="11"/>
      <c r="X313" s="11"/>
      <c r="Y313" s="11"/>
      <c r="Z313" s="402"/>
      <c r="AA313" s="402"/>
    </row>
    <row r="314" ht="13.5" customHeight="1">
      <c r="A314" s="11"/>
      <c r="B314" s="11"/>
      <c r="C314" s="11"/>
      <c r="D314" s="11"/>
      <c r="E314" s="11"/>
      <c r="F314" s="253"/>
      <c r="G314" s="253"/>
      <c r="H314" s="11"/>
      <c r="I314" s="429"/>
      <c r="J314" s="427"/>
      <c r="K314" s="395"/>
      <c r="L314" s="431"/>
      <c r="M314" s="11"/>
      <c r="N314" s="11"/>
      <c r="O314" s="71"/>
      <c r="P314" s="427"/>
      <c r="Q314" s="397"/>
      <c r="R314" s="395"/>
      <c r="S314" s="398"/>
      <c r="T314" s="399"/>
      <c r="U314" s="11"/>
      <c r="V314" s="11"/>
      <c r="W314" s="11"/>
      <c r="X314" s="11"/>
      <c r="Y314" s="11"/>
      <c r="Z314" s="402"/>
      <c r="AA314" s="402"/>
    </row>
    <row r="315" ht="13.5" customHeight="1">
      <c r="A315" s="11"/>
      <c r="B315" s="11"/>
      <c r="C315" s="11"/>
      <c r="D315" s="11"/>
      <c r="E315" s="11"/>
      <c r="F315" s="253"/>
      <c r="G315" s="253"/>
      <c r="H315" s="11"/>
      <c r="I315" s="429"/>
      <c r="J315" s="427"/>
      <c r="K315" s="395"/>
      <c r="L315" s="431"/>
      <c r="M315" s="11"/>
      <c r="N315" s="11"/>
      <c r="O315" s="71"/>
      <c r="P315" s="427"/>
      <c r="Q315" s="397"/>
      <c r="R315" s="395"/>
      <c r="S315" s="398"/>
      <c r="T315" s="399"/>
      <c r="U315" s="11"/>
      <c r="V315" s="11"/>
      <c r="W315" s="11"/>
      <c r="X315" s="11"/>
      <c r="Y315" s="11"/>
      <c r="Z315" s="402"/>
      <c r="AA315" s="402"/>
    </row>
    <row r="316" ht="13.5" customHeight="1">
      <c r="A316" s="11"/>
      <c r="B316" s="11"/>
      <c r="C316" s="11"/>
      <c r="D316" s="11"/>
      <c r="E316" s="11"/>
      <c r="F316" s="253"/>
      <c r="G316" s="253"/>
      <c r="H316" s="11"/>
      <c r="I316" s="429"/>
      <c r="J316" s="427"/>
      <c r="K316" s="395"/>
      <c r="L316" s="431"/>
      <c r="M316" s="11"/>
      <c r="N316" s="11"/>
      <c r="O316" s="71"/>
      <c r="P316" s="427"/>
      <c r="Q316" s="397"/>
      <c r="R316" s="395"/>
      <c r="S316" s="398"/>
      <c r="T316" s="399"/>
      <c r="U316" s="11"/>
      <c r="V316" s="11"/>
      <c r="W316" s="11"/>
      <c r="X316" s="11"/>
      <c r="Y316" s="11"/>
      <c r="Z316" s="402"/>
      <c r="AA316" s="402"/>
    </row>
    <row r="317" ht="13.5" customHeight="1">
      <c r="A317" s="11"/>
      <c r="B317" s="11"/>
      <c r="C317" s="11"/>
      <c r="D317" s="11"/>
      <c r="E317" s="11"/>
      <c r="F317" s="253"/>
      <c r="G317" s="253"/>
      <c r="H317" s="11"/>
      <c r="I317" s="429"/>
      <c r="J317" s="427"/>
      <c r="K317" s="395"/>
      <c r="L317" s="431"/>
      <c r="M317" s="11"/>
      <c r="N317" s="11"/>
      <c r="O317" s="71"/>
      <c r="P317" s="427"/>
      <c r="Q317" s="397"/>
      <c r="R317" s="395"/>
      <c r="S317" s="398"/>
      <c r="T317" s="399"/>
      <c r="U317" s="11"/>
      <c r="V317" s="11"/>
      <c r="W317" s="11"/>
      <c r="X317" s="11"/>
      <c r="Y317" s="11"/>
      <c r="Z317" s="402"/>
      <c r="AA317" s="402"/>
    </row>
    <row r="318" ht="13.5" customHeight="1">
      <c r="A318" s="11"/>
      <c r="B318" s="11"/>
      <c r="C318" s="11"/>
      <c r="D318" s="11"/>
      <c r="E318" s="11"/>
      <c r="F318" s="253"/>
      <c r="G318" s="253"/>
      <c r="H318" s="11"/>
      <c r="I318" s="429"/>
      <c r="J318" s="427"/>
      <c r="K318" s="395"/>
      <c r="L318" s="431"/>
      <c r="M318" s="11"/>
      <c r="N318" s="11"/>
      <c r="O318" s="71"/>
      <c r="P318" s="427"/>
      <c r="Q318" s="397"/>
      <c r="R318" s="395"/>
      <c r="S318" s="398"/>
      <c r="T318" s="399"/>
      <c r="U318" s="11"/>
      <c r="V318" s="11"/>
      <c r="W318" s="11"/>
      <c r="X318" s="11"/>
      <c r="Y318" s="11"/>
      <c r="Z318" s="402"/>
      <c r="AA318" s="402"/>
    </row>
    <row r="319" ht="13.5" customHeight="1">
      <c r="A319" s="11"/>
      <c r="B319" s="11"/>
      <c r="C319" s="11"/>
      <c r="D319" s="11"/>
      <c r="E319" s="11"/>
      <c r="F319" s="253"/>
      <c r="G319" s="253"/>
      <c r="H319" s="11"/>
      <c r="I319" s="429"/>
      <c r="J319" s="427"/>
      <c r="K319" s="395"/>
      <c r="L319" s="431"/>
      <c r="M319" s="11"/>
      <c r="N319" s="11"/>
      <c r="O319" s="71"/>
      <c r="P319" s="427"/>
      <c r="Q319" s="397"/>
      <c r="R319" s="395"/>
      <c r="S319" s="398"/>
      <c r="T319" s="399"/>
      <c r="U319" s="11"/>
      <c r="V319" s="11"/>
      <c r="W319" s="11"/>
      <c r="X319" s="11"/>
      <c r="Y319" s="11"/>
      <c r="Z319" s="402"/>
      <c r="AA319" s="402"/>
    </row>
    <row r="320" ht="13.5" customHeight="1">
      <c r="A320" s="11"/>
      <c r="B320" s="11"/>
      <c r="C320" s="11"/>
      <c r="D320" s="11"/>
      <c r="E320" s="11"/>
      <c r="F320" s="253"/>
      <c r="G320" s="253"/>
      <c r="H320" s="11"/>
      <c r="I320" s="429"/>
      <c r="J320" s="427"/>
      <c r="K320" s="395"/>
      <c r="L320" s="431"/>
      <c r="M320" s="11"/>
      <c r="N320" s="11"/>
      <c r="O320" s="71"/>
      <c r="P320" s="427"/>
      <c r="Q320" s="397"/>
      <c r="R320" s="395"/>
      <c r="S320" s="398"/>
      <c r="T320" s="399"/>
      <c r="U320" s="11"/>
      <c r="V320" s="11"/>
      <c r="W320" s="11"/>
      <c r="X320" s="11"/>
      <c r="Y320" s="11"/>
      <c r="Z320" s="402"/>
      <c r="AA320" s="402"/>
    </row>
    <row r="321" ht="13.5" customHeight="1">
      <c r="A321" s="11"/>
      <c r="B321" s="11"/>
      <c r="C321" s="11"/>
      <c r="D321" s="11"/>
      <c r="E321" s="11"/>
      <c r="F321" s="253"/>
      <c r="G321" s="253"/>
      <c r="H321" s="11"/>
      <c r="I321" s="429"/>
      <c r="J321" s="427"/>
      <c r="K321" s="395"/>
      <c r="L321" s="431"/>
      <c r="M321" s="11"/>
      <c r="N321" s="11"/>
      <c r="O321" s="71"/>
      <c r="P321" s="427"/>
      <c r="Q321" s="397"/>
      <c r="R321" s="395"/>
      <c r="S321" s="398"/>
      <c r="T321" s="399"/>
      <c r="U321" s="11"/>
      <c r="V321" s="11"/>
      <c r="W321" s="11"/>
      <c r="X321" s="11"/>
      <c r="Y321" s="11"/>
      <c r="Z321" s="402"/>
      <c r="AA321" s="402"/>
    </row>
    <row r="322" ht="13.5" customHeight="1">
      <c r="A322" s="11"/>
      <c r="B322" s="11"/>
      <c r="C322" s="11"/>
      <c r="D322" s="11"/>
      <c r="E322" s="11"/>
      <c r="F322" s="253"/>
      <c r="G322" s="253"/>
      <c r="H322" s="11"/>
      <c r="I322" s="429"/>
      <c r="J322" s="427"/>
      <c r="K322" s="395"/>
      <c r="L322" s="431"/>
      <c r="M322" s="11"/>
      <c r="N322" s="11"/>
      <c r="O322" s="71"/>
      <c r="P322" s="427"/>
      <c r="Q322" s="397"/>
      <c r="R322" s="395"/>
      <c r="S322" s="398"/>
      <c r="T322" s="399"/>
      <c r="U322" s="11"/>
      <c r="V322" s="11"/>
      <c r="W322" s="11"/>
      <c r="X322" s="11"/>
      <c r="Y322" s="11"/>
      <c r="Z322" s="402"/>
      <c r="AA322" s="402"/>
    </row>
    <row r="323" ht="13.5" customHeight="1">
      <c r="A323" s="11"/>
      <c r="B323" s="11"/>
      <c r="C323" s="11"/>
      <c r="D323" s="11"/>
      <c r="E323" s="11"/>
      <c r="F323" s="253"/>
      <c r="G323" s="253"/>
      <c r="H323" s="11"/>
      <c r="I323" s="429"/>
      <c r="J323" s="427"/>
      <c r="K323" s="395"/>
      <c r="L323" s="431"/>
      <c r="M323" s="11"/>
      <c r="N323" s="11"/>
      <c r="O323" s="71"/>
      <c r="P323" s="427"/>
      <c r="Q323" s="397"/>
      <c r="R323" s="395"/>
      <c r="S323" s="398"/>
      <c r="T323" s="399"/>
      <c r="U323" s="11"/>
      <c r="V323" s="11"/>
      <c r="W323" s="11"/>
      <c r="X323" s="11"/>
      <c r="Y323" s="11"/>
      <c r="Z323" s="402"/>
      <c r="AA323" s="402"/>
    </row>
    <row r="324" ht="13.5" customHeight="1">
      <c r="A324" s="11"/>
      <c r="B324" s="11"/>
      <c r="C324" s="11"/>
      <c r="D324" s="11"/>
      <c r="E324" s="11"/>
      <c r="F324" s="253"/>
      <c r="G324" s="253"/>
      <c r="H324" s="11"/>
      <c r="I324" s="429"/>
      <c r="J324" s="427"/>
      <c r="K324" s="395"/>
      <c r="L324" s="431"/>
      <c r="M324" s="11"/>
      <c r="N324" s="11"/>
      <c r="O324" s="71"/>
      <c r="P324" s="427"/>
      <c r="Q324" s="397"/>
      <c r="R324" s="395"/>
      <c r="S324" s="398"/>
      <c r="T324" s="399"/>
      <c r="U324" s="11"/>
      <c r="V324" s="11"/>
      <c r="W324" s="11"/>
      <c r="X324" s="11"/>
      <c r="Y324" s="11"/>
      <c r="Z324" s="402"/>
      <c r="AA324" s="402"/>
    </row>
    <row r="325" ht="13.5" customHeight="1">
      <c r="A325" s="11"/>
      <c r="B325" s="11"/>
      <c r="C325" s="11"/>
      <c r="D325" s="11"/>
      <c r="E325" s="11"/>
      <c r="F325" s="253"/>
      <c r="G325" s="253"/>
      <c r="H325" s="11"/>
      <c r="I325" s="429"/>
      <c r="J325" s="427"/>
      <c r="K325" s="395"/>
      <c r="L325" s="431"/>
      <c r="M325" s="11"/>
      <c r="N325" s="11"/>
      <c r="O325" s="71"/>
      <c r="P325" s="427"/>
      <c r="Q325" s="397"/>
      <c r="R325" s="395"/>
      <c r="S325" s="398"/>
      <c r="T325" s="399"/>
      <c r="U325" s="11"/>
      <c r="V325" s="11"/>
      <c r="W325" s="11"/>
      <c r="X325" s="11"/>
      <c r="Y325" s="11"/>
      <c r="Z325" s="402"/>
      <c r="AA325" s="402"/>
    </row>
    <row r="326" ht="13.5" customHeight="1">
      <c r="A326" s="11"/>
      <c r="B326" s="11"/>
      <c r="C326" s="11"/>
      <c r="D326" s="11"/>
      <c r="E326" s="11"/>
      <c r="F326" s="253"/>
      <c r="G326" s="253"/>
      <c r="H326" s="11"/>
      <c r="I326" s="429"/>
      <c r="J326" s="427"/>
      <c r="K326" s="395"/>
      <c r="L326" s="431"/>
      <c r="M326" s="11"/>
      <c r="N326" s="11"/>
      <c r="O326" s="71"/>
      <c r="P326" s="427"/>
      <c r="Q326" s="397"/>
      <c r="R326" s="395"/>
      <c r="S326" s="398"/>
      <c r="T326" s="399"/>
      <c r="U326" s="11"/>
      <c r="V326" s="11"/>
      <c r="W326" s="11"/>
      <c r="X326" s="11"/>
      <c r="Y326" s="11"/>
      <c r="Z326" s="402"/>
      <c r="AA326" s="402"/>
    </row>
    <row r="327" ht="13.5" customHeight="1">
      <c r="A327" s="11"/>
      <c r="B327" s="11"/>
      <c r="C327" s="11"/>
      <c r="D327" s="11"/>
      <c r="E327" s="11"/>
      <c r="F327" s="253"/>
      <c r="G327" s="253"/>
      <c r="H327" s="11"/>
      <c r="I327" s="429"/>
      <c r="J327" s="427"/>
      <c r="K327" s="395"/>
      <c r="L327" s="431"/>
      <c r="M327" s="11"/>
      <c r="N327" s="11"/>
      <c r="O327" s="71"/>
      <c r="P327" s="427"/>
      <c r="Q327" s="397"/>
      <c r="R327" s="395"/>
      <c r="S327" s="398"/>
      <c r="T327" s="399"/>
      <c r="U327" s="11"/>
      <c r="V327" s="11"/>
      <c r="W327" s="11"/>
      <c r="X327" s="11"/>
      <c r="Y327" s="11"/>
      <c r="Z327" s="402"/>
      <c r="AA327" s="402"/>
    </row>
    <row r="328" ht="13.5" customHeight="1">
      <c r="A328" s="11"/>
      <c r="B328" s="11"/>
      <c r="C328" s="11"/>
      <c r="D328" s="11"/>
      <c r="E328" s="11"/>
      <c r="F328" s="253"/>
      <c r="G328" s="253"/>
      <c r="H328" s="11"/>
      <c r="I328" s="429"/>
      <c r="J328" s="427"/>
      <c r="K328" s="395"/>
      <c r="L328" s="431"/>
      <c r="M328" s="11"/>
      <c r="N328" s="11"/>
      <c r="O328" s="71"/>
      <c r="P328" s="427"/>
      <c r="Q328" s="397"/>
      <c r="R328" s="395"/>
      <c r="S328" s="398"/>
      <c r="T328" s="399"/>
      <c r="U328" s="11"/>
      <c r="V328" s="11"/>
      <c r="W328" s="11"/>
      <c r="X328" s="11"/>
      <c r="Y328" s="11"/>
      <c r="Z328" s="402"/>
      <c r="AA328" s="402"/>
    </row>
    <row r="329" ht="13.5" customHeight="1">
      <c r="A329" s="11"/>
      <c r="B329" s="11"/>
      <c r="C329" s="11"/>
      <c r="D329" s="11"/>
      <c r="E329" s="11"/>
      <c r="F329" s="253"/>
      <c r="G329" s="253"/>
      <c r="H329" s="11"/>
      <c r="I329" s="429"/>
      <c r="J329" s="427"/>
      <c r="K329" s="395"/>
      <c r="L329" s="431"/>
      <c r="M329" s="11"/>
      <c r="N329" s="11"/>
      <c r="O329" s="71"/>
      <c r="P329" s="427"/>
      <c r="Q329" s="397"/>
      <c r="R329" s="395"/>
      <c r="S329" s="398"/>
      <c r="T329" s="399"/>
      <c r="U329" s="11"/>
      <c r="V329" s="11"/>
      <c r="W329" s="11"/>
      <c r="X329" s="11"/>
      <c r="Y329" s="11"/>
      <c r="Z329" s="402"/>
      <c r="AA329" s="402"/>
    </row>
    <row r="330" ht="13.5" customHeight="1">
      <c r="A330" s="11"/>
      <c r="B330" s="11"/>
      <c r="C330" s="11"/>
      <c r="D330" s="11"/>
      <c r="E330" s="11"/>
      <c r="F330" s="253"/>
      <c r="G330" s="253"/>
      <c r="H330" s="11"/>
      <c r="I330" s="429"/>
      <c r="J330" s="427"/>
      <c r="K330" s="395"/>
      <c r="L330" s="431"/>
      <c r="M330" s="11"/>
      <c r="N330" s="11"/>
      <c r="O330" s="71"/>
      <c r="P330" s="427"/>
      <c r="Q330" s="397"/>
      <c r="R330" s="395"/>
      <c r="S330" s="398"/>
      <c r="T330" s="399"/>
      <c r="U330" s="11"/>
      <c r="V330" s="11"/>
      <c r="W330" s="11"/>
      <c r="X330" s="11"/>
      <c r="Y330" s="11"/>
      <c r="Z330" s="402"/>
      <c r="AA330" s="402"/>
    </row>
    <row r="331" ht="13.5" customHeight="1">
      <c r="A331" s="11"/>
      <c r="B331" s="11"/>
      <c r="C331" s="11"/>
      <c r="D331" s="11"/>
      <c r="E331" s="11"/>
      <c r="F331" s="253"/>
      <c r="G331" s="253"/>
      <c r="H331" s="11"/>
      <c r="I331" s="429"/>
      <c r="J331" s="427"/>
      <c r="K331" s="395"/>
      <c r="L331" s="431"/>
      <c r="M331" s="11"/>
      <c r="N331" s="11"/>
      <c r="O331" s="71"/>
      <c r="P331" s="427"/>
      <c r="Q331" s="397"/>
      <c r="R331" s="395"/>
      <c r="S331" s="398"/>
      <c r="T331" s="399"/>
      <c r="U331" s="11"/>
      <c r="V331" s="11"/>
      <c r="W331" s="11"/>
      <c r="X331" s="11"/>
      <c r="Y331" s="11"/>
      <c r="Z331" s="402"/>
      <c r="AA331" s="402"/>
    </row>
    <row r="332" ht="13.5" customHeight="1">
      <c r="A332" s="11"/>
      <c r="B332" s="11"/>
      <c r="C332" s="11"/>
      <c r="D332" s="11"/>
      <c r="E332" s="11"/>
      <c r="F332" s="253"/>
      <c r="G332" s="253"/>
      <c r="H332" s="11"/>
      <c r="I332" s="429"/>
      <c r="J332" s="427"/>
      <c r="K332" s="395"/>
      <c r="L332" s="431"/>
      <c r="M332" s="11"/>
      <c r="N332" s="11"/>
      <c r="O332" s="71"/>
      <c r="P332" s="427"/>
      <c r="Q332" s="397"/>
      <c r="R332" s="395"/>
      <c r="S332" s="398"/>
      <c r="T332" s="399"/>
      <c r="U332" s="11"/>
      <c r="V332" s="11"/>
      <c r="W332" s="11"/>
      <c r="X332" s="11"/>
      <c r="Y332" s="11"/>
      <c r="Z332" s="402"/>
      <c r="AA332" s="402"/>
    </row>
    <row r="333" ht="13.5" customHeight="1">
      <c r="A333" s="11"/>
      <c r="B333" s="11"/>
      <c r="C333" s="11"/>
      <c r="D333" s="11"/>
      <c r="E333" s="11"/>
      <c r="F333" s="253"/>
      <c r="G333" s="253"/>
      <c r="H333" s="11"/>
      <c r="I333" s="429"/>
      <c r="J333" s="427"/>
      <c r="K333" s="395"/>
      <c r="L333" s="431"/>
      <c r="M333" s="11"/>
      <c r="N333" s="11"/>
      <c r="O333" s="71"/>
      <c r="P333" s="427"/>
      <c r="Q333" s="397"/>
      <c r="R333" s="395"/>
      <c r="S333" s="398"/>
      <c r="T333" s="399"/>
      <c r="U333" s="11"/>
      <c r="V333" s="11"/>
      <c r="W333" s="11"/>
      <c r="X333" s="11"/>
      <c r="Y333" s="11"/>
      <c r="Z333" s="402"/>
      <c r="AA333" s="402"/>
    </row>
    <row r="334" ht="13.5" customHeight="1">
      <c r="A334" s="11"/>
      <c r="B334" s="11"/>
      <c r="C334" s="11"/>
      <c r="D334" s="11"/>
      <c r="E334" s="11"/>
      <c r="F334" s="253"/>
      <c r="G334" s="253"/>
      <c r="H334" s="11"/>
      <c r="I334" s="429"/>
      <c r="J334" s="427"/>
      <c r="K334" s="395"/>
      <c r="L334" s="431"/>
      <c r="M334" s="11"/>
      <c r="N334" s="11"/>
      <c r="O334" s="71"/>
      <c r="P334" s="427"/>
      <c r="Q334" s="397"/>
      <c r="R334" s="395"/>
      <c r="S334" s="398"/>
      <c r="T334" s="399"/>
      <c r="U334" s="11"/>
      <c r="V334" s="11"/>
      <c r="W334" s="11"/>
      <c r="X334" s="11"/>
      <c r="Y334" s="11"/>
      <c r="Z334" s="402"/>
      <c r="AA334" s="402"/>
    </row>
    <row r="335" ht="13.5" customHeight="1">
      <c r="A335" s="11"/>
      <c r="B335" s="11"/>
      <c r="C335" s="11"/>
      <c r="D335" s="11"/>
      <c r="E335" s="11"/>
      <c r="F335" s="253"/>
      <c r="G335" s="253"/>
      <c r="H335" s="11"/>
      <c r="I335" s="429"/>
      <c r="J335" s="427"/>
      <c r="K335" s="395"/>
      <c r="L335" s="431"/>
      <c r="M335" s="11"/>
      <c r="N335" s="11"/>
      <c r="O335" s="71"/>
      <c r="P335" s="427"/>
      <c r="Q335" s="397"/>
      <c r="R335" s="395"/>
      <c r="S335" s="398"/>
      <c r="T335" s="399"/>
      <c r="U335" s="11"/>
      <c r="V335" s="11"/>
      <c r="W335" s="11"/>
      <c r="X335" s="11"/>
      <c r="Y335" s="11"/>
      <c r="Z335" s="402"/>
      <c r="AA335" s="402"/>
    </row>
    <row r="336" ht="13.5" customHeight="1">
      <c r="A336" s="11"/>
      <c r="B336" s="11"/>
      <c r="C336" s="11"/>
      <c r="D336" s="11"/>
      <c r="E336" s="11"/>
      <c r="F336" s="253"/>
      <c r="G336" s="253"/>
      <c r="H336" s="11"/>
      <c r="I336" s="429"/>
      <c r="J336" s="427"/>
      <c r="K336" s="395"/>
      <c r="L336" s="431"/>
      <c r="M336" s="11"/>
      <c r="N336" s="11"/>
      <c r="O336" s="71"/>
      <c r="P336" s="427"/>
      <c r="Q336" s="397"/>
      <c r="R336" s="395"/>
      <c r="S336" s="398"/>
      <c r="T336" s="399"/>
      <c r="U336" s="11"/>
      <c r="V336" s="11"/>
      <c r="W336" s="11"/>
      <c r="X336" s="11"/>
      <c r="Y336" s="11"/>
      <c r="Z336" s="402"/>
      <c r="AA336" s="402"/>
    </row>
    <row r="337" ht="13.5" customHeight="1">
      <c r="A337" s="11"/>
      <c r="B337" s="11"/>
      <c r="C337" s="11"/>
      <c r="D337" s="11"/>
      <c r="E337" s="11"/>
      <c r="F337" s="253"/>
      <c r="G337" s="253"/>
      <c r="H337" s="11"/>
      <c r="I337" s="429"/>
      <c r="J337" s="427"/>
      <c r="K337" s="395"/>
      <c r="L337" s="431"/>
      <c r="M337" s="11"/>
      <c r="N337" s="11"/>
      <c r="O337" s="71"/>
      <c r="P337" s="427"/>
      <c r="Q337" s="397"/>
      <c r="R337" s="395"/>
      <c r="S337" s="398"/>
      <c r="T337" s="399"/>
      <c r="U337" s="11"/>
      <c r="V337" s="11"/>
      <c r="W337" s="11"/>
      <c r="X337" s="11"/>
      <c r="Y337" s="11"/>
      <c r="Z337" s="402"/>
      <c r="AA337" s="402"/>
    </row>
    <row r="338" ht="13.5" customHeight="1">
      <c r="A338" s="11"/>
      <c r="B338" s="11"/>
      <c r="C338" s="11"/>
      <c r="D338" s="11"/>
      <c r="E338" s="11"/>
      <c r="F338" s="253"/>
      <c r="G338" s="253"/>
      <c r="H338" s="11"/>
      <c r="I338" s="429"/>
      <c r="J338" s="427"/>
      <c r="K338" s="395"/>
      <c r="L338" s="431"/>
      <c r="M338" s="11"/>
      <c r="N338" s="11"/>
      <c r="O338" s="71"/>
      <c r="P338" s="427"/>
      <c r="Q338" s="397"/>
      <c r="R338" s="395"/>
      <c r="S338" s="398"/>
      <c r="T338" s="399"/>
      <c r="U338" s="11"/>
      <c r="V338" s="11"/>
      <c r="W338" s="11"/>
      <c r="X338" s="11"/>
      <c r="Y338" s="11"/>
      <c r="Z338" s="402"/>
      <c r="AA338" s="402"/>
    </row>
    <row r="339" ht="13.5" customHeight="1">
      <c r="A339" s="11"/>
      <c r="B339" s="11"/>
      <c r="C339" s="11"/>
      <c r="D339" s="11"/>
      <c r="E339" s="11"/>
      <c r="F339" s="253"/>
      <c r="G339" s="253"/>
      <c r="H339" s="11"/>
      <c r="I339" s="429"/>
      <c r="J339" s="427"/>
      <c r="K339" s="395"/>
      <c r="L339" s="431"/>
      <c r="M339" s="11"/>
      <c r="N339" s="11"/>
      <c r="O339" s="71"/>
      <c r="P339" s="427"/>
      <c r="Q339" s="397"/>
      <c r="R339" s="395"/>
      <c r="S339" s="398"/>
      <c r="T339" s="399"/>
      <c r="U339" s="11"/>
      <c r="V339" s="11"/>
      <c r="W339" s="11"/>
      <c r="X339" s="11"/>
      <c r="Y339" s="11"/>
      <c r="Z339" s="402"/>
      <c r="AA339" s="402"/>
    </row>
    <row r="340" ht="13.5" customHeight="1">
      <c r="A340" s="11"/>
      <c r="B340" s="11"/>
      <c r="C340" s="11"/>
      <c r="D340" s="11"/>
      <c r="E340" s="11"/>
      <c r="F340" s="253"/>
      <c r="G340" s="253"/>
      <c r="H340" s="11"/>
      <c r="I340" s="429"/>
      <c r="J340" s="427"/>
      <c r="K340" s="395"/>
      <c r="L340" s="431"/>
      <c r="M340" s="11"/>
      <c r="N340" s="11"/>
      <c r="O340" s="71"/>
      <c r="P340" s="427"/>
      <c r="Q340" s="397"/>
      <c r="R340" s="395"/>
      <c r="S340" s="398"/>
      <c r="T340" s="399"/>
      <c r="U340" s="11"/>
      <c r="V340" s="11"/>
      <c r="W340" s="11"/>
      <c r="X340" s="11"/>
      <c r="Y340" s="11"/>
      <c r="Z340" s="402"/>
      <c r="AA340" s="402"/>
    </row>
    <row r="341" ht="13.5" customHeight="1">
      <c r="A341" s="11"/>
      <c r="B341" s="11"/>
      <c r="C341" s="11"/>
      <c r="D341" s="11"/>
      <c r="E341" s="11"/>
      <c r="F341" s="253"/>
      <c r="G341" s="253"/>
      <c r="H341" s="11"/>
      <c r="I341" s="429"/>
      <c r="J341" s="427"/>
      <c r="K341" s="395"/>
      <c r="L341" s="431"/>
      <c r="M341" s="11"/>
      <c r="N341" s="11"/>
      <c r="O341" s="71"/>
      <c r="P341" s="427"/>
      <c r="Q341" s="397"/>
      <c r="R341" s="395"/>
      <c r="S341" s="398"/>
      <c r="T341" s="399"/>
      <c r="U341" s="11"/>
      <c r="V341" s="11"/>
      <c r="W341" s="11"/>
      <c r="X341" s="11"/>
      <c r="Y341" s="11"/>
      <c r="Z341" s="402"/>
      <c r="AA341" s="402"/>
    </row>
    <row r="342" ht="13.5" customHeight="1">
      <c r="A342" s="11"/>
      <c r="B342" s="11"/>
      <c r="C342" s="11"/>
      <c r="D342" s="11"/>
      <c r="E342" s="11"/>
      <c r="F342" s="253"/>
      <c r="G342" s="253"/>
      <c r="H342" s="11"/>
      <c r="I342" s="429"/>
      <c r="J342" s="427"/>
      <c r="K342" s="395"/>
      <c r="L342" s="431"/>
      <c r="M342" s="11"/>
      <c r="N342" s="11"/>
      <c r="O342" s="71"/>
      <c r="P342" s="427"/>
      <c r="Q342" s="397"/>
      <c r="R342" s="395"/>
      <c r="S342" s="398"/>
      <c r="T342" s="399"/>
      <c r="U342" s="11"/>
      <c r="V342" s="11"/>
      <c r="W342" s="11"/>
      <c r="X342" s="11"/>
      <c r="Y342" s="11"/>
      <c r="Z342" s="402"/>
      <c r="AA342" s="402"/>
    </row>
    <row r="343" ht="13.5" customHeight="1">
      <c r="A343" s="11"/>
      <c r="B343" s="11"/>
      <c r="C343" s="11"/>
      <c r="D343" s="11"/>
      <c r="E343" s="11"/>
      <c r="F343" s="253"/>
      <c r="G343" s="253"/>
      <c r="H343" s="11"/>
      <c r="I343" s="429"/>
      <c r="J343" s="427"/>
      <c r="K343" s="395"/>
      <c r="L343" s="431"/>
      <c r="M343" s="11"/>
      <c r="N343" s="11"/>
      <c r="O343" s="71"/>
      <c r="P343" s="427"/>
      <c r="Q343" s="397"/>
      <c r="R343" s="395"/>
      <c r="S343" s="398"/>
      <c r="T343" s="399"/>
      <c r="U343" s="11"/>
      <c r="V343" s="11"/>
      <c r="W343" s="11"/>
      <c r="X343" s="11"/>
      <c r="Y343" s="11"/>
      <c r="Z343" s="402"/>
      <c r="AA343" s="402"/>
    </row>
    <row r="344" ht="13.5" customHeight="1">
      <c r="A344" s="11"/>
      <c r="B344" s="11"/>
      <c r="C344" s="11"/>
      <c r="D344" s="11"/>
      <c r="E344" s="11"/>
      <c r="F344" s="253"/>
      <c r="G344" s="253"/>
      <c r="H344" s="11"/>
      <c r="I344" s="429"/>
      <c r="J344" s="427"/>
      <c r="K344" s="395"/>
      <c r="L344" s="431"/>
      <c r="M344" s="11"/>
      <c r="N344" s="11"/>
      <c r="O344" s="71"/>
      <c r="P344" s="427"/>
      <c r="Q344" s="397"/>
      <c r="R344" s="395"/>
      <c r="S344" s="398"/>
      <c r="T344" s="399"/>
      <c r="U344" s="11"/>
      <c r="V344" s="11"/>
      <c r="W344" s="11"/>
      <c r="X344" s="11"/>
      <c r="Y344" s="11"/>
      <c r="Z344" s="402"/>
      <c r="AA344" s="402"/>
    </row>
    <row r="345" ht="13.5" customHeight="1">
      <c r="A345" s="11"/>
      <c r="B345" s="11"/>
      <c r="C345" s="11"/>
      <c r="D345" s="11"/>
      <c r="E345" s="11"/>
      <c r="F345" s="253"/>
      <c r="G345" s="253"/>
      <c r="H345" s="11"/>
      <c r="I345" s="429"/>
      <c r="J345" s="427"/>
      <c r="K345" s="395"/>
      <c r="L345" s="431"/>
      <c r="M345" s="11"/>
      <c r="N345" s="11"/>
      <c r="O345" s="71"/>
      <c r="P345" s="427"/>
      <c r="Q345" s="397"/>
      <c r="R345" s="395"/>
      <c r="S345" s="398"/>
      <c r="T345" s="399"/>
      <c r="U345" s="11"/>
      <c r="V345" s="11"/>
      <c r="W345" s="11"/>
      <c r="X345" s="11"/>
      <c r="Y345" s="11"/>
      <c r="Z345" s="402"/>
      <c r="AA345" s="402"/>
    </row>
    <row r="346" ht="13.5" customHeight="1">
      <c r="A346" s="11"/>
      <c r="B346" s="11"/>
      <c r="C346" s="11"/>
      <c r="D346" s="11"/>
      <c r="E346" s="11"/>
      <c r="F346" s="253"/>
      <c r="G346" s="253"/>
      <c r="H346" s="11"/>
      <c r="I346" s="429"/>
      <c r="J346" s="427"/>
      <c r="K346" s="395"/>
      <c r="L346" s="431"/>
      <c r="M346" s="11"/>
      <c r="N346" s="11"/>
      <c r="O346" s="71"/>
      <c r="P346" s="427"/>
      <c r="Q346" s="397"/>
      <c r="R346" s="395"/>
      <c r="S346" s="398"/>
      <c r="T346" s="399"/>
      <c r="U346" s="11"/>
      <c r="V346" s="11"/>
      <c r="W346" s="11"/>
      <c r="X346" s="11"/>
      <c r="Y346" s="11"/>
      <c r="Z346" s="402"/>
      <c r="AA346" s="402"/>
    </row>
    <row r="347" ht="13.5" customHeight="1">
      <c r="A347" s="11"/>
      <c r="B347" s="11"/>
      <c r="C347" s="11"/>
      <c r="D347" s="11"/>
      <c r="E347" s="11"/>
      <c r="F347" s="253"/>
      <c r="G347" s="253"/>
      <c r="H347" s="11"/>
      <c r="I347" s="429"/>
      <c r="J347" s="427"/>
      <c r="K347" s="395"/>
      <c r="L347" s="431"/>
      <c r="M347" s="11"/>
      <c r="N347" s="11"/>
      <c r="O347" s="71"/>
      <c r="P347" s="427"/>
      <c r="Q347" s="397"/>
      <c r="R347" s="395"/>
      <c r="S347" s="398"/>
      <c r="T347" s="399"/>
      <c r="U347" s="11"/>
      <c r="V347" s="11"/>
      <c r="W347" s="11"/>
      <c r="X347" s="11"/>
      <c r="Y347" s="11"/>
      <c r="Z347" s="402"/>
      <c r="AA347" s="402"/>
    </row>
    <row r="348" ht="13.5" customHeight="1">
      <c r="A348" s="11"/>
      <c r="B348" s="11"/>
      <c r="C348" s="11"/>
      <c r="D348" s="11"/>
      <c r="E348" s="11"/>
      <c r="F348" s="253"/>
      <c r="G348" s="253"/>
      <c r="H348" s="11"/>
      <c r="I348" s="429"/>
      <c r="J348" s="427"/>
      <c r="K348" s="395"/>
      <c r="L348" s="431"/>
      <c r="M348" s="11"/>
      <c r="N348" s="11"/>
      <c r="O348" s="71"/>
      <c r="P348" s="427"/>
      <c r="Q348" s="397"/>
      <c r="R348" s="395"/>
      <c r="S348" s="398"/>
      <c r="T348" s="399"/>
      <c r="U348" s="11"/>
      <c r="V348" s="11"/>
      <c r="W348" s="11"/>
      <c r="X348" s="11"/>
      <c r="Y348" s="11"/>
      <c r="Z348" s="402"/>
      <c r="AA348" s="402"/>
    </row>
    <row r="349" ht="13.5" customHeight="1">
      <c r="A349" s="11"/>
      <c r="B349" s="11"/>
      <c r="C349" s="11"/>
      <c r="D349" s="11"/>
      <c r="E349" s="11"/>
      <c r="F349" s="253"/>
      <c r="G349" s="253"/>
      <c r="H349" s="11"/>
      <c r="I349" s="429"/>
      <c r="J349" s="427"/>
      <c r="K349" s="395"/>
      <c r="L349" s="431"/>
      <c r="M349" s="11"/>
      <c r="N349" s="11"/>
      <c r="O349" s="71"/>
      <c r="P349" s="427"/>
      <c r="Q349" s="397"/>
      <c r="R349" s="395"/>
      <c r="S349" s="398"/>
      <c r="T349" s="399"/>
      <c r="U349" s="11"/>
      <c r="V349" s="11"/>
      <c r="W349" s="11"/>
      <c r="X349" s="11"/>
      <c r="Y349" s="11"/>
      <c r="Z349" s="402"/>
      <c r="AA349" s="402"/>
    </row>
    <row r="350" ht="13.5" customHeight="1">
      <c r="A350" s="11"/>
      <c r="B350" s="11"/>
      <c r="C350" s="11"/>
      <c r="D350" s="11"/>
      <c r="E350" s="11"/>
      <c r="F350" s="253"/>
      <c r="G350" s="253"/>
      <c r="H350" s="11"/>
      <c r="I350" s="429"/>
      <c r="J350" s="427"/>
      <c r="K350" s="395"/>
      <c r="L350" s="431"/>
      <c r="M350" s="11"/>
      <c r="N350" s="11"/>
      <c r="O350" s="71"/>
      <c r="P350" s="427"/>
      <c r="Q350" s="397"/>
      <c r="R350" s="395"/>
      <c r="S350" s="398"/>
      <c r="T350" s="399"/>
      <c r="U350" s="11"/>
      <c r="V350" s="11"/>
      <c r="W350" s="11"/>
      <c r="X350" s="11"/>
      <c r="Y350" s="11"/>
      <c r="Z350" s="402"/>
      <c r="AA350" s="402"/>
    </row>
    <row r="351" ht="13.5" customHeight="1">
      <c r="A351" s="11"/>
      <c r="B351" s="11"/>
      <c r="C351" s="11"/>
      <c r="D351" s="11"/>
      <c r="E351" s="11"/>
      <c r="F351" s="253"/>
      <c r="G351" s="253"/>
      <c r="H351" s="11"/>
      <c r="I351" s="429"/>
      <c r="J351" s="427"/>
      <c r="K351" s="395"/>
      <c r="L351" s="431"/>
      <c r="M351" s="11"/>
      <c r="N351" s="11"/>
      <c r="O351" s="71"/>
      <c r="P351" s="427"/>
      <c r="Q351" s="397"/>
      <c r="R351" s="395"/>
      <c r="S351" s="398"/>
      <c r="T351" s="399"/>
      <c r="U351" s="11"/>
      <c r="V351" s="11"/>
      <c r="W351" s="11"/>
      <c r="X351" s="11"/>
      <c r="Y351" s="11"/>
      <c r="Z351" s="402"/>
      <c r="AA351" s="402"/>
    </row>
    <row r="352" ht="13.5" customHeight="1">
      <c r="A352" s="11"/>
      <c r="B352" s="11"/>
      <c r="C352" s="11"/>
      <c r="D352" s="11"/>
      <c r="E352" s="11"/>
      <c r="F352" s="253"/>
      <c r="G352" s="253"/>
      <c r="H352" s="11"/>
      <c r="I352" s="429"/>
      <c r="J352" s="427"/>
      <c r="K352" s="395"/>
      <c r="L352" s="431"/>
      <c r="M352" s="11"/>
      <c r="N352" s="11"/>
      <c r="O352" s="71"/>
      <c r="P352" s="427"/>
      <c r="Q352" s="397"/>
      <c r="R352" s="395"/>
      <c r="S352" s="398"/>
      <c r="T352" s="399"/>
      <c r="U352" s="11"/>
      <c r="V352" s="11"/>
      <c r="W352" s="11"/>
      <c r="X352" s="11"/>
      <c r="Y352" s="11"/>
      <c r="Z352" s="402"/>
      <c r="AA352" s="402"/>
    </row>
    <row r="353" ht="13.5" customHeight="1">
      <c r="A353" s="11"/>
      <c r="B353" s="11"/>
      <c r="C353" s="11"/>
      <c r="D353" s="11"/>
      <c r="E353" s="11"/>
      <c r="F353" s="253"/>
      <c r="G353" s="253"/>
      <c r="H353" s="11"/>
      <c r="I353" s="429"/>
      <c r="J353" s="427"/>
      <c r="K353" s="395"/>
      <c r="L353" s="431"/>
      <c r="M353" s="11"/>
      <c r="N353" s="11"/>
      <c r="O353" s="71"/>
      <c r="P353" s="427"/>
      <c r="Q353" s="397"/>
      <c r="R353" s="395"/>
      <c r="S353" s="398"/>
      <c r="T353" s="399"/>
      <c r="U353" s="11"/>
      <c r="V353" s="11"/>
      <c r="W353" s="11"/>
      <c r="X353" s="11"/>
      <c r="Y353" s="11"/>
      <c r="Z353" s="402"/>
      <c r="AA353" s="402"/>
    </row>
    <row r="354" ht="13.5" customHeight="1">
      <c r="A354" s="11"/>
      <c r="B354" s="11"/>
      <c r="C354" s="11"/>
      <c r="D354" s="11"/>
      <c r="E354" s="11"/>
      <c r="F354" s="253"/>
      <c r="G354" s="253"/>
      <c r="H354" s="11"/>
      <c r="I354" s="429"/>
      <c r="J354" s="427"/>
      <c r="K354" s="395"/>
      <c r="L354" s="431"/>
      <c r="M354" s="11"/>
      <c r="N354" s="11"/>
      <c r="O354" s="71"/>
      <c r="P354" s="427"/>
      <c r="Q354" s="397"/>
      <c r="R354" s="395"/>
      <c r="S354" s="398"/>
      <c r="T354" s="399"/>
      <c r="U354" s="11"/>
      <c r="V354" s="11"/>
      <c r="W354" s="11"/>
      <c r="X354" s="11"/>
      <c r="Y354" s="11"/>
      <c r="Z354" s="402"/>
      <c r="AA354" s="402"/>
    </row>
    <row r="355" ht="13.5" customHeight="1">
      <c r="A355" s="11"/>
      <c r="B355" s="11"/>
      <c r="C355" s="11"/>
      <c r="D355" s="11"/>
      <c r="E355" s="11"/>
      <c r="F355" s="253"/>
      <c r="G355" s="253"/>
      <c r="H355" s="11"/>
      <c r="I355" s="429"/>
      <c r="J355" s="427"/>
      <c r="K355" s="395"/>
      <c r="L355" s="431"/>
      <c r="M355" s="11"/>
      <c r="N355" s="11"/>
      <c r="O355" s="71"/>
      <c r="P355" s="427"/>
      <c r="Q355" s="397"/>
      <c r="R355" s="395"/>
      <c r="S355" s="398"/>
      <c r="T355" s="399"/>
      <c r="U355" s="11"/>
      <c r="V355" s="11"/>
      <c r="W355" s="11"/>
      <c r="X355" s="11"/>
      <c r="Y355" s="11"/>
      <c r="Z355" s="402"/>
      <c r="AA355" s="402"/>
    </row>
    <row r="356" ht="13.5" customHeight="1">
      <c r="A356" s="11"/>
      <c r="B356" s="11"/>
      <c r="C356" s="11"/>
      <c r="D356" s="11"/>
      <c r="E356" s="11"/>
      <c r="F356" s="253"/>
      <c r="G356" s="253"/>
      <c r="H356" s="11"/>
      <c r="I356" s="429"/>
      <c r="J356" s="427"/>
      <c r="K356" s="395"/>
      <c r="L356" s="431"/>
      <c r="M356" s="11"/>
      <c r="N356" s="11"/>
      <c r="O356" s="71"/>
      <c r="P356" s="427"/>
      <c r="Q356" s="397"/>
      <c r="R356" s="395"/>
      <c r="S356" s="398"/>
      <c r="T356" s="399"/>
      <c r="U356" s="11"/>
      <c r="V356" s="11"/>
      <c r="W356" s="11"/>
      <c r="X356" s="11"/>
      <c r="Y356" s="11"/>
      <c r="Z356" s="402"/>
      <c r="AA356" s="402"/>
    </row>
    <row r="357" ht="13.5" customHeight="1">
      <c r="A357" s="11"/>
      <c r="B357" s="11"/>
      <c r="C357" s="11"/>
      <c r="D357" s="11"/>
      <c r="E357" s="11"/>
      <c r="F357" s="253"/>
      <c r="G357" s="253"/>
      <c r="H357" s="11"/>
      <c r="I357" s="429"/>
      <c r="J357" s="427"/>
      <c r="K357" s="395"/>
      <c r="L357" s="431"/>
      <c r="M357" s="11"/>
      <c r="N357" s="11"/>
      <c r="O357" s="71"/>
      <c r="P357" s="427"/>
      <c r="Q357" s="397"/>
      <c r="R357" s="395"/>
      <c r="S357" s="398"/>
      <c r="T357" s="399"/>
      <c r="U357" s="11"/>
      <c r="V357" s="11"/>
      <c r="W357" s="11"/>
      <c r="X357" s="11"/>
      <c r="Y357" s="11"/>
      <c r="Z357" s="402"/>
      <c r="AA357" s="402"/>
    </row>
    <row r="358" ht="13.5" customHeight="1">
      <c r="A358" s="11"/>
      <c r="B358" s="11"/>
      <c r="C358" s="11"/>
      <c r="D358" s="11"/>
      <c r="E358" s="11"/>
      <c r="F358" s="253"/>
      <c r="G358" s="253"/>
      <c r="H358" s="11"/>
      <c r="I358" s="429"/>
      <c r="J358" s="427"/>
      <c r="K358" s="395"/>
      <c r="L358" s="431"/>
      <c r="M358" s="11"/>
      <c r="N358" s="11"/>
      <c r="O358" s="71"/>
      <c r="P358" s="427"/>
      <c r="Q358" s="397"/>
      <c r="R358" s="395"/>
      <c r="S358" s="398"/>
      <c r="T358" s="399"/>
      <c r="U358" s="11"/>
      <c r="V358" s="11"/>
      <c r="W358" s="11"/>
      <c r="X358" s="11"/>
      <c r="Y358" s="11"/>
      <c r="Z358" s="402"/>
      <c r="AA358" s="402"/>
    </row>
    <row r="359" ht="13.5" customHeight="1">
      <c r="A359" s="11"/>
      <c r="B359" s="11"/>
      <c r="C359" s="11"/>
      <c r="D359" s="11"/>
      <c r="E359" s="11"/>
      <c r="F359" s="253"/>
      <c r="G359" s="253"/>
      <c r="H359" s="11"/>
      <c r="I359" s="429"/>
      <c r="J359" s="427"/>
      <c r="K359" s="395"/>
      <c r="L359" s="431"/>
      <c r="M359" s="11"/>
      <c r="N359" s="11"/>
      <c r="O359" s="71"/>
      <c r="P359" s="427"/>
      <c r="Q359" s="397"/>
      <c r="R359" s="395"/>
      <c r="S359" s="398"/>
      <c r="T359" s="399"/>
      <c r="U359" s="11"/>
      <c r="V359" s="11"/>
      <c r="W359" s="11"/>
      <c r="X359" s="11"/>
      <c r="Y359" s="11"/>
      <c r="Z359" s="402"/>
      <c r="AA359" s="402"/>
    </row>
    <row r="360" ht="13.5" customHeight="1">
      <c r="A360" s="11"/>
      <c r="B360" s="11"/>
      <c r="C360" s="11"/>
      <c r="D360" s="11"/>
      <c r="E360" s="11"/>
      <c r="F360" s="253"/>
      <c r="G360" s="253"/>
      <c r="H360" s="11"/>
      <c r="I360" s="429"/>
      <c r="J360" s="427"/>
      <c r="K360" s="395"/>
      <c r="L360" s="431"/>
      <c r="M360" s="11"/>
      <c r="N360" s="11"/>
      <c r="O360" s="71"/>
      <c r="P360" s="427"/>
      <c r="Q360" s="397"/>
      <c r="R360" s="395"/>
      <c r="S360" s="398"/>
      <c r="T360" s="399"/>
      <c r="U360" s="11"/>
      <c r="V360" s="11"/>
      <c r="W360" s="11"/>
      <c r="X360" s="11"/>
      <c r="Y360" s="11"/>
      <c r="Z360" s="402"/>
      <c r="AA360" s="402"/>
    </row>
    <row r="361" ht="13.5" customHeight="1">
      <c r="A361" s="11"/>
      <c r="B361" s="11"/>
      <c r="C361" s="11"/>
      <c r="D361" s="11"/>
      <c r="E361" s="11"/>
      <c r="F361" s="253"/>
      <c r="G361" s="253"/>
      <c r="H361" s="11"/>
      <c r="I361" s="429"/>
      <c r="J361" s="427"/>
      <c r="K361" s="395"/>
      <c r="L361" s="431"/>
      <c r="M361" s="11"/>
      <c r="N361" s="11"/>
      <c r="O361" s="71"/>
      <c r="P361" s="427"/>
      <c r="Q361" s="397"/>
      <c r="R361" s="395"/>
      <c r="S361" s="398"/>
      <c r="T361" s="399"/>
      <c r="U361" s="11"/>
      <c r="V361" s="11"/>
      <c r="W361" s="11"/>
      <c r="X361" s="11"/>
      <c r="Y361" s="11"/>
      <c r="Z361" s="402"/>
      <c r="AA361" s="402"/>
    </row>
    <row r="362" ht="13.5" customHeight="1">
      <c r="A362" s="11"/>
      <c r="B362" s="11"/>
      <c r="C362" s="11"/>
      <c r="D362" s="11"/>
      <c r="E362" s="11"/>
      <c r="F362" s="253"/>
      <c r="G362" s="253"/>
      <c r="H362" s="11"/>
      <c r="I362" s="429"/>
      <c r="J362" s="427"/>
      <c r="K362" s="395"/>
      <c r="L362" s="431"/>
      <c r="M362" s="11"/>
      <c r="N362" s="11"/>
      <c r="O362" s="71"/>
      <c r="P362" s="427"/>
      <c r="Q362" s="397"/>
      <c r="R362" s="395"/>
      <c r="S362" s="398"/>
      <c r="T362" s="399"/>
      <c r="U362" s="11"/>
      <c r="V362" s="11"/>
      <c r="W362" s="11"/>
      <c r="X362" s="11"/>
      <c r="Y362" s="11"/>
      <c r="Z362" s="402"/>
      <c r="AA362" s="402"/>
    </row>
    <row r="363" ht="13.5" customHeight="1">
      <c r="A363" s="11"/>
      <c r="B363" s="11"/>
      <c r="C363" s="11"/>
      <c r="D363" s="11"/>
      <c r="E363" s="11"/>
      <c r="F363" s="253"/>
      <c r="G363" s="253"/>
      <c r="H363" s="11"/>
      <c r="I363" s="429"/>
      <c r="J363" s="427"/>
      <c r="K363" s="395"/>
      <c r="L363" s="431"/>
      <c r="M363" s="11"/>
      <c r="N363" s="11"/>
      <c r="O363" s="71"/>
      <c r="P363" s="427"/>
      <c r="Q363" s="397"/>
      <c r="R363" s="395"/>
      <c r="S363" s="398"/>
      <c r="T363" s="399"/>
      <c r="U363" s="11"/>
      <c r="V363" s="11"/>
      <c r="W363" s="11"/>
      <c r="X363" s="11"/>
      <c r="Y363" s="11"/>
      <c r="Z363" s="402"/>
      <c r="AA363" s="402"/>
    </row>
    <row r="364" ht="13.5" customHeight="1">
      <c r="A364" s="11"/>
      <c r="B364" s="11"/>
      <c r="C364" s="11"/>
      <c r="D364" s="11"/>
      <c r="E364" s="11"/>
      <c r="F364" s="253"/>
      <c r="G364" s="253"/>
      <c r="H364" s="11"/>
      <c r="I364" s="429"/>
      <c r="J364" s="427"/>
      <c r="K364" s="395"/>
      <c r="L364" s="431"/>
      <c r="M364" s="11"/>
      <c r="N364" s="11"/>
      <c r="O364" s="71"/>
      <c r="P364" s="427"/>
      <c r="Q364" s="397"/>
      <c r="R364" s="395"/>
      <c r="S364" s="398"/>
      <c r="T364" s="399"/>
      <c r="U364" s="11"/>
      <c r="V364" s="11"/>
      <c r="W364" s="11"/>
      <c r="X364" s="11"/>
      <c r="Y364" s="11"/>
      <c r="Z364" s="402"/>
      <c r="AA364" s="402"/>
    </row>
    <row r="365" ht="13.5" customHeight="1">
      <c r="A365" s="11"/>
      <c r="B365" s="11"/>
      <c r="C365" s="11"/>
      <c r="D365" s="11"/>
      <c r="E365" s="11"/>
      <c r="F365" s="253"/>
      <c r="G365" s="253"/>
      <c r="H365" s="11"/>
      <c r="I365" s="429"/>
      <c r="J365" s="427"/>
      <c r="K365" s="395"/>
      <c r="L365" s="431"/>
      <c r="M365" s="11"/>
      <c r="N365" s="11"/>
      <c r="O365" s="71"/>
      <c r="P365" s="427"/>
      <c r="Q365" s="397"/>
      <c r="R365" s="395"/>
      <c r="S365" s="398"/>
      <c r="T365" s="399"/>
      <c r="U365" s="11"/>
      <c r="V365" s="11"/>
      <c r="W365" s="11"/>
      <c r="X365" s="11"/>
      <c r="Y365" s="11"/>
      <c r="Z365" s="402"/>
      <c r="AA365" s="402"/>
    </row>
    <row r="366" ht="13.5" customHeight="1">
      <c r="A366" s="11"/>
      <c r="B366" s="11"/>
      <c r="C366" s="11"/>
      <c r="D366" s="11"/>
      <c r="E366" s="11"/>
      <c r="F366" s="253"/>
      <c r="G366" s="253"/>
      <c r="H366" s="11"/>
      <c r="I366" s="429"/>
      <c r="J366" s="427"/>
      <c r="K366" s="395"/>
      <c r="L366" s="431"/>
      <c r="M366" s="11"/>
      <c r="N366" s="11"/>
      <c r="O366" s="71"/>
      <c r="P366" s="427"/>
      <c r="Q366" s="397"/>
      <c r="R366" s="395"/>
      <c r="S366" s="398"/>
      <c r="T366" s="399"/>
      <c r="U366" s="11"/>
      <c r="V366" s="11"/>
      <c r="W366" s="11"/>
      <c r="X366" s="11"/>
      <c r="Y366" s="11"/>
      <c r="Z366" s="402"/>
      <c r="AA366" s="402"/>
    </row>
    <row r="367" ht="13.5" customHeight="1">
      <c r="A367" s="11"/>
      <c r="B367" s="11"/>
      <c r="C367" s="11"/>
      <c r="D367" s="11"/>
      <c r="E367" s="11"/>
      <c r="F367" s="253"/>
      <c r="G367" s="253"/>
      <c r="H367" s="11"/>
      <c r="I367" s="429"/>
      <c r="J367" s="427"/>
      <c r="K367" s="395"/>
      <c r="L367" s="431"/>
      <c r="M367" s="11"/>
      <c r="N367" s="11"/>
      <c r="O367" s="71"/>
      <c r="P367" s="427"/>
      <c r="Q367" s="397"/>
      <c r="R367" s="395"/>
      <c r="S367" s="398"/>
      <c r="T367" s="399"/>
      <c r="U367" s="11"/>
      <c r="V367" s="11"/>
      <c r="W367" s="11"/>
      <c r="X367" s="11"/>
      <c r="Y367" s="11"/>
      <c r="Z367" s="402"/>
      <c r="AA367" s="402"/>
    </row>
    <row r="368" ht="13.5" customHeight="1">
      <c r="A368" s="11"/>
      <c r="B368" s="11"/>
      <c r="C368" s="11"/>
      <c r="D368" s="11"/>
      <c r="E368" s="11"/>
      <c r="F368" s="253"/>
      <c r="G368" s="253"/>
      <c r="H368" s="11"/>
      <c r="I368" s="429"/>
      <c r="J368" s="427"/>
      <c r="K368" s="395"/>
      <c r="L368" s="431"/>
      <c r="M368" s="11"/>
      <c r="N368" s="11"/>
      <c r="O368" s="71"/>
      <c r="P368" s="427"/>
      <c r="Q368" s="397"/>
      <c r="R368" s="395"/>
      <c r="S368" s="398"/>
      <c r="T368" s="399"/>
      <c r="U368" s="11"/>
      <c r="V368" s="11"/>
      <c r="W368" s="11"/>
      <c r="X368" s="11"/>
      <c r="Y368" s="11"/>
      <c r="Z368" s="402"/>
      <c r="AA368" s="402"/>
    </row>
    <row r="369" ht="13.5" customHeight="1">
      <c r="A369" s="11"/>
      <c r="B369" s="11"/>
      <c r="C369" s="11"/>
      <c r="D369" s="11"/>
      <c r="E369" s="11"/>
      <c r="F369" s="253"/>
      <c r="G369" s="253"/>
      <c r="H369" s="11"/>
      <c r="I369" s="429"/>
      <c r="J369" s="427"/>
      <c r="K369" s="395"/>
      <c r="L369" s="431"/>
      <c r="M369" s="11"/>
      <c r="N369" s="11"/>
      <c r="O369" s="71"/>
      <c r="P369" s="427"/>
      <c r="Q369" s="397"/>
      <c r="R369" s="395"/>
      <c r="S369" s="398"/>
      <c r="T369" s="399"/>
      <c r="U369" s="11"/>
      <c r="V369" s="11"/>
      <c r="W369" s="11"/>
      <c r="X369" s="11"/>
      <c r="Y369" s="11"/>
      <c r="Z369" s="402"/>
      <c r="AA369" s="402"/>
    </row>
    <row r="370" ht="13.5" customHeight="1">
      <c r="A370" s="11"/>
      <c r="B370" s="11"/>
      <c r="C370" s="11"/>
      <c r="D370" s="11"/>
      <c r="E370" s="11"/>
      <c r="F370" s="253"/>
      <c r="G370" s="253"/>
      <c r="H370" s="11"/>
      <c r="I370" s="429"/>
      <c r="J370" s="427"/>
      <c r="K370" s="395"/>
      <c r="L370" s="431"/>
      <c r="M370" s="11"/>
      <c r="N370" s="11"/>
      <c r="O370" s="71"/>
      <c r="P370" s="427"/>
      <c r="Q370" s="397"/>
      <c r="R370" s="395"/>
      <c r="S370" s="398"/>
      <c r="T370" s="399"/>
      <c r="U370" s="11"/>
      <c r="V370" s="11"/>
      <c r="W370" s="11"/>
      <c r="X370" s="11"/>
      <c r="Y370" s="11"/>
      <c r="Z370" s="402"/>
      <c r="AA370" s="402"/>
    </row>
    <row r="371" ht="13.5" customHeight="1">
      <c r="A371" s="11"/>
      <c r="B371" s="11"/>
      <c r="C371" s="11"/>
      <c r="D371" s="11"/>
      <c r="E371" s="11"/>
      <c r="F371" s="253"/>
      <c r="G371" s="253"/>
      <c r="H371" s="11"/>
      <c r="I371" s="429"/>
      <c r="J371" s="427"/>
      <c r="K371" s="395"/>
      <c r="L371" s="431"/>
      <c r="M371" s="11"/>
      <c r="N371" s="11"/>
      <c r="O371" s="71"/>
      <c r="P371" s="427"/>
      <c r="Q371" s="397"/>
      <c r="R371" s="395"/>
      <c r="S371" s="398"/>
      <c r="T371" s="399"/>
      <c r="U371" s="11"/>
      <c r="V371" s="11"/>
      <c r="W371" s="11"/>
      <c r="X371" s="11"/>
      <c r="Y371" s="11"/>
      <c r="Z371" s="402"/>
      <c r="AA371" s="402"/>
    </row>
    <row r="372" ht="13.5" customHeight="1">
      <c r="A372" s="11"/>
      <c r="B372" s="11"/>
      <c r="C372" s="11"/>
      <c r="D372" s="11"/>
      <c r="E372" s="11"/>
      <c r="F372" s="253"/>
      <c r="G372" s="253"/>
      <c r="H372" s="11"/>
      <c r="I372" s="429"/>
      <c r="J372" s="427"/>
      <c r="K372" s="395"/>
      <c r="L372" s="431"/>
      <c r="M372" s="11"/>
      <c r="N372" s="11"/>
      <c r="O372" s="71"/>
      <c r="P372" s="427"/>
      <c r="Q372" s="397"/>
      <c r="R372" s="395"/>
      <c r="S372" s="398"/>
      <c r="T372" s="399"/>
      <c r="U372" s="11"/>
      <c r="V372" s="11"/>
      <c r="W372" s="11"/>
      <c r="X372" s="11"/>
      <c r="Y372" s="11"/>
      <c r="Z372" s="402"/>
      <c r="AA372" s="402"/>
    </row>
    <row r="373" ht="13.5" customHeight="1">
      <c r="A373" s="11"/>
      <c r="B373" s="11"/>
      <c r="C373" s="11"/>
      <c r="D373" s="11"/>
      <c r="E373" s="11"/>
      <c r="F373" s="253"/>
      <c r="G373" s="253"/>
      <c r="H373" s="11"/>
      <c r="I373" s="429"/>
      <c r="J373" s="427"/>
      <c r="K373" s="395"/>
      <c r="L373" s="431"/>
      <c r="M373" s="11"/>
      <c r="N373" s="11"/>
      <c r="O373" s="71"/>
      <c r="P373" s="427"/>
      <c r="Q373" s="397"/>
      <c r="R373" s="395"/>
      <c r="S373" s="398"/>
      <c r="T373" s="399"/>
      <c r="U373" s="11"/>
      <c r="V373" s="11"/>
      <c r="W373" s="11"/>
      <c r="X373" s="11"/>
      <c r="Y373" s="11"/>
      <c r="Z373" s="402"/>
      <c r="AA373" s="402"/>
    </row>
    <row r="374" ht="13.5" customHeight="1">
      <c r="A374" s="11"/>
      <c r="B374" s="11"/>
      <c r="C374" s="11"/>
      <c r="D374" s="11"/>
      <c r="E374" s="11"/>
      <c r="F374" s="253"/>
      <c r="G374" s="253"/>
      <c r="H374" s="11"/>
      <c r="I374" s="429"/>
      <c r="J374" s="427"/>
      <c r="K374" s="395"/>
      <c r="L374" s="431"/>
      <c r="M374" s="11"/>
      <c r="N374" s="11"/>
      <c r="O374" s="71"/>
      <c r="P374" s="427"/>
      <c r="Q374" s="397"/>
      <c r="R374" s="395"/>
      <c r="S374" s="398"/>
      <c r="T374" s="399"/>
      <c r="U374" s="11"/>
      <c r="V374" s="11"/>
      <c r="W374" s="11"/>
      <c r="X374" s="11"/>
      <c r="Y374" s="11"/>
      <c r="Z374" s="402"/>
      <c r="AA374" s="402"/>
    </row>
    <row r="375" ht="13.5" customHeight="1">
      <c r="A375" s="11"/>
      <c r="B375" s="11"/>
      <c r="C375" s="11"/>
      <c r="D375" s="11"/>
      <c r="E375" s="11"/>
      <c r="F375" s="253"/>
      <c r="G375" s="253"/>
      <c r="H375" s="11"/>
      <c r="I375" s="429"/>
      <c r="J375" s="427"/>
      <c r="K375" s="395"/>
      <c r="L375" s="431"/>
      <c r="M375" s="11"/>
      <c r="N375" s="11"/>
      <c r="O375" s="71"/>
      <c r="P375" s="427"/>
      <c r="Q375" s="397"/>
      <c r="R375" s="395"/>
      <c r="S375" s="398"/>
      <c r="T375" s="399"/>
      <c r="U375" s="11"/>
      <c r="V375" s="11"/>
      <c r="W375" s="11"/>
      <c r="X375" s="11"/>
      <c r="Y375" s="11"/>
      <c r="Z375" s="402"/>
      <c r="AA375" s="402"/>
    </row>
    <row r="376" ht="13.5" customHeight="1">
      <c r="A376" s="11"/>
      <c r="B376" s="11"/>
      <c r="C376" s="11"/>
      <c r="D376" s="11"/>
      <c r="E376" s="11"/>
      <c r="F376" s="253"/>
      <c r="G376" s="253"/>
      <c r="H376" s="11"/>
      <c r="I376" s="429"/>
      <c r="J376" s="427"/>
      <c r="K376" s="395"/>
      <c r="L376" s="431"/>
      <c r="M376" s="11"/>
      <c r="N376" s="11"/>
      <c r="O376" s="71"/>
      <c r="P376" s="427"/>
      <c r="Q376" s="397"/>
      <c r="R376" s="395"/>
      <c r="S376" s="398"/>
      <c r="T376" s="399"/>
      <c r="U376" s="11"/>
      <c r="V376" s="11"/>
      <c r="W376" s="11"/>
      <c r="X376" s="11"/>
      <c r="Y376" s="11"/>
      <c r="Z376" s="402"/>
      <c r="AA376" s="402"/>
    </row>
    <row r="377" ht="13.5" customHeight="1">
      <c r="A377" s="11"/>
      <c r="B377" s="11"/>
      <c r="C377" s="11"/>
      <c r="D377" s="11"/>
      <c r="E377" s="11"/>
      <c r="F377" s="253"/>
      <c r="G377" s="253"/>
      <c r="H377" s="11"/>
      <c r="I377" s="429"/>
      <c r="J377" s="427"/>
      <c r="K377" s="395"/>
      <c r="L377" s="431"/>
      <c r="M377" s="11"/>
      <c r="N377" s="11"/>
      <c r="O377" s="71"/>
      <c r="P377" s="427"/>
      <c r="Q377" s="397"/>
      <c r="R377" s="395"/>
      <c r="S377" s="398"/>
      <c r="T377" s="399"/>
      <c r="U377" s="11"/>
      <c r="V377" s="11"/>
      <c r="W377" s="11"/>
      <c r="X377" s="11"/>
      <c r="Y377" s="11"/>
      <c r="Z377" s="402"/>
      <c r="AA377" s="402"/>
    </row>
    <row r="378" ht="13.5" customHeight="1">
      <c r="A378" s="11"/>
      <c r="B378" s="11"/>
      <c r="C378" s="11"/>
      <c r="D378" s="11"/>
      <c r="E378" s="11"/>
      <c r="F378" s="253"/>
      <c r="G378" s="253"/>
      <c r="H378" s="11"/>
      <c r="I378" s="429"/>
      <c r="J378" s="427"/>
      <c r="K378" s="395"/>
      <c r="L378" s="431"/>
      <c r="M378" s="11"/>
      <c r="N378" s="11"/>
      <c r="O378" s="71"/>
      <c r="P378" s="427"/>
      <c r="Q378" s="397"/>
      <c r="R378" s="395"/>
      <c r="S378" s="398"/>
      <c r="T378" s="399"/>
      <c r="U378" s="11"/>
      <c r="V378" s="11"/>
      <c r="W378" s="11"/>
      <c r="X378" s="11"/>
      <c r="Y378" s="11"/>
      <c r="Z378" s="402"/>
      <c r="AA378" s="402"/>
    </row>
    <row r="379" ht="13.5" customHeight="1">
      <c r="A379" s="11"/>
      <c r="B379" s="11"/>
      <c r="C379" s="11"/>
      <c r="D379" s="11"/>
      <c r="E379" s="11"/>
      <c r="F379" s="253"/>
      <c r="G379" s="253"/>
      <c r="H379" s="11"/>
      <c r="I379" s="429"/>
      <c r="J379" s="427"/>
      <c r="K379" s="395"/>
      <c r="L379" s="431"/>
      <c r="M379" s="11"/>
      <c r="N379" s="11"/>
      <c r="O379" s="71"/>
      <c r="P379" s="427"/>
      <c r="Q379" s="397"/>
      <c r="R379" s="395"/>
      <c r="S379" s="398"/>
      <c r="T379" s="399"/>
      <c r="U379" s="11"/>
      <c r="V379" s="11"/>
      <c r="W379" s="11"/>
      <c r="X379" s="11"/>
      <c r="Y379" s="11"/>
      <c r="Z379" s="402"/>
      <c r="AA379" s="402"/>
    </row>
    <row r="380" ht="13.5" customHeight="1">
      <c r="A380" s="11"/>
      <c r="B380" s="11"/>
      <c r="C380" s="11"/>
      <c r="D380" s="11"/>
      <c r="E380" s="11"/>
      <c r="F380" s="253"/>
      <c r="G380" s="253"/>
      <c r="H380" s="11"/>
      <c r="I380" s="429"/>
      <c r="J380" s="427"/>
      <c r="K380" s="395"/>
      <c r="L380" s="431"/>
      <c r="M380" s="11"/>
      <c r="N380" s="11"/>
      <c r="O380" s="71"/>
      <c r="P380" s="427"/>
      <c r="Q380" s="397"/>
      <c r="R380" s="395"/>
      <c r="S380" s="398"/>
      <c r="T380" s="399"/>
      <c r="U380" s="11"/>
      <c r="V380" s="11"/>
      <c r="W380" s="11"/>
      <c r="X380" s="11"/>
      <c r="Y380" s="11"/>
      <c r="Z380" s="402"/>
      <c r="AA380" s="402"/>
    </row>
    <row r="381" ht="13.5" customHeight="1">
      <c r="A381" s="11"/>
      <c r="B381" s="11"/>
      <c r="C381" s="11"/>
      <c r="D381" s="11"/>
      <c r="E381" s="11"/>
      <c r="F381" s="253"/>
      <c r="G381" s="253"/>
      <c r="H381" s="11"/>
      <c r="I381" s="429"/>
      <c r="J381" s="427"/>
      <c r="K381" s="395"/>
      <c r="L381" s="431"/>
      <c r="M381" s="11"/>
      <c r="N381" s="11"/>
      <c r="O381" s="71"/>
      <c r="P381" s="427"/>
      <c r="Q381" s="397"/>
      <c r="R381" s="395"/>
      <c r="S381" s="398"/>
      <c r="T381" s="399"/>
      <c r="U381" s="11"/>
      <c r="V381" s="11"/>
      <c r="W381" s="11"/>
      <c r="X381" s="11"/>
      <c r="Y381" s="11"/>
      <c r="Z381" s="402"/>
      <c r="AA381" s="402"/>
    </row>
    <row r="382" ht="13.5" customHeight="1">
      <c r="A382" s="11"/>
      <c r="B382" s="11"/>
      <c r="C382" s="11"/>
      <c r="D382" s="11"/>
      <c r="E382" s="11"/>
      <c r="F382" s="253"/>
      <c r="G382" s="253"/>
      <c r="H382" s="11"/>
      <c r="I382" s="429"/>
      <c r="J382" s="427"/>
      <c r="K382" s="395"/>
      <c r="L382" s="431"/>
      <c r="M382" s="11"/>
      <c r="N382" s="11"/>
      <c r="O382" s="71"/>
      <c r="P382" s="427"/>
      <c r="Q382" s="397"/>
      <c r="R382" s="395"/>
      <c r="S382" s="398"/>
      <c r="T382" s="399"/>
      <c r="U382" s="11"/>
      <c r="V382" s="11"/>
      <c r="W382" s="11"/>
      <c r="X382" s="11"/>
      <c r="Y382" s="11"/>
      <c r="Z382" s="402"/>
      <c r="AA382" s="402"/>
    </row>
    <row r="383" ht="13.5" customHeight="1">
      <c r="A383" s="11"/>
      <c r="B383" s="11"/>
      <c r="C383" s="11"/>
      <c r="D383" s="11"/>
      <c r="E383" s="11"/>
      <c r="F383" s="253"/>
      <c r="G383" s="253"/>
      <c r="H383" s="11"/>
      <c r="I383" s="429"/>
      <c r="J383" s="427"/>
      <c r="K383" s="395"/>
      <c r="L383" s="431"/>
      <c r="M383" s="11"/>
      <c r="N383" s="11"/>
      <c r="O383" s="71"/>
      <c r="P383" s="427"/>
      <c r="Q383" s="397"/>
      <c r="R383" s="395"/>
      <c r="S383" s="398"/>
      <c r="T383" s="399"/>
      <c r="U383" s="11"/>
      <c r="V383" s="11"/>
      <c r="W383" s="11"/>
      <c r="X383" s="11"/>
      <c r="Y383" s="11"/>
      <c r="Z383" s="402"/>
      <c r="AA383" s="402"/>
    </row>
    <row r="384" ht="13.5" customHeight="1">
      <c r="A384" s="11"/>
      <c r="B384" s="11"/>
      <c r="C384" s="11"/>
      <c r="D384" s="11"/>
      <c r="E384" s="11"/>
      <c r="F384" s="253"/>
      <c r="G384" s="253"/>
      <c r="H384" s="11"/>
      <c r="I384" s="429"/>
      <c r="J384" s="427"/>
      <c r="K384" s="395"/>
      <c r="L384" s="431"/>
      <c r="M384" s="11"/>
      <c r="N384" s="11"/>
      <c r="O384" s="71"/>
      <c r="P384" s="427"/>
      <c r="Q384" s="397"/>
      <c r="R384" s="395"/>
      <c r="S384" s="398"/>
      <c r="T384" s="399"/>
      <c r="U384" s="11"/>
      <c r="V384" s="11"/>
      <c r="W384" s="11"/>
      <c r="X384" s="11"/>
      <c r="Y384" s="11"/>
      <c r="Z384" s="402"/>
      <c r="AA384" s="402"/>
    </row>
    <row r="385" ht="13.5" customHeight="1">
      <c r="A385" s="11"/>
      <c r="B385" s="11"/>
      <c r="C385" s="11"/>
      <c r="D385" s="11"/>
      <c r="E385" s="11"/>
      <c r="F385" s="253"/>
      <c r="G385" s="253"/>
      <c r="H385" s="11"/>
      <c r="I385" s="429"/>
      <c r="J385" s="427"/>
      <c r="K385" s="395"/>
      <c r="L385" s="431"/>
      <c r="M385" s="11"/>
      <c r="N385" s="11"/>
      <c r="O385" s="71"/>
      <c r="P385" s="427"/>
      <c r="Q385" s="397"/>
      <c r="R385" s="395"/>
      <c r="S385" s="398"/>
      <c r="T385" s="399"/>
      <c r="U385" s="11"/>
      <c r="V385" s="11"/>
      <c r="W385" s="11"/>
      <c r="X385" s="11"/>
      <c r="Y385" s="11"/>
      <c r="Z385" s="402"/>
      <c r="AA385" s="402"/>
    </row>
    <row r="386" ht="13.5" customHeight="1">
      <c r="A386" s="11"/>
      <c r="B386" s="11"/>
      <c r="C386" s="11"/>
      <c r="D386" s="11"/>
      <c r="E386" s="11"/>
      <c r="F386" s="253"/>
      <c r="G386" s="253"/>
      <c r="H386" s="11"/>
      <c r="I386" s="429"/>
      <c r="J386" s="427"/>
      <c r="K386" s="395"/>
      <c r="L386" s="431"/>
      <c r="M386" s="11"/>
      <c r="N386" s="11"/>
      <c r="O386" s="71"/>
      <c r="P386" s="427"/>
      <c r="Q386" s="397"/>
      <c r="R386" s="395"/>
      <c r="S386" s="398"/>
      <c r="T386" s="399"/>
      <c r="U386" s="11"/>
      <c r="V386" s="11"/>
      <c r="W386" s="11"/>
      <c r="X386" s="11"/>
      <c r="Y386" s="11"/>
      <c r="Z386" s="402"/>
      <c r="AA386" s="402"/>
    </row>
    <row r="387" ht="13.5" customHeight="1">
      <c r="A387" s="11"/>
      <c r="B387" s="11"/>
      <c r="C387" s="11"/>
      <c r="D387" s="11"/>
      <c r="E387" s="11"/>
      <c r="F387" s="253"/>
      <c r="G387" s="253"/>
      <c r="H387" s="11"/>
      <c r="I387" s="429"/>
      <c r="J387" s="427"/>
      <c r="K387" s="395"/>
      <c r="L387" s="431"/>
      <c r="M387" s="11"/>
      <c r="N387" s="11"/>
      <c r="O387" s="71"/>
      <c r="P387" s="427"/>
      <c r="Q387" s="397"/>
      <c r="R387" s="395"/>
      <c r="S387" s="398"/>
      <c r="T387" s="399"/>
      <c r="U387" s="11"/>
      <c r="V387" s="11"/>
      <c r="W387" s="11"/>
      <c r="X387" s="11"/>
      <c r="Y387" s="11"/>
      <c r="Z387" s="402"/>
      <c r="AA387" s="402"/>
    </row>
    <row r="388" ht="13.5" customHeight="1">
      <c r="A388" s="11"/>
      <c r="B388" s="11"/>
      <c r="C388" s="11"/>
      <c r="D388" s="11"/>
      <c r="E388" s="11"/>
      <c r="F388" s="253"/>
      <c r="G388" s="253"/>
      <c r="H388" s="11"/>
      <c r="I388" s="429"/>
      <c r="J388" s="427"/>
      <c r="K388" s="395"/>
      <c r="L388" s="431"/>
      <c r="M388" s="11"/>
      <c r="N388" s="11"/>
      <c r="O388" s="71"/>
      <c r="P388" s="427"/>
      <c r="Q388" s="397"/>
      <c r="R388" s="395"/>
      <c r="S388" s="398"/>
      <c r="T388" s="399"/>
      <c r="U388" s="11"/>
      <c r="V388" s="11"/>
      <c r="W388" s="11"/>
      <c r="X388" s="11"/>
      <c r="Y388" s="11"/>
      <c r="Z388" s="402"/>
      <c r="AA388" s="402"/>
    </row>
    <row r="389" ht="13.5" customHeight="1">
      <c r="A389" s="11"/>
      <c r="B389" s="11"/>
      <c r="C389" s="11"/>
      <c r="D389" s="11"/>
      <c r="E389" s="11"/>
      <c r="F389" s="253"/>
      <c r="G389" s="253"/>
      <c r="H389" s="11"/>
      <c r="I389" s="429"/>
      <c r="J389" s="427"/>
      <c r="K389" s="395"/>
      <c r="L389" s="431"/>
      <c r="M389" s="11"/>
      <c r="N389" s="11"/>
      <c r="O389" s="71"/>
      <c r="P389" s="427"/>
      <c r="Q389" s="397"/>
      <c r="R389" s="395"/>
      <c r="S389" s="398"/>
      <c r="T389" s="399"/>
      <c r="U389" s="11"/>
      <c r="V389" s="11"/>
      <c r="W389" s="11"/>
      <c r="X389" s="11"/>
      <c r="Y389" s="11"/>
      <c r="Z389" s="402"/>
      <c r="AA389" s="402"/>
    </row>
    <row r="390" ht="13.5" customHeight="1">
      <c r="A390" s="11"/>
      <c r="B390" s="11"/>
      <c r="C390" s="11"/>
      <c r="D390" s="11"/>
      <c r="E390" s="11"/>
      <c r="F390" s="253"/>
      <c r="G390" s="253"/>
      <c r="H390" s="11"/>
      <c r="I390" s="429"/>
      <c r="J390" s="427"/>
      <c r="K390" s="395"/>
      <c r="L390" s="431"/>
      <c r="M390" s="11"/>
      <c r="N390" s="11"/>
      <c r="O390" s="71"/>
      <c r="P390" s="427"/>
      <c r="Q390" s="397"/>
      <c r="R390" s="395"/>
      <c r="S390" s="398"/>
      <c r="T390" s="399"/>
      <c r="U390" s="11"/>
      <c r="V390" s="11"/>
      <c r="W390" s="11"/>
      <c r="X390" s="11"/>
      <c r="Y390" s="11"/>
      <c r="Z390" s="402"/>
      <c r="AA390" s="402"/>
    </row>
    <row r="391" ht="13.5" customHeight="1">
      <c r="A391" s="11"/>
      <c r="B391" s="11"/>
      <c r="C391" s="11"/>
      <c r="D391" s="11"/>
      <c r="E391" s="11"/>
      <c r="F391" s="253"/>
      <c r="G391" s="253"/>
      <c r="H391" s="11"/>
      <c r="I391" s="429"/>
      <c r="J391" s="427"/>
      <c r="K391" s="395"/>
      <c r="L391" s="431"/>
      <c r="M391" s="11"/>
      <c r="N391" s="11"/>
      <c r="O391" s="71"/>
      <c r="P391" s="427"/>
      <c r="Q391" s="397"/>
      <c r="R391" s="395"/>
      <c r="S391" s="398"/>
      <c r="T391" s="399"/>
      <c r="U391" s="11"/>
      <c r="V391" s="11"/>
      <c r="W391" s="11"/>
      <c r="X391" s="11"/>
      <c r="Y391" s="11"/>
      <c r="Z391" s="402"/>
      <c r="AA391" s="402"/>
    </row>
    <row r="392" ht="13.5" customHeight="1">
      <c r="A392" s="11"/>
      <c r="B392" s="11"/>
      <c r="C392" s="11"/>
      <c r="D392" s="11"/>
      <c r="E392" s="11"/>
      <c r="F392" s="253"/>
      <c r="G392" s="253"/>
      <c r="H392" s="11"/>
      <c r="I392" s="429"/>
      <c r="J392" s="427"/>
      <c r="K392" s="395"/>
      <c r="L392" s="431"/>
      <c r="M392" s="11"/>
      <c r="N392" s="11"/>
      <c r="O392" s="71"/>
      <c r="P392" s="427"/>
      <c r="Q392" s="397"/>
      <c r="R392" s="395"/>
      <c r="S392" s="398"/>
      <c r="T392" s="399"/>
      <c r="U392" s="11"/>
      <c r="V392" s="11"/>
      <c r="W392" s="11"/>
      <c r="X392" s="11"/>
      <c r="Y392" s="11"/>
      <c r="Z392" s="402"/>
      <c r="AA392" s="402"/>
    </row>
    <row r="393" ht="13.5" customHeight="1">
      <c r="A393" s="11"/>
      <c r="B393" s="11"/>
      <c r="C393" s="11"/>
      <c r="D393" s="11"/>
      <c r="E393" s="11"/>
      <c r="F393" s="253"/>
      <c r="G393" s="253"/>
      <c r="H393" s="11"/>
      <c r="I393" s="429"/>
      <c r="J393" s="427"/>
      <c r="K393" s="395"/>
      <c r="L393" s="431"/>
      <c r="M393" s="11"/>
      <c r="N393" s="11"/>
      <c r="O393" s="71"/>
      <c r="P393" s="427"/>
      <c r="Q393" s="397"/>
      <c r="R393" s="395"/>
      <c r="S393" s="398"/>
      <c r="T393" s="399"/>
      <c r="U393" s="11"/>
      <c r="V393" s="11"/>
      <c r="W393" s="11"/>
      <c r="X393" s="11"/>
      <c r="Y393" s="11"/>
      <c r="Z393" s="402"/>
      <c r="AA393" s="402"/>
    </row>
    <row r="394" ht="13.5" customHeight="1">
      <c r="A394" s="11"/>
      <c r="B394" s="11"/>
      <c r="C394" s="11"/>
      <c r="D394" s="11"/>
      <c r="E394" s="11"/>
      <c r="F394" s="253"/>
      <c r="G394" s="253"/>
      <c r="H394" s="11"/>
      <c r="I394" s="429"/>
      <c r="J394" s="427"/>
      <c r="K394" s="395"/>
      <c r="L394" s="431"/>
      <c r="M394" s="11"/>
      <c r="N394" s="11"/>
      <c r="O394" s="71"/>
      <c r="P394" s="427"/>
      <c r="Q394" s="397"/>
      <c r="R394" s="395"/>
      <c r="S394" s="398"/>
      <c r="T394" s="399"/>
      <c r="U394" s="11"/>
      <c r="V394" s="11"/>
      <c r="W394" s="11"/>
      <c r="X394" s="11"/>
      <c r="Y394" s="11"/>
      <c r="Z394" s="402"/>
      <c r="AA394" s="402"/>
    </row>
    <row r="395" ht="13.5" customHeight="1">
      <c r="A395" s="11"/>
      <c r="B395" s="11"/>
      <c r="C395" s="11"/>
      <c r="D395" s="11"/>
      <c r="E395" s="11"/>
      <c r="F395" s="253"/>
      <c r="G395" s="253"/>
      <c r="H395" s="11"/>
      <c r="I395" s="429"/>
      <c r="J395" s="427"/>
      <c r="K395" s="395"/>
      <c r="L395" s="431"/>
      <c r="M395" s="11"/>
      <c r="N395" s="11"/>
      <c r="O395" s="71"/>
      <c r="P395" s="427"/>
      <c r="Q395" s="397"/>
      <c r="R395" s="395"/>
      <c r="S395" s="398"/>
      <c r="T395" s="399"/>
      <c r="U395" s="11"/>
      <c r="V395" s="11"/>
      <c r="W395" s="11"/>
      <c r="X395" s="11"/>
      <c r="Y395" s="11"/>
      <c r="Z395" s="402"/>
      <c r="AA395" s="402"/>
    </row>
    <row r="396" ht="13.5" customHeight="1">
      <c r="A396" s="11"/>
      <c r="B396" s="11"/>
      <c r="C396" s="11"/>
      <c r="D396" s="11"/>
      <c r="E396" s="11"/>
      <c r="F396" s="253"/>
      <c r="G396" s="253"/>
      <c r="H396" s="11"/>
      <c r="I396" s="429"/>
      <c r="J396" s="427"/>
      <c r="K396" s="395"/>
      <c r="L396" s="431"/>
      <c r="M396" s="11"/>
      <c r="N396" s="11"/>
      <c r="O396" s="71"/>
      <c r="P396" s="427"/>
      <c r="Q396" s="397"/>
      <c r="R396" s="395"/>
      <c r="S396" s="398"/>
      <c r="T396" s="399"/>
      <c r="U396" s="11"/>
      <c r="V396" s="11"/>
      <c r="W396" s="11"/>
      <c r="X396" s="11"/>
      <c r="Y396" s="11"/>
      <c r="Z396" s="402"/>
      <c r="AA396" s="402"/>
    </row>
    <row r="397" ht="13.5" customHeight="1">
      <c r="A397" s="11"/>
      <c r="B397" s="11"/>
      <c r="C397" s="11"/>
      <c r="D397" s="11"/>
      <c r="E397" s="11"/>
      <c r="F397" s="253"/>
      <c r="G397" s="253"/>
      <c r="H397" s="11"/>
      <c r="I397" s="429"/>
      <c r="J397" s="427"/>
      <c r="K397" s="395"/>
      <c r="L397" s="431"/>
      <c r="M397" s="11"/>
      <c r="N397" s="11"/>
      <c r="O397" s="71"/>
      <c r="P397" s="427"/>
      <c r="Q397" s="397"/>
      <c r="R397" s="395"/>
      <c r="S397" s="398"/>
      <c r="T397" s="399"/>
      <c r="U397" s="11"/>
      <c r="V397" s="11"/>
      <c r="W397" s="11"/>
      <c r="X397" s="11"/>
      <c r="Y397" s="11"/>
      <c r="Z397" s="402"/>
      <c r="AA397" s="402"/>
    </row>
    <row r="398" ht="13.5" customHeight="1">
      <c r="A398" s="11"/>
      <c r="B398" s="11"/>
      <c r="C398" s="11"/>
      <c r="D398" s="11"/>
      <c r="E398" s="11"/>
      <c r="F398" s="253"/>
      <c r="G398" s="253"/>
      <c r="H398" s="11"/>
      <c r="I398" s="429"/>
      <c r="J398" s="427"/>
      <c r="K398" s="395"/>
      <c r="L398" s="431"/>
      <c r="M398" s="11"/>
      <c r="N398" s="11"/>
      <c r="O398" s="71"/>
      <c r="P398" s="427"/>
      <c r="Q398" s="397"/>
      <c r="R398" s="395"/>
      <c r="S398" s="398"/>
      <c r="T398" s="399"/>
      <c r="U398" s="11"/>
      <c r="V398" s="11"/>
      <c r="W398" s="11"/>
      <c r="X398" s="11"/>
      <c r="Y398" s="11"/>
      <c r="Z398" s="402"/>
      <c r="AA398" s="402"/>
    </row>
    <row r="399" ht="13.5" customHeight="1">
      <c r="A399" s="11"/>
      <c r="B399" s="11"/>
      <c r="C399" s="11"/>
      <c r="D399" s="11"/>
      <c r="E399" s="11"/>
      <c r="F399" s="253"/>
      <c r="G399" s="253"/>
      <c r="H399" s="11"/>
      <c r="I399" s="429"/>
      <c r="J399" s="427"/>
      <c r="K399" s="395"/>
      <c r="L399" s="431"/>
      <c r="M399" s="11"/>
      <c r="N399" s="11"/>
      <c r="O399" s="71"/>
      <c r="P399" s="427"/>
      <c r="Q399" s="397"/>
      <c r="R399" s="395"/>
      <c r="S399" s="398"/>
      <c r="T399" s="399"/>
      <c r="U399" s="11"/>
      <c r="V399" s="11"/>
      <c r="W399" s="11"/>
      <c r="X399" s="11"/>
      <c r="Y399" s="11"/>
      <c r="Z399" s="402"/>
      <c r="AA399" s="402"/>
    </row>
    <row r="400" ht="13.5" customHeight="1">
      <c r="A400" s="11"/>
      <c r="B400" s="11"/>
      <c r="C400" s="11"/>
      <c r="D400" s="11"/>
      <c r="E400" s="11"/>
      <c r="F400" s="253"/>
      <c r="G400" s="253"/>
      <c r="H400" s="11"/>
      <c r="I400" s="429"/>
      <c r="J400" s="427"/>
      <c r="K400" s="395"/>
      <c r="L400" s="431"/>
      <c r="M400" s="11"/>
      <c r="N400" s="11"/>
      <c r="O400" s="71"/>
      <c r="P400" s="427"/>
      <c r="Q400" s="397"/>
      <c r="R400" s="395"/>
      <c r="S400" s="398"/>
      <c r="T400" s="399"/>
      <c r="U400" s="11"/>
      <c r="V400" s="11"/>
      <c r="W400" s="11"/>
      <c r="X400" s="11"/>
      <c r="Y400" s="11"/>
      <c r="Z400" s="402"/>
      <c r="AA400" s="402"/>
    </row>
    <row r="401" ht="13.5" customHeight="1">
      <c r="A401" s="11"/>
      <c r="B401" s="11"/>
      <c r="C401" s="11"/>
      <c r="D401" s="11"/>
      <c r="E401" s="11"/>
      <c r="F401" s="253"/>
      <c r="G401" s="253"/>
      <c r="H401" s="11"/>
      <c r="I401" s="429"/>
      <c r="J401" s="427"/>
      <c r="K401" s="395"/>
      <c r="L401" s="431"/>
      <c r="M401" s="11"/>
      <c r="N401" s="11"/>
      <c r="O401" s="71"/>
      <c r="P401" s="427"/>
      <c r="Q401" s="397"/>
      <c r="R401" s="395"/>
      <c r="S401" s="398"/>
      <c r="T401" s="399"/>
      <c r="U401" s="11"/>
      <c r="V401" s="11"/>
      <c r="W401" s="11"/>
      <c r="X401" s="11"/>
      <c r="Y401" s="11"/>
      <c r="Z401" s="402"/>
      <c r="AA401" s="402"/>
    </row>
    <row r="402" ht="13.5" customHeight="1">
      <c r="A402" s="11"/>
      <c r="B402" s="11"/>
      <c r="C402" s="11"/>
      <c r="D402" s="11"/>
      <c r="E402" s="11"/>
      <c r="F402" s="253"/>
      <c r="G402" s="253"/>
      <c r="H402" s="11"/>
      <c r="I402" s="429"/>
      <c r="J402" s="427"/>
      <c r="K402" s="395"/>
      <c r="L402" s="431"/>
      <c r="M402" s="11"/>
      <c r="N402" s="11"/>
      <c r="O402" s="71"/>
      <c r="P402" s="427"/>
      <c r="Q402" s="397"/>
      <c r="R402" s="395"/>
      <c r="S402" s="398"/>
      <c r="T402" s="399"/>
      <c r="U402" s="11"/>
      <c r="V402" s="11"/>
      <c r="W402" s="11"/>
      <c r="X402" s="11"/>
      <c r="Y402" s="11"/>
      <c r="Z402" s="402"/>
      <c r="AA402" s="402"/>
    </row>
    <row r="403" ht="13.5" customHeight="1">
      <c r="A403" s="11"/>
      <c r="B403" s="11"/>
      <c r="C403" s="11"/>
      <c r="D403" s="11"/>
      <c r="E403" s="11"/>
      <c r="F403" s="253"/>
      <c r="G403" s="253"/>
      <c r="H403" s="11"/>
      <c r="I403" s="429"/>
      <c r="J403" s="427"/>
      <c r="K403" s="395"/>
      <c r="L403" s="431"/>
      <c r="M403" s="11"/>
      <c r="N403" s="11"/>
      <c r="O403" s="71"/>
      <c r="P403" s="427"/>
      <c r="Q403" s="397"/>
      <c r="R403" s="395"/>
      <c r="S403" s="398"/>
      <c r="T403" s="399"/>
      <c r="U403" s="11"/>
      <c r="V403" s="11"/>
      <c r="W403" s="11"/>
      <c r="X403" s="11"/>
      <c r="Y403" s="11"/>
      <c r="Z403" s="402"/>
      <c r="AA403" s="402"/>
    </row>
    <row r="404" ht="13.5" customHeight="1">
      <c r="A404" s="11"/>
      <c r="B404" s="11"/>
      <c r="C404" s="11"/>
      <c r="D404" s="11"/>
      <c r="E404" s="11"/>
      <c r="F404" s="253"/>
      <c r="G404" s="253"/>
      <c r="H404" s="11"/>
      <c r="I404" s="429"/>
      <c r="J404" s="427"/>
      <c r="K404" s="395"/>
      <c r="L404" s="431"/>
      <c r="M404" s="11"/>
      <c r="N404" s="11"/>
      <c r="O404" s="71"/>
      <c r="P404" s="427"/>
      <c r="Q404" s="397"/>
      <c r="R404" s="395"/>
      <c r="S404" s="398"/>
      <c r="T404" s="399"/>
      <c r="U404" s="11"/>
      <c r="V404" s="11"/>
      <c r="W404" s="11"/>
      <c r="X404" s="11"/>
      <c r="Y404" s="11"/>
      <c r="Z404" s="402"/>
      <c r="AA404" s="402"/>
    </row>
    <row r="405" ht="13.5" customHeight="1">
      <c r="A405" s="11"/>
      <c r="B405" s="11"/>
      <c r="C405" s="11"/>
      <c r="D405" s="11"/>
      <c r="E405" s="11"/>
      <c r="F405" s="253"/>
      <c r="G405" s="253"/>
      <c r="H405" s="11"/>
      <c r="I405" s="429"/>
      <c r="J405" s="427"/>
      <c r="K405" s="395"/>
      <c r="L405" s="431"/>
      <c r="M405" s="11"/>
      <c r="N405" s="11"/>
      <c r="O405" s="71"/>
      <c r="P405" s="427"/>
      <c r="Q405" s="397"/>
      <c r="R405" s="395"/>
      <c r="S405" s="398"/>
      <c r="T405" s="399"/>
      <c r="U405" s="11"/>
      <c r="V405" s="11"/>
      <c r="W405" s="11"/>
      <c r="X405" s="11"/>
      <c r="Y405" s="11"/>
      <c r="Z405" s="402"/>
      <c r="AA405" s="402"/>
    </row>
    <row r="406" ht="13.5" customHeight="1">
      <c r="A406" s="11"/>
      <c r="B406" s="11"/>
      <c r="C406" s="11"/>
      <c r="D406" s="11"/>
      <c r="E406" s="11"/>
      <c r="F406" s="253"/>
      <c r="G406" s="253"/>
      <c r="H406" s="11"/>
      <c r="I406" s="429"/>
      <c r="J406" s="427"/>
      <c r="K406" s="395"/>
      <c r="L406" s="431"/>
      <c r="M406" s="11"/>
      <c r="N406" s="11"/>
      <c r="O406" s="71"/>
      <c r="P406" s="427"/>
      <c r="Q406" s="397"/>
      <c r="R406" s="395"/>
      <c r="S406" s="398"/>
      <c r="T406" s="399"/>
      <c r="U406" s="11"/>
      <c r="V406" s="11"/>
      <c r="W406" s="11"/>
      <c r="X406" s="11"/>
      <c r="Y406" s="11"/>
      <c r="Z406" s="402"/>
      <c r="AA406" s="402"/>
    </row>
    <row r="407" ht="13.5" customHeight="1">
      <c r="A407" s="11"/>
      <c r="B407" s="11"/>
      <c r="C407" s="11"/>
      <c r="D407" s="11"/>
      <c r="E407" s="11"/>
      <c r="F407" s="253"/>
      <c r="G407" s="253"/>
      <c r="H407" s="11"/>
      <c r="I407" s="429"/>
      <c r="J407" s="427"/>
      <c r="K407" s="395"/>
      <c r="L407" s="431"/>
      <c r="M407" s="11"/>
      <c r="N407" s="11"/>
      <c r="O407" s="71"/>
      <c r="P407" s="427"/>
      <c r="Q407" s="397"/>
      <c r="R407" s="395"/>
      <c r="S407" s="398"/>
      <c r="T407" s="399"/>
      <c r="U407" s="11"/>
      <c r="V407" s="11"/>
      <c r="W407" s="11"/>
      <c r="X407" s="11"/>
      <c r="Y407" s="11"/>
      <c r="Z407" s="402"/>
      <c r="AA407" s="402"/>
    </row>
  </sheetData>
  <mergeCells count="55">
    <mergeCell ref="P214:Q214"/>
    <mergeCell ref="P215:Q215"/>
    <mergeCell ref="P216:Q216"/>
    <mergeCell ref="P217:Q217"/>
    <mergeCell ref="P218:Q218"/>
    <mergeCell ref="P219:Q219"/>
    <mergeCell ref="M208:R208"/>
    <mergeCell ref="P209:Q209"/>
    <mergeCell ref="P210:Q210"/>
    <mergeCell ref="P211:Q211"/>
    <mergeCell ref="M223:R223"/>
    <mergeCell ref="P212:Q212"/>
    <mergeCell ref="P213:Q213"/>
    <mergeCell ref="P231:Q231"/>
    <mergeCell ref="P232:Q232"/>
    <mergeCell ref="P224:Q224"/>
    <mergeCell ref="P225:Q225"/>
    <mergeCell ref="P226:Q226"/>
    <mergeCell ref="P227:Q227"/>
    <mergeCell ref="P228:Q228"/>
    <mergeCell ref="P229:Q229"/>
    <mergeCell ref="P230:Q230"/>
    <mergeCell ref="C238:L238"/>
    <mergeCell ref="M238:R238"/>
    <mergeCell ref="P239:Q239"/>
    <mergeCell ref="P240:Q240"/>
    <mergeCell ref="P241:Q241"/>
    <mergeCell ref="P242:Q242"/>
    <mergeCell ref="F93:I93"/>
    <mergeCell ref="F94:I94"/>
    <mergeCell ref="F95:I95"/>
    <mergeCell ref="F96:I96"/>
    <mergeCell ref="F97:I97"/>
    <mergeCell ref="F98:I98"/>
    <mergeCell ref="C208:L208"/>
    <mergeCell ref="C220:K220"/>
    <mergeCell ref="C223:L223"/>
    <mergeCell ref="C219:K219"/>
    <mergeCell ref="C249:K249"/>
    <mergeCell ref="A101:A108"/>
    <mergeCell ref="A109:A197"/>
    <mergeCell ref="A198:A199"/>
    <mergeCell ref="A2:A100"/>
    <mergeCell ref="F91:I91"/>
    <mergeCell ref="F92:I92"/>
    <mergeCell ref="C234:K234"/>
    <mergeCell ref="P233:Q233"/>
    <mergeCell ref="P234:Q234"/>
    <mergeCell ref="P244:Q244"/>
    <mergeCell ref="P245:Q245"/>
    <mergeCell ref="P246:Q246"/>
    <mergeCell ref="P247:Q247"/>
    <mergeCell ref="P248:Q248"/>
    <mergeCell ref="P249:Q249"/>
    <mergeCell ref="P243:Q243"/>
  </mergeCells>
  <conditionalFormatting sqref="P210:Q219 P225:Q234 P240:Q249">
    <cfRule type="cellIs" dxfId="0" priority="1" operator="greaterThanOrEqual">
      <formula>1</formula>
    </cfRule>
  </conditionalFormatting>
  <printOptions/>
  <pageMargins bottom="0.75" footer="0.0" header="0.0" left="0.7" right="0.7" top="0.75"/>
  <pageSetup orientation="landscape"/>
  <drawing r:id="rId2"/>
  <legacy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2024-05-02T09:33:15Z</dcterms:created>
  <dc:creator>Aigars</dc:creator>
</cp:coreProperties>
</file>