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enis\Documents\Studies\RTU\Bakalaurs\praktiska-dala\predictions\"/>
    </mc:Choice>
  </mc:AlternateContent>
  <xr:revisionPtr revIDLastSave="0" documentId="13_ncr:1_{E97FBDEB-FE0E-4C55-BA46-016E1CCA48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26" i="1" l="1"/>
  <c r="H23" i="1"/>
  <c r="L2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K17" i="1"/>
  <c r="K18" i="1"/>
  <c r="K19" i="1"/>
  <c r="K20" i="1"/>
  <c r="K21" i="1"/>
  <c r="K22" i="1"/>
  <c r="K10" i="1"/>
  <c r="K11" i="1"/>
  <c r="K12" i="1"/>
  <c r="K13" i="1"/>
  <c r="K14" i="1"/>
  <c r="K15" i="1"/>
  <c r="K16" i="1"/>
  <c r="K9" i="1"/>
  <c r="K3" i="1"/>
  <c r="K4" i="1"/>
  <c r="K5" i="1"/>
  <c r="K6" i="1"/>
  <c r="K7" i="1"/>
  <c r="K8" i="1"/>
  <c r="K2" i="1"/>
  <c r="J2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<sst xmlns="http://schemas.openxmlformats.org/spreadsheetml/2006/main" count="81" uniqueCount="22">
  <si>
    <t>model</t>
  </si>
  <si>
    <t>material_group</t>
  </si>
  <si>
    <t>test_month</t>
  </si>
  <si>
    <t>actual</t>
  </si>
  <si>
    <t>prediction</t>
  </si>
  <si>
    <t>abs_error</t>
  </si>
  <si>
    <t>sq_error</t>
  </si>
  <si>
    <t>ape</t>
  </si>
  <si>
    <t>LSTM</t>
  </si>
  <si>
    <t>BUVNIEKS: NEĒVELĒTI</t>
  </si>
  <si>
    <t>2026-01</t>
  </si>
  <si>
    <t>BUVNIEKS: ĒVELĒTI</t>
  </si>
  <si>
    <t>KARTEX: APDARES DĒĻI</t>
  </si>
  <si>
    <t>KARTEX: KARKASS</t>
  </si>
  <si>
    <t>KARTEX: KOKMATERIĀLI</t>
  </si>
  <si>
    <t>KARTEX: TERASES DĒĻI</t>
  </si>
  <si>
    <t>KARTEX: ŽOGA DĒĻI</t>
  </si>
  <si>
    <t>2026-02</t>
  </si>
  <si>
    <t>2026-03</t>
  </si>
  <si>
    <t>vidēja absolūta kļūda pret materiālu pārdošanas apjomu prognozētājos menešos</t>
  </si>
  <si>
    <t>vidēja absolūta kļūda pret materiālu pārdošanas apjomu visos mēnešos</t>
  </si>
  <si>
    <t>wape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</si>
</sst>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ourier New"/>
      <family val="3"/>
    </font>
    <font>
      <sz val="11"/>
      <color theme="6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0" fontId="1" fillId="0" borderId="0" xfId="0" applyNumberFormat="1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zoomScale="115" zoomScaleNormal="115" workbookViewId="0">
      <selection activeCell="L2" sqref="L2"/>
    </sheetView>
  </sheetViews>
  <sheetFormatPr defaultRowHeight="15" x14ac:dyDescent="0.25"/>
  <cols>
    <col min="2" max="2" width="22.28515625" bestFit="1" customWidth="1"/>
    <col min="11" max="11" width="23" customWidth="1"/>
    <col min="16" max="16" width="35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P1" s="1" t="s">
        <v>9</v>
      </c>
      <c r="Q1" s="1">
        <v>8</v>
      </c>
      <c r="R1" s="1">
        <v>142.16</v>
      </c>
    </row>
    <row r="2" spans="1:18" x14ac:dyDescent="0.25">
      <c r="A2" t="s">
        <v>8</v>
      </c>
      <c r="B2" t="s">
        <v>9</v>
      </c>
      <c r="C2" t="s">
        <v>10</v>
      </c>
      <c r="D2">
        <v>2.411</v>
      </c>
      <c r="E2">
        <v>8.032</v>
      </c>
      <c r="F2">
        <v>5.6210000000000004</v>
      </c>
      <c r="G2">
        <v>31.597999999999999</v>
      </c>
      <c r="H2">
        <v>2.331</v>
      </c>
      <c r="I2" s="1">
        <v>142.16</v>
      </c>
      <c r="J2">
        <f>ABS(E2-D2)/I2</f>
        <v>3.9539954980303889E-2</v>
      </c>
      <c r="K2">
        <f>SUM(D2,D9,D16)</f>
        <v>18.91</v>
      </c>
      <c r="L2">
        <f>ABS(E2-D2)/K2</f>
        <v>0.29725013220518248</v>
      </c>
      <c r="P2" s="1" t="s">
        <v>12</v>
      </c>
      <c r="Q2" s="1">
        <v>8</v>
      </c>
      <c r="R2" s="1">
        <v>22.242999999999999</v>
      </c>
    </row>
    <row r="3" spans="1:18" x14ac:dyDescent="0.25">
      <c r="A3" t="s">
        <v>8</v>
      </c>
      <c r="B3" t="s">
        <v>11</v>
      </c>
      <c r="C3" t="s">
        <v>10</v>
      </c>
      <c r="D3">
        <v>0.878</v>
      </c>
      <c r="E3">
        <v>3.339</v>
      </c>
      <c r="F3">
        <v>2.4620000000000002</v>
      </c>
      <c r="G3">
        <v>6.0609999999999999</v>
      </c>
      <c r="H3">
        <v>2.8050000000000002</v>
      </c>
      <c r="I3" s="1">
        <v>11.32</v>
      </c>
      <c r="J3">
        <f t="shared" ref="J3:J22" si="0">ABS(E3-D3)/I3</f>
        <v>0.21740282685512366</v>
      </c>
      <c r="K3">
        <f t="shared" ref="K3:K8" si="1">SUM(D3,D10,D17)</f>
        <v>0.97</v>
      </c>
      <c r="L3">
        <f t="shared" ref="L3:L22" si="2">ABS(E3-D3)/K3</f>
        <v>2.5371134020618555</v>
      </c>
      <c r="P3" s="1" t="s">
        <v>15</v>
      </c>
      <c r="Q3" s="1">
        <v>7</v>
      </c>
      <c r="R3" s="1">
        <v>11.326000000000001</v>
      </c>
    </row>
    <row r="4" spans="1:18" x14ac:dyDescent="0.25">
      <c r="A4" t="s">
        <v>8</v>
      </c>
      <c r="B4" t="s">
        <v>12</v>
      </c>
      <c r="C4" t="s">
        <v>10</v>
      </c>
      <c r="D4">
        <v>1.9530000000000001</v>
      </c>
      <c r="E4">
        <v>8.0440000000000005</v>
      </c>
      <c r="F4">
        <v>6.0919999999999996</v>
      </c>
      <c r="G4">
        <v>37.107999999999997</v>
      </c>
      <c r="H4">
        <v>3.12</v>
      </c>
      <c r="I4" s="1">
        <v>22.242999999999999</v>
      </c>
      <c r="J4">
        <f t="shared" si="0"/>
        <v>0.27383896057186535</v>
      </c>
      <c r="K4">
        <f t="shared" si="1"/>
        <v>3.3180000000000001</v>
      </c>
      <c r="L4">
        <f t="shared" si="2"/>
        <v>1.8357444243520193</v>
      </c>
      <c r="P4" s="1" t="s">
        <v>11</v>
      </c>
      <c r="Q4" s="1">
        <v>7</v>
      </c>
      <c r="R4" s="1">
        <v>11.32</v>
      </c>
    </row>
    <row r="5" spans="1:18" x14ac:dyDescent="0.25">
      <c r="A5" t="s">
        <v>8</v>
      </c>
      <c r="B5" t="s">
        <v>13</v>
      </c>
      <c r="C5" t="s">
        <v>10</v>
      </c>
      <c r="D5">
        <v>0</v>
      </c>
      <c r="E5">
        <v>7.9000000000000001E-2</v>
      </c>
      <c r="F5">
        <v>7.9000000000000001E-2</v>
      </c>
      <c r="G5">
        <v>6.0000000000000001E-3</v>
      </c>
      <c r="I5" s="1">
        <v>2.2370000000000001</v>
      </c>
      <c r="J5">
        <f t="shared" si="0"/>
        <v>3.5315154224407688E-2</v>
      </c>
      <c r="K5">
        <f t="shared" si="1"/>
        <v>1.4609999999999999</v>
      </c>
      <c r="L5">
        <f t="shared" si="2"/>
        <v>5.4072553045859006E-2</v>
      </c>
      <c r="P5" s="1" t="s">
        <v>14</v>
      </c>
      <c r="Q5" s="1">
        <v>7</v>
      </c>
      <c r="R5" s="1">
        <v>9.9309999999999992</v>
      </c>
    </row>
    <row r="6" spans="1:18" x14ac:dyDescent="0.25">
      <c r="A6" t="s">
        <v>8</v>
      </c>
      <c r="B6" t="s">
        <v>14</v>
      </c>
      <c r="C6" t="s">
        <v>10</v>
      </c>
      <c r="D6">
        <v>0</v>
      </c>
      <c r="E6">
        <v>1.873</v>
      </c>
      <c r="F6">
        <v>1.873</v>
      </c>
      <c r="G6">
        <v>3.5059999999999998</v>
      </c>
      <c r="I6" s="1">
        <v>9.9309999999999992</v>
      </c>
      <c r="J6">
        <f t="shared" si="0"/>
        <v>0.18860134931024067</v>
      </c>
      <c r="K6">
        <f t="shared" si="1"/>
        <v>0.112</v>
      </c>
      <c r="L6">
        <f t="shared" si="2"/>
        <v>16.723214285714285</v>
      </c>
      <c r="P6" s="1" t="s">
        <v>13</v>
      </c>
      <c r="Q6" s="1">
        <v>7</v>
      </c>
      <c r="R6" s="1">
        <v>2.2370000000000001</v>
      </c>
    </row>
    <row r="7" spans="1:18" x14ac:dyDescent="0.25">
      <c r="A7" t="s">
        <v>8</v>
      </c>
      <c r="B7" t="s">
        <v>15</v>
      </c>
      <c r="C7" t="s">
        <v>10</v>
      </c>
      <c r="D7">
        <v>0</v>
      </c>
      <c r="E7">
        <v>6.2489999999999997</v>
      </c>
      <c r="F7">
        <v>6.2489999999999997</v>
      </c>
      <c r="G7">
        <v>39.049999999999997</v>
      </c>
      <c r="I7" s="1">
        <v>11.326000000000001</v>
      </c>
      <c r="J7">
        <f t="shared" si="0"/>
        <v>0.55173936076284646</v>
      </c>
      <c r="K7">
        <f t="shared" si="1"/>
        <v>1.579</v>
      </c>
      <c r="L7">
        <f t="shared" si="2"/>
        <v>3.9575680810639646</v>
      </c>
      <c r="P7" s="1" t="s">
        <v>16</v>
      </c>
      <c r="Q7" s="1">
        <v>6</v>
      </c>
      <c r="R7" s="1">
        <v>1.9339999999999999</v>
      </c>
    </row>
    <row r="8" spans="1:18" x14ac:dyDescent="0.25">
      <c r="A8" t="s">
        <v>8</v>
      </c>
      <c r="B8" t="s">
        <v>16</v>
      </c>
      <c r="C8" t="s">
        <v>10</v>
      </c>
      <c r="D8">
        <v>0</v>
      </c>
      <c r="E8">
        <v>5.0999999999999997E-2</v>
      </c>
      <c r="F8">
        <v>5.0999999999999997E-2</v>
      </c>
      <c r="G8">
        <v>3.0000000000000001E-3</v>
      </c>
      <c r="I8" s="1">
        <v>1.9339999999999999</v>
      </c>
      <c r="J8">
        <f t="shared" si="0"/>
        <v>2.6370217166494313E-2</v>
      </c>
      <c r="K8">
        <f t="shared" si="1"/>
        <v>1.3240000000000001</v>
      </c>
      <c r="L8">
        <f t="shared" si="2"/>
        <v>3.8519637462235648E-2</v>
      </c>
    </row>
    <row r="9" spans="1:18" x14ac:dyDescent="0.25">
      <c r="A9" t="s">
        <v>8</v>
      </c>
      <c r="B9" t="s">
        <v>9</v>
      </c>
      <c r="C9" t="s">
        <v>17</v>
      </c>
      <c r="D9">
        <v>4.1660000000000004</v>
      </c>
      <c r="E9">
        <v>1.18</v>
      </c>
      <c r="F9">
        <v>2.9849999999999999</v>
      </c>
      <c r="G9">
        <v>8.9120000000000008</v>
      </c>
      <c r="H9">
        <v>0.71699999999999997</v>
      </c>
      <c r="I9" s="1">
        <v>142.16</v>
      </c>
      <c r="J9">
        <f t="shared" si="0"/>
        <v>2.1004501969611709E-2</v>
      </c>
      <c r="K9">
        <f>K2</f>
        <v>18.91</v>
      </c>
      <c r="L9">
        <f t="shared" si="2"/>
        <v>0.1579058699101005</v>
      </c>
    </row>
    <row r="10" spans="1:18" x14ac:dyDescent="0.25">
      <c r="A10" t="s">
        <v>8</v>
      </c>
      <c r="B10" t="s">
        <v>11</v>
      </c>
      <c r="C10" t="s">
        <v>17</v>
      </c>
      <c r="D10">
        <v>0</v>
      </c>
      <c r="E10">
        <v>7.0979999999999999</v>
      </c>
      <c r="F10">
        <v>7.0979999999999999</v>
      </c>
      <c r="G10">
        <v>50.384</v>
      </c>
      <c r="I10" s="1">
        <v>11.32</v>
      </c>
      <c r="J10">
        <f t="shared" si="0"/>
        <v>0.62703180212014131</v>
      </c>
      <c r="K10">
        <f t="shared" ref="K10:K22" si="3">K3</f>
        <v>0.97</v>
      </c>
      <c r="L10">
        <f t="shared" si="2"/>
        <v>7.317525773195876</v>
      </c>
    </row>
    <row r="11" spans="1:18" x14ac:dyDescent="0.25">
      <c r="A11" t="s">
        <v>8</v>
      </c>
      <c r="B11" t="s">
        <v>12</v>
      </c>
      <c r="C11" t="s">
        <v>17</v>
      </c>
      <c r="D11">
        <v>0</v>
      </c>
      <c r="E11">
        <v>8.1349999999999998</v>
      </c>
      <c r="F11">
        <v>8.1349999999999998</v>
      </c>
      <c r="G11">
        <v>66.174000000000007</v>
      </c>
      <c r="I11" s="1">
        <v>22.242999999999999</v>
      </c>
      <c r="J11">
        <f t="shared" si="0"/>
        <v>0.36573303960796655</v>
      </c>
      <c r="K11">
        <f t="shared" si="3"/>
        <v>3.3180000000000001</v>
      </c>
      <c r="L11">
        <f t="shared" si="2"/>
        <v>2.451778179626281</v>
      </c>
    </row>
    <row r="12" spans="1:18" x14ac:dyDescent="0.25">
      <c r="A12" t="s">
        <v>8</v>
      </c>
      <c r="B12" t="s">
        <v>13</v>
      </c>
      <c r="C12" t="s">
        <v>17</v>
      </c>
      <c r="D12">
        <v>0.48599999999999999</v>
      </c>
      <c r="E12">
        <v>3.4000000000000002E-2</v>
      </c>
      <c r="F12">
        <v>0.45200000000000001</v>
      </c>
      <c r="G12">
        <v>0.20499999999999999</v>
      </c>
      <c r="H12">
        <v>0.93100000000000005</v>
      </c>
      <c r="I12" s="1">
        <v>2.2370000000000001</v>
      </c>
      <c r="J12">
        <f t="shared" si="0"/>
        <v>0.20205632543585156</v>
      </c>
      <c r="K12">
        <f t="shared" si="3"/>
        <v>1.4609999999999999</v>
      </c>
      <c r="L12">
        <f t="shared" si="2"/>
        <v>0.30937713894592744</v>
      </c>
    </row>
    <row r="13" spans="1:18" x14ac:dyDescent="0.25">
      <c r="A13" t="s">
        <v>8</v>
      </c>
      <c r="B13" t="s">
        <v>14</v>
      </c>
      <c r="C13" t="s">
        <v>17</v>
      </c>
      <c r="D13">
        <v>0</v>
      </c>
      <c r="E13">
        <v>0.36899999999999999</v>
      </c>
      <c r="F13">
        <v>0.36899999999999999</v>
      </c>
      <c r="G13">
        <v>0.13600000000000001</v>
      </c>
      <c r="I13" s="1">
        <v>9.9309999999999992</v>
      </c>
      <c r="J13">
        <f t="shared" si="0"/>
        <v>3.7156379015204917E-2</v>
      </c>
      <c r="K13">
        <f t="shared" si="3"/>
        <v>0.112</v>
      </c>
      <c r="L13">
        <f t="shared" si="2"/>
        <v>3.2946428571428572</v>
      </c>
    </row>
    <row r="14" spans="1:18" x14ac:dyDescent="0.25">
      <c r="A14" t="s">
        <v>8</v>
      </c>
      <c r="B14" t="s">
        <v>15</v>
      </c>
      <c r="C14" t="s">
        <v>17</v>
      </c>
      <c r="D14">
        <v>0</v>
      </c>
      <c r="E14">
        <v>3.508</v>
      </c>
      <c r="F14">
        <v>3.508</v>
      </c>
      <c r="G14">
        <v>12.305</v>
      </c>
      <c r="I14" s="1">
        <v>11.326000000000001</v>
      </c>
      <c r="J14">
        <f t="shared" si="0"/>
        <v>0.30972982518099945</v>
      </c>
      <c r="K14">
        <f t="shared" si="3"/>
        <v>1.579</v>
      </c>
      <c r="L14">
        <f t="shared" si="2"/>
        <v>2.2216592780240658</v>
      </c>
    </row>
    <row r="15" spans="1:18" x14ac:dyDescent="0.25">
      <c r="A15" t="s">
        <v>8</v>
      </c>
      <c r="B15" t="s">
        <v>16</v>
      </c>
      <c r="C15" t="s">
        <v>17</v>
      </c>
      <c r="D15">
        <v>5.3999999999999999E-2</v>
      </c>
      <c r="E15">
        <v>2.7E-2</v>
      </c>
      <c r="F15">
        <v>2.7E-2</v>
      </c>
      <c r="G15">
        <v>1E-3</v>
      </c>
      <c r="H15">
        <v>0.49299999999999999</v>
      </c>
      <c r="I15" s="1">
        <v>1.9339999999999999</v>
      </c>
      <c r="J15">
        <f t="shared" si="0"/>
        <v>1.3960703205791106E-2</v>
      </c>
      <c r="K15">
        <f t="shared" si="3"/>
        <v>1.3240000000000001</v>
      </c>
      <c r="L15">
        <f t="shared" si="2"/>
        <v>2.0392749244712991E-2</v>
      </c>
    </row>
    <row r="16" spans="1:18" x14ac:dyDescent="0.25">
      <c r="A16" t="s">
        <v>8</v>
      </c>
      <c r="B16" t="s">
        <v>9</v>
      </c>
      <c r="C16" t="s">
        <v>18</v>
      </c>
      <c r="D16">
        <v>12.333</v>
      </c>
      <c r="E16">
        <v>0</v>
      </c>
      <c r="F16">
        <v>12.333</v>
      </c>
      <c r="G16">
        <v>152.10499999999999</v>
      </c>
      <c r="H16">
        <v>1</v>
      </c>
      <c r="I16" s="1">
        <v>142.16</v>
      </c>
      <c r="J16">
        <f t="shared" si="0"/>
        <v>8.675436128306134E-2</v>
      </c>
      <c r="K16">
        <f t="shared" si="3"/>
        <v>18.91</v>
      </c>
      <c r="L16">
        <f t="shared" si="2"/>
        <v>0.65219460602855628</v>
      </c>
    </row>
    <row r="17" spans="1:12" x14ac:dyDescent="0.25">
      <c r="A17" t="s">
        <v>8</v>
      </c>
      <c r="B17" t="s">
        <v>11</v>
      </c>
      <c r="C17" t="s">
        <v>18</v>
      </c>
      <c r="D17">
        <v>9.1999999999999998E-2</v>
      </c>
      <c r="E17">
        <v>5.867</v>
      </c>
      <c r="F17">
        <v>5.7750000000000004</v>
      </c>
      <c r="G17">
        <v>33.353999999999999</v>
      </c>
      <c r="H17">
        <v>62.789000000000001</v>
      </c>
      <c r="I17" s="1">
        <v>11.32</v>
      </c>
      <c r="J17">
        <f t="shared" si="0"/>
        <v>0.51015901060070679</v>
      </c>
      <c r="K17">
        <f>K10</f>
        <v>0.97</v>
      </c>
      <c r="L17">
        <f t="shared" si="2"/>
        <v>5.9536082474226806</v>
      </c>
    </row>
    <row r="18" spans="1:12" x14ac:dyDescent="0.25">
      <c r="A18" t="s">
        <v>8</v>
      </c>
      <c r="B18" t="s">
        <v>12</v>
      </c>
      <c r="C18" t="s">
        <v>18</v>
      </c>
      <c r="D18">
        <v>1.365</v>
      </c>
      <c r="E18">
        <v>4.4649999999999999</v>
      </c>
      <c r="F18">
        <v>3.1</v>
      </c>
      <c r="G18">
        <v>9.6080000000000005</v>
      </c>
      <c r="H18">
        <v>2.27</v>
      </c>
      <c r="I18" s="1">
        <v>22.242999999999999</v>
      </c>
      <c r="J18">
        <f t="shared" si="0"/>
        <v>0.13936968934046665</v>
      </c>
      <c r="K18">
        <f t="shared" si="3"/>
        <v>3.3180000000000001</v>
      </c>
      <c r="L18">
        <f t="shared" si="2"/>
        <v>0.93429776974080758</v>
      </c>
    </row>
    <row r="19" spans="1:12" x14ac:dyDescent="0.25">
      <c r="A19" t="s">
        <v>8</v>
      </c>
      <c r="B19" t="s">
        <v>13</v>
      </c>
      <c r="C19" t="s">
        <v>18</v>
      </c>
      <c r="D19">
        <v>0.97499999999999998</v>
      </c>
      <c r="E19">
        <v>0.53300000000000003</v>
      </c>
      <c r="F19">
        <v>0.442</v>
      </c>
      <c r="G19">
        <v>0.19500000000000001</v>
      </c>
      <c r="H19">
        <v>0.45300000000000001</v>
      </c>
      <c r="I19" s="1">
        <v>2.2370000000000001</v>
      </c>
      <c r="J19">
        <f t="shared" si="0"/>
        <v>0.19758605274921767</v>
      </c>
      <c r="K19">
        <f t="shared" si="3"/>
        <v>1.4609999999999999</v>
      </c>
      <c r="L19">
        <f t="shared" si="2"/>
        <v>0.30253251197809716</v>
      </c>
    </row>
    <row r="20" spans="1:12" x14ac:dyDescent="0.25">
      <c r="A20" t="s">
        <v>8</v>
      </c>
      <c r="B20" t="s">
        <v>14</v>
      </c>
      <c r="C20" t="s">
        <v>18</v>
      </c>
      <c r="D20">
        <v>0.112</v>
      </c>
      <c r="E20">
        <v>0</v>
      </c>
      <c r="F20">
        <v>0.112</v>
      </c>
      <c r="G20">
        <v>1.2E-2</v>
      </c>
      <c r="H20">
        <v>1</v>
      </c>
      <c r="I20" s="1">
        <v>9.9309999999999992</v>
      </c>
      <c r="J20">
        <f t="shared" si="0"/>
        <v>1.1277816936864365E-2</v>
      </c>
      <c r="K20">
        <f t="shared" si="3"/>
        <v>0.112</v>
      </c>
      <c r="L20">
        <f t="shared" si="2"/>
        <v>1</v>
      </c>
    </row>
    <row r="21" spans="1:12" x14ac:dyDescent="0.25">
      <c r="A21" t="s">
        <v>8</v>
      </c>
      <c r="B21" t="s">
        <v>15</v>
      </c>
      <c r="C21" t="s">
        <v>18</v>
      </c>
      <c r="D21">
        <v>1.579</v>
      </c>
      <c r="E21">
        <v>4.09</v>
      </c>
      <c r="F21">
        <v>2.5110000000000001</v>
      </c>
      <c r="G21">
        <v>6.3070000000000004</v>
      </c>
      <c r="H21">
        <v>1.591</v>
      </c>
      <c r="I21" s="1">
        <v>11.326000000000001</v>
      </c>
      <c r="J21">
        <f t="shared" si="0"/>
        <v>0.22170227794455236</v>
      </c>
      <c r="K21">
        <f t="shared" si="3"/>
        <v>1.579</v>
      </c>
      <c r="L21">
        <f t="shared" si="2"/>
        <v>1.5902469917669413</v>
      </c>
    </row>
    <row r="22" spans="1:12" x14ac:dyDescent="0.25">
      <c r="A22" t="s">
        <v>8</v>
      </c>
      <c r="B22" t="s">
        <v>16</v>
      </c>
      <c r="C22" t="s">
        <v>18</v>
      </c>
      <c r="D22">
        <v>1.27</v>
      </c>
      <c r="E22">
        <v>0</v>
      </c>
      <c r="F22">
        <v>1.27</v>
      </c>
      <c r="G22">
        <v>1.613</v>
      </c>
      <c r="H22">
        <v>1</v>
      </c>
      <c r="I22" s="1">
        <v>1.9339999999999999</v>
      </c>
      <c r="J22">
        <f t="shared" si="0"/>
        <v>0.65667011375387796</v>
      </c>
      <c r="K22">
        <f t="shared" si="3"/>
        <v>1.3240000000000001</v>
      </c>
      <c r="L22">
        <f t="shared" si="2"/>
        <v>0.95921450151057397</v>
      </c>
    </row>
    <row r="23" spans="1:12" x14ac:dyDescent="0.25">
      <c r="H23">
        <f>AVERAGEA(H2:H22)</f>
        <v>6.1923076923076925</v>
      </c>
      <c r="J23" s="2">
        <f>AVERAGE(J2:J22)</f>
        <v>0.22538093919121882</v>
      </c>
      <c r="L23" s="4">
        <f>AVERAGE(L2:L22)</f>
        <v>2.5051837614496608</v>
      </c>
    </row>
    <row r="24" spans="1:12" x14ac:dyDescent="0.25">
      <c r="J24" s="3" t="s">
        <v>20</v>
      </c>
      <c r="L24" s="4" t="s">
        <v>19</v>
      </c>
    </row>
    <row r="26" spans="1:12" x14ac:dyDescent="0.25">
      <c r="D26" t="s">
        <v>21</v>
      </c>
      <c r="E26">
        <f>SUM(F2:F22)/SUM(D2:D22)</f>
        <v>2.5491074654910735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Deniss</cp:lastModifiedBy>
  <dcterms:created xsi:type="dcterms:W3CDTF">2026-04-19T16:53:01Z</dcterms:created>
  <dcterms:modified xsi:type="dcterms:W3CDTF">2026-05-11T12:04:55Z</dcterms:modified>
</cp:coreProperties>
</file>