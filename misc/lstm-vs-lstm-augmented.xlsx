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denis\Documents\Studies\RTU\Bakalaurs\100%\"/>
    </mc:Choice>
  </mc:AlternateContent>
  <xr:revisionPtr revIDLastSave="0" documentId="13_ncr:1_{9B3ADB84-95E1-4346-8A57-02D9123A34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L23" i="1" l="1"/>
  <c r="P28" i="1" l="1"/>
  <c r="P27" i="1"/>
  <c r="P26" i="1"/>
  <c r="O28" i="1"/>
  <c r="O27" i="1"/>
  <c r="N28" i="1"/>
  <c r="N27" i="1"/>
  <c r="M27" i="1"/>
  <c r="L27" i="1"/>
  <c r="M28" i="1"/>
  <c r="M26" i="1"/>
  <c r="L28" i="1"/>
  <c r="L2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K26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" i="1"/>
  <c r="U23" i="1"/>
  <c r="T23" i="1"/>
  <c r="H23" i="1"/>
  <c r="G23" i="1"/>
  <c r="Y23" i="1"/>
  <c r="X23" i="1"/>
  <c r="W23" i="1"/>
  <c r="V23" i="1"/>
  <c r="J23" i="1"/>
  <c r="K23" i="1"/>
  <c r="I23" i="1"/>
  <c r="D23" i="1" l="1"/>
  <c r="K28" i="1"/>
  <c r="K27" i="1"/>
  <c r="D33" i="1"/>
  <c r="D34" i="1"/>
  <c r="D32" i="1"/>
</calcChain>
</file>

<file path=xl/sharedStrings.xml><?xml version="1.0" encoding="utf-8"?>
<sst xmlns="http://schemas.openxmlformats.org/spreadsheetml/2006/main" count="175" uniqueCount="48">
  <si>
    <t>model</t>
  </si>
  <si>
    <t>material_group</t>
  </si>
  <si>
    <t>test_month</t>
  </si>
  <si>
    <t>actual</t>
  </si>
  <si>
    <t>prediction</t>
  </si>
  <si>
    <t>abs_error</t>
  </si>
  <si>
    <t>sq_error</t>
  </si>
  <si>
    <t>ape</t>
  </si>
  <si>
    <t>custom_ape</t>
  </si>
  <si>
    <t>group_wape</t>
  </si>
  <si>
    <t>wape</t>
  </si>
  <si>
    <t>LSTM</t>
  </si>
  <si>
    <t>BUVNIEKS: NEĒVELĒTI</t>
  </si>
  <si>
    <t>2026-01</t>
  </si>
  <si>
    <t>BUVNIEKS: ĒVELĒTI</t>
  </si>
  <si>
    <t>KARTEX: APDARES DĒĻI</t>
  </si>
  <si>
    <t>KARTEX: KARKASS</t>
  </si>
  <si>
    <t>KARTEX: KOKMATERIĀLI</t>
  </si>
  <si>
    <t>KARTEX: TERASES DĒĻI</t>
  </si>
  <si>
    <t>KARTEX: ŽOGA DĒĻI</t>
  </si>
  <si>
    <t>2026-02</t>
  </si>
  <si>
    <t>2026-03</t>
  </si>
  <si>
    <t>LSTM-AUGMENTED</t>
  </si>
  <si>
    <t>Model</t>
  </si>
  <si>
    <t>MAE</t>
  </si>
  <si>
    <t>RMSE</t>
  </si>
  <si>
    <t>WAPE</t>
  </si>
  <si>
    <t>Naïve</t>
  </si>
  <si>
    <t>LSTM+AUG</t>
  </si>
  <si>
    <t>Overall comparison</t>
  </si>
  <si>
    <t>diff</t>
  </si>
  <si>
    <t>LSTM MAE</t>
  </si>
  <si>
    <t>LSTM WAPE</t>
  </si>
  <si>
    <t>median</t>
  </si>
  <si>
    <t>Paplašinātajai LSTM metodei bija zemāka absolūtā kļūda nekā LSTM metodei.</t>
  </si>
  <si>
    <t>Gadījumi</t>
  </si>
  <si>
    <t>Gadījumu skaits</t>
  </si>
  <si>
    <t>Gadījums</t>
  </si>
  <si>
    <t>Paplašinātajai LSTM metodei bija lielāka absolūtā kļūda nekā LSTM metodei.</t>
  </si>
  <si>
    <t>Vienāda absolūtā kļūda</t>
  </si>
  <si>
    <t>Apjoma grupa</t>
  </si>
  <si>
    <t>Paplašinātā LSTM MAE</t>
  </si>
  <si>
    <t>Paplašinātā LSTM WAPE</t>
  </si>
  <si>
    <t>Palīdzēja / pasliktināja / neizmainījas</t>
  </si>
  <si>
    <t>Nulle faktiskas pārdošanas</t>
  </si>
  <si>
    <t>Zemas nenulles pārdošanas</t>
  </si>
  <si>
    <t>Augstas nenulles pārdošanas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</si>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</sst>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164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4"/>
  <sheetViews>
    <sheetView tabSelected="1" topLeftCell="B10" workbookViewId="0">
      <selection activeCell="V23" sqref="V23"/>
    </sheetView>
  </sheetViews>
  <sheetFormatPr defaultRowHeight="15" x14ac:dyDescent="0.25"/>
  <cols>
    <col min="1" max="1" width="10.42578125" bestFit="1" customWidth="1"/>
    <col min="4" max="4" width="10.28515625" customWidth="1"/>
    <col min="5" max="5" width="7" hidden="1" customWidth="1"/>
    <col min="10" max="10" width="11.85546875" customWidth="1"/>
    <col min="11" max="11" width="10.5703125" customWidth="1"/>
    <col min="12" max="12" width="10.28515625" bestFit="1" customWidth="1"/>
    <col min="13" max="13" width="21.5703125" bestFit="1" customWidth="1"/>
    <col min="14" max="14" width="11.5703125" bestFit="1" customWidth="1"/>
    <col min="15" max="15" width="22.85546875" bestFit="1" customWidth="1"/>
    <col min="16" max="16" width="25.1406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O1" t="s">
        <v>0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AB1" t="s">
        <v>30</v>
      </c>
    </row>
    <row r="2" spans="1:28" x14ac:dyDescent="0.25">
      <c r="A2" t="s">
        <v>11</v>
      </c>
      <c r="B2" t="s">
        <v>12</v>
      </c>
      <c r="C2" t="s">
        <v>13</v>
      </c>
      <c r="D2">
        <v>2.411</v>
      </c>
      <c r="E2">
        <f>IF(D2&gt;0,D2)</f>
        <v>2.411</v>
      </c>
      <c r="F2">
        <v>8.032</v>
      </c>
      <c r="G2">
        <v>5.6210000000000004</v>
      </c>
      <c r="H2">
        <v>31.597999999999999</v>
      </c>
      <c r="I2" s="1">
        <v>2.331</v>
      </c>
      <c r="J2" s="1">
        <v>0.29699999999999999</v>
      </c>
      <c r="K2" s="1">
        <v>1.107</v>
      </c>
      <c r="L2" s="1">
        <v>2.5489999999999999</v>
      </c>
      <c r="O2" t="s">
        <v>22</v>
      </c>
      <c r="P2" t="s">
        <v>12</v>
      </c>
      <c r="Q2" t="s">
        <v>13</v>
      </c>
      <c r="R2">
        <v>2.411</v>
      </c>
      <c r="S2">
        <v>9.8480000000000008</v>
      </c>
      <c r="T2">
        <v>7.4359999999999999</v>
      </c>
      <c r="U2">
        <v>55.298999999999999</v>
      </c>
      <c r="V2" s="1">
        <v>3.0840000000000001</v>
      </c>
      <c r="W2" s="1">
        <v>0.39300000000000002</v>
      </c>
      <c r="X2" s="1">
        <v>1.266</v>
      </c>
      <c r="Y2" s="1">
        <v>2.5259999999999998</v>
      </c>
      <c r="AB2">
        <f>G2-T2</f>
        <v>-1.8149999999999995</v>
      </c>
    </row>
    <row r="3" spans="1:28" x14ac:dyDescent="0.25">
      <c r="A3" t="s">
        <v>11</v>
      </c>
      <c r="B3" t="s">
        <v>14</v>
      </c>
      <c r="C3" t="s">
        <v>13</v>
      </c>
      <c r="D3">
        <v>0.878</v>
      </c>
      <c r="E3">
        <f t="shared" ref="E3:E22" si="0">IF(D3&gt;0,D3)</f>
        <v>0.878</v>
      </c>
      <c r="F3">
        <v>3.339</v>
      </c>
      <c r="G3">
        <v>2.4620000000000002</v>
      </c>
      <c r="H3">
        <v>6.0609999999999999</v>
      </c>
      <c r="I3" s="1">
        <v>2.8050000000000002</v>
      </c>
      <c r="J3" s="1">
        <v>2.5390000000000001</v>
      </c>
      <c r="K3" s="1">
        <v>15.818</v>
      </c>
      <c r="L3" s="1">
        <v>2.5489999999999999</v>
      </c>
      <c r="O3" t="s">
        <v>22</v>
      </c>
      <c r="P3" t="s">
        <v>14</v>
      </c>
      <c r="Q3" t="s">
        <v>13</v>
      </c>
      <c r="R3">
        <v>0.878</v>
      </c>
      <c r="S3">
        <v>2.5259999999999998</v>
      </c>
      <c r="T3">
        <v>1.649</v>
      </c>
      <c r="U3">
        <v>2.718</v>
      </c>
      <c r="V3" s="1">
        <v>1.879</v>
      </c>
      <c r="W3" s="1">
        <v>1.7010000000000001</v>
      </c>
      <c r="X3" s="1">
        <v>12.898999999999999</v>
      </c>
      <c r="Y3" s="1">
        <v>2.5259999999999998</v>
      </c>
      <c r="AB3">
        <f t="shared" ref="AB3:AB22" si="1">G3-T3</f>
        <v>0.81300000000000017</v>
      </c>
    </row>
    <row r="4" spans="1:28" x14ac:dyDescent="0.25">
      <c r="A4" t="s">
        <v>11</v>
      </c>
      <c r="B4" t="s">
        <v>15</v>
      </c>
      <c r="C4" t="s">
        <v>13</v>
      </c>
      <c r="D4">
        <v>1.9530000000000001</v>
      </c>
      <c r="E4">
        <f t="shared" si="0"/>
        <v>1.9530000000000001</v>
      </c>
      <c r="F4">
        <v>8.0440000000000005</v>
      </c>
      <c r="G4">
        <v>6.0919999999999996</v>
      </c>
      <c r="H4">
        <v>37.107999999999997</v>
      </c>
      <c r="I4" s="1">
        <v>3.12</v>
      </c>
      <c r="J4" s="1">
        <v>1.8360000000000001</v>
      </c>
      <c r="K4" s="1">
        <v>5.2220000000000004</v>
      </c>
      <c r="L4" s="1">
        <v>2.5489999999999999</v>
      </c>
      <c r="O4" t="s">
        <v>22</v>
      </c>
      <c r="P4" t="s">
        <v>15</v>
      </c>
      <c r="Q4" t="s">
        <v>13</v>
      </c>
      <c r="R4">
        <v>1.9530000000000001</v>
      </c>
      <c r="S4">
        <v>6.3129999999999997</v>
      </c>
      <c r="T4">
        <v>4.3609999999999998</v>
      </c>
      <c r="U4">
        <v>19.015999999999998</v>
      </c>
      <c r="V4" s="1">
        <v>2.2330000000000001</v>
      </c>
      <c r="W4" s="1">
        <v>1.3140000000000001</v>
      </c>
      <c r="X4" s="1">
        <v>6.4130000000000003</v>
      </c>
      <c r="Y4" s="1">
        <v>2.5259999999999998</v>
      </c>
      <c r="AB4">
        <f t="shared" si="1"/>
        <v>1.7309999999999999</v>
      </c>
    </row>
    <row r="5" spans="1:28" x14ac:dyDescent="0.25">
      <c r="A5" t="s">
        <v>11</v>
      </c>
      <c r="B5" t="s">
        <v>16</v>
      </c>
      <c r="C5" t="s">
        <v>13</v>
      </c>
      <c r="D5">
        <v>0</v>
      </c>
      <c r="E5" t="b">
        <f t="shared" si="0"/>
        <v>0</v>
      </c>
      <c r="F5">
        <v>7.9000000000000001E-2</v>
      </c>
      <c r="G5">
        <v>7.9000000000000001E-2</v>
      </c>
      <c r="H5">
        <v>6.0000000000000001E-3</v>
      </c>
      <c r="I5" s="1"/>
      <c r="J5" s="1">
        <v>5.3999999999999999E-2</v>
      </c>
      <c r="K5" s="1">
        <v>0.66600000000000004</v>
      </c>
      <c r="L5" s="1">
        <v>2.5489999999999999</v>
      </c>
      <c r="O5" t="s">
        <v>22</v>
      </c>
      <c r="P5" t="s">
        <v>16</v>
      </c>
      <c r="Q5" t="s">
        <v>13</v>
      </c>
      <c r="R5">
        <v>0</v>
      </c>
      <c r="S5">
        <v>0.155</v>
      </c>
      <c r="T5">
        <v>0.155</v>
      </c>
      <c r="U5">
        <v>2.4E-2</v>
      </c>
      <c r="V5" s="1"/>
      <c r="W5" s="1">
        <v>0.106</v>
      </c>
      <c r="X5" s="1">
        <v>0.98699999999999999</v>
      </c>
      <c r="Y5" s="1">
        <v>2.5259999999999998</v>
      </c>
      <c r="AB5">
        <f t="shared" si="1"/>
        <v>-7.5999999999999998E-2</v>
      </c>
    </row>
    <row r="6" spans="1:28" x14ac:dyDescent="0.25">
      <c r="A6" t="s">
        <v>11</v>
      </c>
      <c r="B6" t="s">
        <v>17</v>
      </c>
      <c r="C6" t="s">
        <v>13</v>
      </c>
      <c r="D6">
        <v>0</v>
      </c>
      <c r="E6" t="b">
        <f t="shared" si="0"/>
        <v>0</v>
      </c>
      <c r="F6">
        <v>1.873</v>
      </c>
      <c r="G6">
        <v>1.873</v>
      </c>
      <c r="H6">
        <v>3.5059999999999998</v>
      </c>
      <c r="I6" s="1"/>
      <c r="J6" s="1">
        <v>16.774000000000001</v>
      </c>
      <c r="K6" s="1">
        <v>21.08</v>
      </c>
      <c r="L6" s="1">
        <v>2.5489999999999999</v>
      </c>
      <c r="O6" t="s">
        <v>22</v>
      </c>
      <c r="P6" t="s">
        <v>17</v>
      </c>
      <c r="Q6" t="s">
        <v>13</v>
      </c>
      <c r="R6">
        <v>0</v>
      </c>
      <c r="S6">
        <v>0</v>
      </c>
      <c r="T6">
        <v>0</v>
      </c>
      <c r="U6">
        <v>0</v>
      </c>
      <c r="V6" s="1"/>
      <c r="W6" s="1">
        <v>0</v>
      </c>
      <c r="X6" s="1">
        <v>15.637</v>
      </c>
      <c r="Y6" s="1">
        <v>2.5259999999999998</v>
      </c>
      <c r="AB6">
        <f t="shared" si="1"/>
        <v>1.873</v>
      </c>
    </row>
    <row r="7" spans="1:28" x14ac:dyDescent="0.25">
      <c r="A7" t="s">
        <v>11</v>
      </c>
      <c r="B7" t="s">
        <v>18</v>
      </c>
      <c r="C7" t="s">
        <v>13</v>
      </c>
      <c r="D7">
        <v>0</v>
      </c>
      <c r="E7" t="b">
        <f t="shared" si="0"/>
        <v>0</v>
      </c>
      <c r="F7">
        <v>6.2489999999999997</v>
      </c>
      <c r="G7">
        <v>6.2489999999999997</v>
      </c>
      <c r="H7">
        <v>39.049999999999997</v>
      </c>
      <c r="I7" s="1"/>
      <c r="J7" s="1">
        <v>3.9590000000000001</v>
      </c>
      <c r="K7" s="1">
        <v>7.7720000000000002</v>
      </c>
      <c r="L7" s="1">
        <v>2.5489999999999999</v>
      </c>
      <c r="O7" t="s">
        <v>22</v>
      </c>
      <c r="P7" t="s">
        <v>18</v>
      </c>
      <c r="Q7" t="s">
        <v>13</v>
      </c>
      <c r="R7">
        <v>0</v>
      </c>
      <c r="S7">
        <v>0.751</v>
      </c>
      <c r="T7">
        <v>0.751</v>
      </c>
      <c r="U7">
        <v>0.56399999999999995</v>
      </c>
      <c r="V7" s="1"/>
      <c r="W7" s="1">
        <v>0.47599999999999998</v>
      </c>
      <c r="X7" s="1">
        <v>4.8570000000000002</v>
      </c>
      <c r="Y7" s="1">
        <v>2.5259999999999998</v>
      </c>
      <c r="AB7">
        <f t="shared" si="1"/>
        <v>5.4979999999999993</v>
      </c>
    </row>
    <row r="8" spans="1:28" x14ac:dyDescent="0.25">
      <c r="A8" t="s">
        <v>11</v>
      </c>
      <c r="B8" t="s">
        <v>19</v>
      </c>
      <c r="C8" t="s">
        <v>13</v>
      </c>
      <c r="D8">
        <v>0</v>
      </c>
      <c r="E8" t="b">
        <f t="shared" si="0"/>
        <v>0</v>
      </c>
      <c r="F8">
        <v>5.0999999999999997E-2</v>
      </c>
      <c r="G8">
        <v>5.0999999999999997E-2</v>
      </c>
      <c r="H8">
        <v>3.0000000000000001E-3</v>
      </c>
      <c r="I8" s="1"/>
      <c r="J8" s="1">
        <v>3.9E-2</v>
      </c>
      <c r="K8" s="1">
        <v>1.018</v>
      </c>
      <c r="L8" s="1">
        <v>2.5489999999999999</v>
      </c>
      <c r="O8" t="s">
        <v>22</v>
      </c>
      <c r="P8" t="s">
        <v>19</v>
      </c>
      <c r="Q8" t="s">
        <v>13</v>
      </c>
      <c r="R8">
        <v>0</v>
      </c>
      <c r="S8">
        <v>0.10299999999999999</v>
      </c>
      <c r="T8">
        <v>0.10299999999999999</v>
      </c>
      <c r="U8">
        <v>1.0999999999999999E-2</v>
      </c>
      <c r="V8" s="1"/>
      <c r="W8" s="1">
        <v>7.8E-2</v>
      </c>
      <c r="X8" s="1">
        <v>0.997</v>
      </c>
      <c r="Y8" s="1">
        <v>2.5259999999999998</v>
      </c>
      <c r="AB8">
        <f t="shared" si="1"/>
        <v>-5.1999999999999998E-2</v>
      </c>
    </row>
    <row r="9" spans="1:28" x14ac:dyDescent="0.25">
      <c r="A9" t="s">
        <v>11</v>
      </c>
      <c r="B9" t="s">
        <v>12</v>
      </c>
      <c r="C9" t="s">
        <v>20</v>
      </c>
      <c r="D9">
        <v>4.1660000000000004</v>
      </c>
      <c r="E9">
        <f t="shared" si="0"/>
        <v>4.1660000000000004</v>
      </c>
      <c r="F9">
        <v>1.18</v>
      </c>
      <c r="G9">
        <v>2.9849999999999999</v>
      </c>
      <c r="H9">
        <v>8.9120000000000008</v>
      </c>
      <c r="I9" s="1">
        <v>0.71699999999999997</v>
      </c>
      <c r="J9" s="1">
        <v>0.158</v>
      </c>
      <c r="K9" s="1">
        <v>1.107</v>
      </c>
      <c r="L9" s="1">
        <v>2.5489999999999999</v>
      </c>
      <c r="O9" t="s">
        <v>22</v>
      </c>
      <c r="P9" t="s">
        <v>12</v>
      </c>
      <c r="Q9" t="s">
        <v>20</v>
      </c>
      <c r="R9">
        <v>4.1660000000000004</v>
      </c>
      <c r="S9">
        <v>0</v>
      </c>
      <c r="T9">
        <v>4.1660000000000004</v>
      </c>
      <c r="U9">
        <v>17.352</v>
      </c>
      <c r="V9" s="1">
        <v>1</v>
      </c>
      <c r="W9" s="1">
        <v>0.22</v>
      </c>
      <c r="X9" s="1">
        <v>1.266</v>
      </c>
      <c r="Y9" s="1">
        <v>2.5259999999999998</v>
      </c>
      <c r="AB9">
        <f t="shared" si="1"/>
        <v>-1.1810000000000005</v>
      </c>
    </row>
    <row r="10" spans="1:28" x14ac:dyDescent="0.25">
      <c r="A10" t="s">
        <v>11</v>
      </c>
      <c r="B10" t="s">
        <v>14</v>
      </c>
      <c r="C10" t="s">
        <v>20</v>
      </c>
      <c r="D10">
        <v>0</v>
      </c>
      <c r="E10" t="b">
        <f t="shared" si="0"/>
        <v>0</v>
      </c>
      <c r="F10">
        <v>7.0979999999999999</v>
      </c>
      <c r="G10">
        <v>7.0979999999999999</v>
      </c>
      <c r="H10">
        <v>50.384</v>
      </c>
      <c r="I10" s="1"/>
      <c r="J10" s="1">
        <v>7.3220000000000001</v>
      </c>
      <c r="K10" s="1">
        <v>15.818</v>
      </c>
      <c r="L10" s="1">
        <v>2.5489999999999999</v>
      </c>
      <c r="O10" t="s">
        <v>22</v>
      </c>
      <c r="P10" t="s">
        <v>14</v>
      </c>
      <c r="Q10" t="s">
        <v>20</v>
      </c>
      <c r="R10">
        <v>0</v>
      </c>
      <c r="S10">
        <v>2.8479999999999999</v>
      </c>
      <c r="T10">
        <v>2.8479999999999999</v>
      </c>
      <c r="U10">
        <v>8.11</v>
      </c>
      <c r="V10" s="1"/>
      <c r="W10" s="1">
        <v>2.9369999999999998</v>
      </c>
      <c r="X10" s="1">
        <v>12.898999999999999</v>
      </c>
      <c r="Y10" s="1">
        <v>2.5259999999999998</v>
      </c>
      <c r="AB10">
        <f t="shared" si="1"/>
        <v>4.25</v>
      </c>
    </row>
    <row r="11" spans="1:28" x14ac:dyDescent="0.25">
      <c r="A11" t="s">
        <v>11</v>
      </c>
      <c r="B11" t="s">
        <v>15</v>
      </c>
      <c r="C11" t="s">
        <v>20</v>
      </c>
      <c r="D11">
        <v>0</v>
      </c>
      <c r="E11" t="b">
        <f t="shared" si="0"/>
        <v>0</v>
      </c>
      <c r="F11">
        <v>8.1349999999999998</v>
      </c>
      <c r="G11">
        <v>8.1349999999999998</v>
      </c>
      <c r="H11">
        <v>66.174000000000007</v>
      </c>
      <c r="I11" s="1"/>
      <c r="J11" s="1">
        <v>2.452</v>
      </c>
      <c r="K11" s="1">
        <v>5.2220000000000004</v>
      </c>
      <c r="L11" s="1">
        <v>2.5489999999999999</v>
      </c>
      <c r="O11" t="s">
        <v>22</v>
      </c>
      <c r="P11" t="s">
        <v>15</v>
      </c>
      <c r="Q11" t="s">
        <v>20</v>
      </c>
      <c r="R11">
        <v>0</v>
      </c>
      <c r="S11">
        <v>7.1769999999999996</v>
      </c>
      <c r="T11">
        <v>7.1769999999999996</v>
      </c>
      <c r="U11">
        <v>51.506999999999998</v>
      </c>
      <c r="V11" s="1"/>
      <c r="W11" s="1">
        <v>2.1629999999999998</v>
      </c>
      <c r="X11" s="1">
        <v>6.4130000000000003</v>
      </c>
      <c r="Y11" s="1">
        <v>2.5259999999999998</v>
      </c>
      <c r="AB11">
        <f t="shared" si="1"/>
        <v>0.95800000000000018</v>
      </c>
    </row>
    <row r="12" spans="1:28" x14ac:dyDescent="0.25">
      <c r="A12" t="s">
        <v>11</v>
      </c>
      <c r="B12" t="s">
        <v>16</v>
      </c>
      <c r="C12" t="s">
        <v>20</v>
      </c>
      <c r="D12">
        <v>0.48599999999999999</v>
      </c>
      <c r="E12">
        <f t="shared" si="0"/>
        <v>0.48599999999999999</v>
      </c>
      <c r="F12">
        <v>3.4000000000000002E-2</v>
      </c>
      <c r="G12">
        <v>0.45200000000000001</v>
      </c>
      <c r="H12">
        <v>0.20499999999999999</v>
      </c>
      <c r="I12" s="1">
        <v>0.93100000000000005</v>
      </c>
      <c r="J12" s="1">
        <v>0.31</v>
      </c>
      <c r="K12" s="1">
        <v>0.66600000000000004</v>
      </c>
      <c r="L12" s="1">
        <v>2.5489999999999999</v>
      </c>
      <c r="O12" t="s">
        <v>22</v>
      </c>
      <c r="P12" t="s">
        <v>16</v>
      </c>
      <c r="Q12" t="s">
        <v>20</v>
      </c>
      <c r="R12">
        <v>0.48599999999999999</v>
      </c>
      <c r="S12">
        <v>0.11700000000000001</v>
      </c>
      <c r="T12">
        <v>0.36899999999999999</v>
      </c>
      <c r="U12">
        <v>0.13600000000000001</v>
      </c>
      <c r="V12" s="1">
        <v>0.75900000000000001</v>
      </c>
      <c r="W12" s="1">
        <v>0.253</v>
      </c>
      <c r="X12" s="1">
        <v>0.98699999999999999</v>
      </c>
      <c r="Y12" s="1">
        <v>2.5259999999999998</v>
      </c>
      <c r="AB12">
        <f t="shared" si="1"/>
        <v>8.3000000000000018E-2</v>
      </c>
    </row>
    <row r="13" spans="1:28" x14ac:dyDescent="0.25">
      <c r="A13" t="s">
        <v>11</v>
      </c>
      <c r="B13" t="s">
        <v>17</v>
      </c>
      <c r="C13" t="s">
        <v>20</v>
      </c>
      <c r="D13">
        <v>0</v>
      </c>
      <c r="E13" t="b">
        <f t="shared" si="0"/>
        <v>0</v>
      </c>
      <c r="F13">
        <v>0.36899999999999999</v>
      </c>
      <c r="G13">
        <v>0.36899999999999999</v>
      </c>
      <c r="H13">
        <v>0.13600000000000001</v>
      </c>
      <c r="I13" s="1"/>
      <c r="J13" s="1">
        <v>3.306</v>
      </c>
      <c r="K13" s="1">
        <v>21.08</v>
      </c>
      <c r="L13" s="1">
        <v>2.5489999999999999</v>
      </c>
      <c r="O13" t="s">
        <v>22</v>
      </c>
      <c r="P13" t="s">
        <v>17</v>
      </c>
      <c r="Q13" t="s">
        <v>20</v>
      </c>
      <c r="R13">
        <v>0</v>
      </c>
      <c r="S13">
        <v>0</v>
      </c>
      <c r="T13">
        <v>0</v>
      </c>
      <c r="U13">
        <v>0</v>
      </c>
      <c r="V13" s="1"/>
      <c r="W13" s="1">
        <v>0</v>
      </c>
      <c r="X13" s="1">
        <v>15.637</v>
      </c>
      <c r="Y13" s="1">
        <v>2.5259999999999998</v>
      </c>
      <c r="AB13">
        <f t="shared" si="1"/>
        <v>0.36899999999999999</v>
      </c>
    </row>
    <row r="14" spans="1:28" x14ac:dyDescent="0.25">
      <c r="A14" t="s">
        <v>11</v>
      </c>
      <c r="B14" t="s">
        <v>18</v>
      </c>
      <c r="C14" t="s">
        <v>20</v>
      </c>
      <c r="D14">
        <v>0</v>
      </c>
      <c r="E14" t="b">
        <f t="shared" si="0"/>
        <v>0</v>
      </c>
      <c r="F14">
        <v>3.508</v>
      </c>
      <c r="G14">
        <v>3.508</v>
      </c>
      <c r="H14">
        <v>12.305</v>
      </c>
      <c r="I14" s="1"/>
      <c r="J14" s="1">
        <v>2.222</v>
      </c>
      <c r="K14" s="1">
        <v>7.7720000000000002</v>
      </c>
      <c r="L14" s="1">
        <v>2.5489999999999999</v>
      </c>
      <c r="O14" t="s">
        <v>22</v>
      </c>
      <c r="P14" t="s">
        <v>18</v>
      </c>
      <c r="Q14" t="s">
        <v>20</v>
      </c>
      <c r="R14">
        <v>0</v>
      </c>
      <c r="S14">
        <v>3.7749999999999999</v>
      </c>
      <c r="T14">
        <v>3.7749999999999999</v>
      </c>
      <c r="U14">
        <v>14.252000000000001</v>
      </c>
      <c r="V14" s="1"/>
      <c r="W14" s="1">
        <v>2.3919999999999999</v>
      </c>
      <c r="X14" s="1">
        <v>4.8570000000000002</v>
      </c>
      <c r="Y14" s="1">
        <v>2.5259999999999998</v>
      </c>
      <c r="AB14">
        <f t="shared" si="1"/>
        <v>-0.2669999999999999</v>
      </c>
    </row>
    <row r="15" spans="1:28" x14ac:dyDescent="0.25">
      <c r="A15" t="s">
        <v>11</v>
      </c>
      <c r="B15" t="s">
        <v>19</v>
      </c>
      <c r="C15" t="s">
        <v>20</v>
      </c>
      <c r="D15">
        <v>5.3999999999999999E-2</v>
      </c>
      <c r="E15">
        <f t="shared" si="0"/>
        <v>5.3999999999999999E-2</v>
      </c>
      <c r="F15">
        <v>2.7E-2</v>
      </c>
      <c r="G15">
        <v>2.7E-2</v>
      </c>
      <c r="H15">
        <v>1E-3</v>
      </c>
      <c r="I15" s="1">
        <v>0.49299999999999999</v>
      </c>
      <c r="J15" s="1">
        <v>0.02</v>
      </c>
      <c r="K15" s="1">
        <v>1.018</v>
      </c>
      <c r="L15" s="1">
        <v>2.5489999999999999</v>
      </c>
      <c r="O15" t="s">
        <v>22</v>
      </c>
      <c r="P15" t="s">
        <v>19</v>
      </c>
      <c r="Q15" t="s">
        <v>20</v>
      </c>
      <c r="R15">
        <v>5.3999999999999999E-2</v>
      </c>
      <c r="S15">
        <v>0.114</v>
      </c>
      <c r="T15">
        <v>0.06</v>
      </c>
      <c r="U15">
        <v>4.0000000000000001E-3</v>
      </c>
      <c r="V15" s="1">
        <v>1.1180000000000001</v>
      </c>
      <c r="W15" s="1">
        <v>4.5999999999999999E-2</v>
      </c>
      <c r="X15" s="1">
        <v>0.997</v>
      </c>
      <c r="Y15" s="1">
        <v>2.5259999999999998</v>
      </c>
      <c r="AB15">
        <f t="shared" si="1"/>
        <v>-3.3000000000000002E-2</v>
      </c>
    </row>
    <row r="16" spans="1:28" x14ac:dyDescent="0.25">
      <c r="A16" t="s">
        <v>11</v>
      </c>
      <c r="B16" t="s">
        <v>12</v>
      </c>
      <c r="C16" t="s">
        <v>21</v>
      </c>
      <c r="D16">
        <v>12.333</v>
      </c>
      <c r="E16">
        <f t="shared" si="0"/>
        <v>12.333</v>
      </c>
      <c r="F16">
        <v>0</v>
      </c>
      <c r="G16">
        <v>12.333</v>
      </c>
      <c r="H16">
        <v>152.10499999999999</v>
      </c>
      <c r="I16" s="1">
        <v>1</v>
      </c>
      <c r="J16" s="1">
        <v>0.65200000000000002</v>
      </c>
      <c r="K16" s="1">
        <v>1.107</v>
      </c>
      <c r="L16" s="1">
        <v>2.5489999999999999</v>
      </c>
      <c r="O16" t="s">
        <v>22</v>
      </c>
      <c r="P16" t="s">
        <v>12</v>
      </c>
      <c r="Q16" t="s">
        <v>21</v>
      </c>
      <c r="R16">
        <v>12.333</v>
      </c>
      <c r="S16">
        <v>0</v>
      </c>
      <c r="T16">
        <v>12.333</v>
      </c>
      <c r="U16">
        <v>152.10499999999999</v>
      </c>
      <c r="V16" s="1">
        <v>1</v>
      </c>
      <c r="W16" s="1">
        <v>0.65200000000000002</v>
      </c>
      <c r="X16" s="1">
        <v>1.266</v>
      </c>
      <c r="Y16" s="1">
        <v>2.5259999999999998</v>
      </c>
      <c r="AB16">
        <f t="shared" si="1"/>
        <v>0</v>
      </c>
    </row>
    <row r="17" spans="1:28" x14ac:dyDescent="0.25">
      <c r="A17" t="s">
        <v>11</v>
      </c>
      <c r="B17" t="s">
        <v>14</v>
      </c>
      <c r="C17" t="s">
        <v>21</v>
      </c>
      <c r="D17">
        <v>9.1999999999999998E-2</v>
      </c>
      <c r="E17">
        <f t="shared" si="0"/>
        <v>9.1999999999999998E-2</v>
      </c>
      <c r="F17">
        <v>5.867</v>
      </c>
      <c r="G17">
        <v>5.7750000000000004</v>
      </c>
      <c r="H17">
        <v>33.353999999999999</v>
      </c>
      <c r="I17" s="1">
        <v>62.789000000000001</v>
      </c>
      <c r="J17" s="1">
        <v>5.9569999999999999</v>
      </c>
      <c r="K17" s="1">
        <v>15.818</v>
      </c>
      <c r="L17" s="1">
        <v>2.5489999999999999</v>
      </c>
      <c r="O17" t="s">
        <v>22</v>
      </c>
      <c r="P17" t="s">
        <v>14</v>
      </c>
      <c r="Q17" t="s">
        <v>21</v>
      </c>
      <c r="R17">
        <v>9.1999999999999998E-2</v>
      </c>
      <c r="S17">
        <v>8.1010000000000009</v>
      </c>
      <c r="T17">
        <v>8.0090000000000003</v>
      </c>
      <c r="U17">
        <v>64.144999999999996</v>
      </c>
      <c r="V17" s="1">
        <v>87.073999999999998</v>
      </c>
      <c r="W17" s="1">
        <v>8.2609999999999992</v>
      </c>
      <c r="X17" s="1">
        <v>12.898999999999999</v>
      </c>
      <c r="Y17" s="1">
        <v>2.5259999999999998</v>
      </c>
      <c r="AB17">
        <f t="shared" si="1"/>
        <v>-2.234</v>
      </c>
    </row>
    <row r="18" spans="1:28" x14ac:dyDescent="0.25">
      <c r="A18" t="s">
        <v>11</v>
      </c>
      <c r="B18" t="s">
        <v>15</v>
      </c>
      <c r="C18" t="s">
        <v>21</v>
      </c>
      <c r="D18">
        <v>1.365</v>
      </c>
      <c r="E18">
        <f t="shared" si="0"/>
        <v>1.365</v>
      </c>
      <c r="F18">
        <v>4.4649999999999999</v>
      </c>
      <c r="G18">
        <v>3.1</v>
      </c>
      <c r="H18">
        <v>9.6080000000000005</v>
      </c>
      <c r="I18" s="1">
        <v>2.27</v>
      </c>
      <c r="J18" s="1">
        <v>0.93400000000000005</v>
      </c>
      <c r="K18" s="1">
        <v>5.2220000000000004</v>
      </c>
      <c r="L18" s="1">
        <v>2.5489999999999999</v>
      </c>
      <c r="O18" t="s">
        <v>22</v>
      </c>
      <c r="P18" t="s">
        <v>15</v>
      </c>
      <c r="Q18" t="s">
        <v>21</v>
      </c>
      <c r="R18">
        <v>1.365</v>
      </c>
      <c r="S18">
        <v>11.106</v>
      </c>
      <c r="T18">
        <v>9.7409999999999997</v>
      </c>
      <c r="U18">
        <v>94.882999999999996</v>
      </c>
      <c r="V18" s="1">
        <v>7.1340000000000003</v>
      </c>
      <c r="W18" s="1">
        <v>2.9359999999999999</v>
      </c>
      <c r="X18" s="1">
        <v>6.4130000000000003</v>
      </c>
      <c r="Y18" s="1">
        <v>2.5259999999999998</v>
      </c>
      <c r="AB18">
        <f t="shared" si="1"/>
        <v>-6.641</v>
      </c>
    </row>
    <row r="19" spans="1:28" x14ac:dyDescent="0.25">
      <c r="A19" t="s">
        <v>11</v>
      </c>
      <c r="B19" t="s">
        <v>16</v>
      </c>
      <c r="C19" t="s">
        <v>21</v>
      </c>
      <c r="D19">
        <v>0.97499999999999998</v>
      </c>
      <c r="E19">
        <f t="shared" si="0"/>
        <v>0.97499999999999998</v>
      </c>
      <c r="F19">
        <v>0.53300000000000003</v>
      </c>
      <c r="G19">
        <v>0.442</v>
      </c>
      <c r="H19">
        <v>0.19500000000000001</v>
      </c>
      <c r="I19" s="1">
        <v>0.45300000000000001</v>
      </c>
      <c r="J19" s="1">
        <v>0.30199999999999999</v>
      </c>
      <c r="K19" s="1">
        <v>0.66600000000000004</v>
      </c>
      <c r="L19" s="1">
        <v>2.5489999999999999</v>
      </c>
      <c r="O19" t="s">
        <v>22</v>
      </c>
      <c r="P19" t="s">
        <v>16</v>
      </c>
      <c r="Q19" t="s">
        <v>21</v>
      </c>
      <c r="R19">
        <v>0.97499999999999998</v>
      </c>
      <c r="S19">
        <v>5.7000000000000002E-2</v>
      </c>
      <c r="T19">
        <v>0.91800000000000004</v>
      </c>
      <c r="U19">
        <v>0.84199999999999997</v>
      </c>
      <c r="V19" s="1">
        <v>0.94199999999999995</v>
      </c>
      <c r="W19" s="1">
        <v>0.628</v>
      </c>
      <c r="X19" s="1">
        <v>0.98699999999999999</v>
      </c>
      <c r="Y19" s="1">
        <v>2.5259999999999998</v>
      </c>
      <c r="AB19">
        <f t="shared" si="1"/>
        <v>-0.47600000000000003</v>
      </c>
    </row>
    <row r="20" spans="1:28" x14ac:dyDescent="0.25">
      <c r="A20" t="s">
        <v>11</v>
      </c>
      <c r="B20" t="s">
        <v>17</v>
      </c>
      <c r="C20" t="s">
        <v>21</v>
      </c>
      <c r="D20">
        <v>0.112</v>
      </c>
      <c r="E20">
        <f t="shared" si="0"/>
        <v>0.112</v>
      </c>
      <c r="F20">
        <v>0</v>
      </c>
      <c r="G20">
        <v>0.112</v>
      </c>
      <c r="H20">
        <v>1.2E-2</v>
      </c>
      <c r="I20" s="1">
        <v>1</v>
      </c>
      <c r="J20" s="1">
        <v>1</v>
      </c>
      <c r="K20" s="1">
        <v>21.08</v>
      </c>
      <c r="L20" s="1">
        <v>2.5489999999999999</v>
      </c>
      <c r="O20" t="s">
        <v>22</v>
      </c>
      <c r="P20" t="s">
        <v>17</v>
      </c>
      <c r="Q20" t="s">
        <v>21</v>
      </c>
      <c r="R20">
        <v>0.112</v>
      </c>
      <c r="S20">
        <v>1.857</v>
      </c>
      <c r="T20">
        <v>1.746</v>
      </c>
      <c r="U20">
        <v>3.0470000000000002</v>
      </c>
      <c r="V20" s="1">
        <v>15.637</v>
      </c>
      <c r="W20" s="1">
        <v>15.637</v>
      </c>
      <c r="X20" s="1">
        <v>15.637</v>
      </c>
      <c r="Y20" s="1">
        <v>2.5259999999999998</v>
      </c>
      <c r="AB20">
        <f t="shared" si="1"/>
        <v>-1.6339999999999999</v>
      </c>
    </row>
    <row r="21" spans="1:28" x14ac:dyDescent="0.25">
      <c r="A21" t="s">
        <v>11</v>
      </c>
      <c r="B21" t="s">
        <v>18</v>
      </c>
      <c r="C21" t="s">
        <v>21</v>
      </c>
      <c r="D21">
        <v>1.579</v>
      </c>
      <c r="E21">
        <f t="shared" si="0"/>
        <v>1.579</v>
      </c>
      <c r="F21">
        <v>4.09</v>
      </c>
      <c r="G21">
        <v>2.5110000000000001</v>
      </c>
      <c r="H21">
        <v>6.3070000000000004</v>
      </c>
      <c r="I21" s="1">
        <v>1.591</v>
      </c>
      <c r="J21" s="1">
        <v>1.591</v>
      </c>
      <c r="K21" s="1">
        <v>7.7720000000000002</v>
      </c>
      <c r="L21" s="1">
        <v>2.5489999999999999</v>
      </c>
      <c r="O21" t="s">
        <v>22</v>
      </c>
      <c r="P21" t="s">
        <v>18</v>
      </c>
      <c r="Q21" t="s">
        <v>21</v>
      </c>
      <c r="R21">
        <v>1.579</v>
      </c>
      <c r="S21">
        <v>4.72</v>
      </c>
      <c r="T21">
        <v>3.1419999999999999</v>
      </c>
      <c r="U21">
        <v>9.8699999999999992</v>
      </c>
      <c r="V21" s="1">
        <v>1.99</v>
      </c>
      <c r="W21" s="1">
        <v>1.99</v>
      </c>
      <c r="X21" s="1">
        <v>4.8570000000000002</v>
      </c>
      <c r="Y21" s="1">
        <v>2.5259999999999998</v>
      </c>
      <c r="AB21">
        <f t="shared" si="1"/>
        <v>-0.63099999999999978</v>
      </c>
    </row>
    <row r="22" spans="1:28" x14ac:dyDescent="0.25">
      <c r="A22" t="s">
        <v>11</v>
      </c>
      <c r="B22" t="s">
        <v>19</v>
      </c>
      <c r="C22" t="s">
        <v>21</v>
      </c>
      <c r="D22">
        <v>1.27</v>
      </c>
      <c r="E22">
        <f t="shared" si="0"/>
        <v>1.27</v>
      </c>
      <c r="F22">
        <v>0</v>
      </c>
      <c r="G22">
        <v>1.27</v>
      </c>
      <c r="H22">
        <v>1.613</v>
      </c>
      <c r="I22" s="1">
        <v>1</v>
      </c>
      <c r="J22" s="1">
        <v>0.95899999999999996</v>
      </c>
      <c r="K22" s="1">
        <v>1.018</v>
      </c>
      <c r="L22" s="1">
        <v>2.5489999999999999</v>
      </c>
      <c r="O22" t="s">
        <v>22</v>
      </c>
      <c r="P22" t="s">
        <v>19</v>
      </c>
      <c r="Q22" t="s">
        <v>21</v>
      </c>
      <c r="R22">
        <v>1.27</v>
      </c>
      <c r="S22">
        <v>0.113</v>
      </c>
      <c r="T22">
        <v>1.157</v>
      </c>
      <c r="U22">
        <v>1.339</v>
      </c>
      <c r="V22" s="1">
        <v>0.91100000000000003</v>
      </c>
      <c r="W22" s="1">
        <v>0.874</v>
      </c>
      <c r="X22" s="1">
        <v>0.997</v>
      </c>
      <c r="Y22" s="1">
        <v>2.5259999999999998</v>
      </c>
      <c r="AB22">
        <f t="shared" si="1"/>
        <v>0.11299999999999999</v>
      </c>
    </row>
    <row r="23" spans="1:28" x14ac:dyDescent="0.25">
      <c r="C23" t="s">
        <v>33</v>
      </c>
      <c r="D23">
        <f>MEDIAN(E2:E22)</f>
        <v>1.27</v>
      </c>
      <c r="G23">
        <f>AVERAGE(G2:G22)</f>
        <v>3.3592380952380938</v>
      </c>
      <c r="H23">
        <f>SQRT(AVERAGE(H2:H22))</f>
        <v>4.6733438624974788</v>
      </c>
      <c r="I23" s="1">
        <f>AVERAGEA(I2:I22)</f>
        <v>6.1923076923076925</v>
      </c>
      <c r="J23" s="1">
        <f t="shared" ref="J23:L23" si="2">AVERAGEA(J2:J22)</f>
        <v>2.5087142857142859</v>
      </c>
      <c r="K23" s="1">
        <f t="shared" si="2"/>
        <v>7.5261428571428572</v>
      </c>
      <c r="L23" s="1">
        <f>SUM(G2:G22)/SUM(D2:D22)</f>
        <v>2.5491074654910735</v>
      </c>
      <c r="T23">
        <f>AVERAGE(T2:T22)</f>
        <v>3.3283809523809516</v>
      </c>
      <c r="U23">
        <f>SQRT(AVERAGE(U2:U22))</f>
        <v>4.8561399524823452</v>
      </c>
      <c r="V23" s="1">
        <f>AVERAGEA(V2:V22)</f>
        <v>9.5969999999999978</v>
      </c>
      <c r="W23" s="1">
        <f t="shared" ref="W23:Y23" si="3">AVERAGEA(W2:W22)</f>
        <v>2.0503333333333336</v>
      </c>
      <c r="X23" s="1">
        <f t="shared" si="3"/>
        <v>6.1508571428571432</v>
      </c>
      <c r="Y23" s="1">
        <f t="shared" si="3"/>
        <v>2.5259999999999985</v>
      </c>
    </row>
    <row r="25" spans="1:28" ht="30" x14ac:dyDescent="0.25">
      <c r="A25" s="6" t="s">
        <v>29</v>
      </c>
      <c r="B25" s="6"/>
      <c r="C25" s="6"/>
      <c r="D25" s="6"/>
      <c r="E25" s="4"/>
      <c r="I25" s="2"/>
      <c r="J25" s="2" t="s">
        <v>40</v>
      </c>
      <c r="K25" s="2" t="s">
        <v>35</v>
      </c>
      <c r="L25" s="2" t="s">
        <v>31</v>
      </c>
      <c r="M25" s="2" t="s">
        <v>41</v>
      </c>
      <c r="N25" s="2" t="s">
        <v>32</v>
      </c>
      <c r="O25" s="2" t="s">
        <v>42</v>
      </c>
      <c r="P25" s="2" t="s">
        <v>43</v>
      </c>
    </row>
    <row r="26" spans="1:28" ht="45" x14ac:dyDescent="0.25">
      <c r="A26" t="s">
        <v>23</v>
      </c>
      <c r="B26" t="s">
        <v>24</v>
      </c>
      <c r="C26" t="s">
        <v>25</v>
      </c>
      <c r="D26" t="s">
        <v>26</v>
      </c>
      <c r="I26" s="2"/>
      <c r="J26" s="3" t="s">
        <v>44</v>
      </c>
      <c r="K26">
        <f>COUNTIF(D2:D22,"=0")</f>
        <v>8</v>
      </c>
      <c r="L26" s="5">
        <f>AVERAGEIFS(G2:G22,D2:D22,"=0")</f>
        <v>3.4202499999999998</v>
      </c>
      <c r="M26" s="5">
        <f>AVERAGEIFS(T2:T22,R2:R22,"=0")</f>
        <v>1.8511249999999999</v>
      </c>
      <c r="N26" s="5" t="s">
        <v>47</v>
      </c>
      <c r="O26" s="5" t="s">
        <v>47</v>
      </c>
      <c r="P26" t="str">
        <f>_xlfn.TEXTJOIN(" / ",FALSE, COUNTIFS($D$2:$D$22,"=0",$AB$2:$AB$22,"&gt;0"), COUNTIFS($D$2:$D$22,"=0",$AB$2:$AB$22,"&lt;0"), COUNTIFS($D$2:$D$22,"=0",$AB$2:$AB$22,"=0"))</f>
        <v>5 / 3 / 0</v>
      </c>
    </row>
    <row r="27" spans="1:28" ht="45" x14ac:dyDescent="0.25">
      <c r="A27" t="s">
        <v>27</v>
      </c>
      <c r="B27">
        <v>1.7169523809523808</v>
      </c>
      <c r="C27">
        <v>3.7307601676563751</v>
      </c>
      <c r="D27" s="1">
        <v>1.3030000000000004</v>
      </c>
      <c r="E27" s="1"/>
      <c r="I27" s="2"/>
      <c r="J27" s="3" t="s">
        <v>45</v>
      </c>
      <c r="K27">
        <f>COUNTIFS(D2:D22,"&lt;"&amp;D23,D2:D22,"&gt;0")</f>
        <v>6</v>
      </c>
      <c r="L27" s="5">
        <f>AVERAGEIFS(G2:G22,D2:D22,"&lt;"&amp;D23,D2:D22,"&gt;0")</f>
        <v>1.5450000000000002</v>
      </c>
      <c r="M27" s="5">
        <f>AVERAGEIFS(T2:T22,D2:D22,"&lt;"&amp;D23,D2:D22,"&gt;0")</f>
        <v>2.1251666666666664</v>
      </c>
      <c r="N27" s="1">
        <f>SUMIFS(G2:G22,D2:D22,"&lt;"&amp;D23,D2:D22,"&gt;0")/SUMIFS(D2:D22,D2:D22,"&lt;"&amp;D23,D2:D22,"&gt;0")</f>
        <v>3.5695032730073168</v>
      </c>
      <c r="O27" s="1">
        <f>SUMIFS(T2:T22,D2:D22,"&lt;"&amp;D23,D2:D22,"&gt;0")/SUMIFS(D2:D22,D2:D22,"&lt;"&amp;D23,D2:D22,"&gt;0")</f>
        <v>4.9098960338852518</v>
      </c>
      <c r="P27" t="str">
        <f>_xlfn.TEXTJOIN(" / ",FALSE, COUNTIFS($D$2:$D$22,"&lt;"&amp;D23,$D$2:$D$22,"&gt;0",$AB$2:$AB$22,"&gt;0"), COUNTIFS($D$2:$D$22,"&lt;"&amp;D23,$D$2:$D$22,"&gt;0",$AB$2:$AB$22,"&lt;0"), COUNTIFS($D$2:$D$22,"&lt;"&amp;D23,$D$2:$D$22,"&gt;0",$AB$2:$AB$22,"=0"))</f>
        <v>2 / 4 / 0</v>
      </c>
    </row>
    <row r="28" spans="1:28" ht="45" x14ac:dyDescent="0.25">
      <c r="A28" t="s">
        <v>11</v>
      </c>
      <c r="B28">
        <v>3.3592380952380938</v>
      </c>
      <c r="C28">
        <v>4.6733438624974788</v>
      </c>
      <c r="D28" s="1">
        <v>2.5489999999999999</v>
      </c>
      <c r="E28" s="1"/>
      <c r="I28" s="2"/>
      <c r="J28" s="3" t="s">
        <v>46</v>
      </c>
      <c r="K28">
        <f>COUNTIF(D2:D22,"&gt;="&amp;D23)</f>
        <v>7</v>
      </c>
      <c r="L28" s="5">
        <f>AVERAGEIFS(G2:G22,D2:D22,"&gt;="&amp;D23)</f>
        <v>4.8445714285714292</v>
      </c>
      <c r="M28" s="5">
        <f>AVERAGEIFS(T2:T22,D2:D22,"&gt;="&amp;D23)</f>
        <v>6.048</v>
      </c>
      <c r="N28" s="1">
        <f>SUMIFS(G2:G22,D2:D22,"&gt;="&amp;D23)/SUMIFS(D2:D22,D2:D22,"&gt;="&amp;D23)</f>
        <v>1.3523148701997849</v>
      </c>
      <c r="O28" s="1">
        <f>SUMIFS(T2:T22,D2:D22,"&gt;="&amp;D23)/SUMIFS(D2:D22,D2:D22,"&gt;="&amp;D23)</f>
        <v>1.6882402201220241</v>
      </c>
      <c r="P28" t="str">
        <f>_xlfn.TEXTJOIN(" / ",FALSE, COUNTIFS($D$2:$D$22,"&gt;="&amp;D23,$AB$2:$AB$22,"&gt;0"), COUNTIFS($D$2:$D$22,"&gt;="&amp;D23,$AB$2:$AB$22,"&lt;0"), COUNTIFS($D$2:$D$22,"&gt;="&amp;D23,$AB$2:$AB$22,"=0"))</f>
        <v>2 / 4 / 1</v>
      </c>
    </row>
    <row r="29" spans="1:28" x14ac:dyDescent="0.25">
      <c r="A29" t="s">
        <v>28</v>
      </c>
      <c r="B29">
        <v>3.3283809523809516</v>
      </c>
      <c r="C29">
        <v>4.8561399524823452</v>
      </c>
      <c r="D29" s="1">
        <v>2.5259999999999985</v>
      </c>
      <c r="E29" s="1"/>
      <c r="I29" s="2"/>
    </row>
    <row r="30" spans="1:28" x14ac:dyDescent="0.25">
      <c r="I30" s="2"/>
    </row>
    <row r="31" spans="1:28" x14ac:dyDescent="0.25">
      <c r="A31" s="9" t="s">
        <v>37</v>
      </c>
      <c r="B31" s="9"/>
      <c r="C31" s="9"/>
      <c r="D31" s="4" t="s">
        <v>36</v>
      </c>
      <c r="E31" s="4"/>
      <c r="I31" s="2"/>
    </row>
    <row r="32" spans="1:28" ht="44.25" customHeight="1" x14ac:dyDescent="0.25">
      <c r="A32" s="7" t="s">
        <v>34</v>
      </c>
      <c r="B32" s="7"/>
      <c r="C32" s="7"/>
      <c r="D32">
        <f>COUNTIF(AB2:AB22,"&gt;0")</f>
        <v>9</v>
      </c>
    </row>
    <row r="33" spans="1:4" ht="45" customHeight="1" x14ac:dyDescent="0.25">
      <c r="A33" s="7" t="s">
        <v>38</v>
      </c>
      <c r="B33" s="7"/>
      <c r="C33" s="7"/>
      <c r="D33">
        <f>COUNTIF(AB2:AB22,"&lt;0")</f>
        <v>11</v>
      </c>
    </row>
    <row r="34" spans="1:4" x14ac:dyDescent="0.25">
      <c r="A34" s="8" t="s">
        <v>39</v>
      </c>
      <c r="B34" s="8"/>
      <c r="C34" s="8"/>
      <c r="D34">
        <f>COUNTIF(AB2:AB22,"=0")</f>
        <v>1</v>
      </c>
    </row>
  </sheetData>
  <mergeCells count="5">
    <mergeCell ref="A25:D25"/>
    <mergeCell ref="A32:C32"/>
    <mergeCell ref="A33:C33"/>
    <mergeCell ref="A34:C34"/>
    <mergeCell ref="A31:C31"/>
  </mergeCells>
  <conditionalFormatting sqref="H2:H22 U2:U2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B2:AB2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Deniss</cp:lastModifiedBy>
  <dcterms:created xsi:type="dcterms:W3CDTF">2026-05-11T12:16:09Z</dcterms:created>
  <dcterms:modified xsi:type="dcterms:W3CDTF">2026-05-13T20:09:18Z</dcterms:modified>
</cp:coreProperties>
</file>